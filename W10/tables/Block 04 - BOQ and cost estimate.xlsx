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Mojtaba\Renardet\2224 WS11\Batinah\Block 4\Claude Block 04\W10\tables\"/>
    </mc:Choice>
  </mc:AlternateContent>
  <xr:revisionPtr revIDLastSave="0" documentId="13_ncr:1_{FABC25AC-F1F9-41DF-A287-22927A6C1DE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ummary" sheetId="1" r:id="rId1"/>
    <sheet name="Rates" sheetId="2" r:id="rId2"/>
    <sheet name="Channels" sheetId="3" r:id="rId3"/>
    <sheet name="Dykes" sheetId="4" r:id="rId4"/>
    <sheet name="Culvert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63" i="5" l="1"/>
  <c r="F63" i="5"/>
  <c r="Z62" i="5"/>
  <c r="AN62" i="5" s="1"/>
  <c r="O62" i="5"/>
  <c r="AD62" i="5" s="1"/>
  <c r="L62" i="5"/>
  <c r="AA62" i="5" s="1"/>
  <c r="K62" i="5"/>
  <c r="AA61" i="5"/>
  <c r="Z61" i="5"/>
  <c r="AN61" i="5" s="1"/>
  <c r="O61" i="5"/>
  <c r="AD61" i="5" s="1"/>
  <c r="M61" i="5"/>
  <c r="AB61" i="5" s="1"/>
  <c r="L61" i="5"/>
  <c r="K61" i="5"/>
  <c r="Y61" i="5" s="1"/>
  <c r="AM61" i="5" s="1"/>
  <c r="Z60" i="5"/>
  <c r="AN60" i="5" s="1"/>
  <c r="O60" i="5"/>
  <c r="AD60" i="5" s="1"/>
  <c r="L60" i="5"/>
  <c r="AA60" i="5" s="1"/>
  <c r="K60" i="5"/>
  <c r="Y60" i="5" s="1"/>
  <c r="AM60" i="5" s="1"/>
  <c r="AM59" i="5"/>
  <c r="Z59" i="5"/>
  <c r="AN59" i="5" s="1"/>
  <c r="Y59" i="5"/>
  <c r="O59" i="5"/>
  <c r="AD59" i="5" s="1"/>
  <c r="L59" i="5"/>
  <c r="K59" i="5"/>
  <c r="X59" i="5" s="1"/>
  <c r="AL59" i="5" s="1"/>
  <c r="AD58" i="5"/>
  <c r="Z58" i="5"/>
  <c r="AN58" i="5" s="1"/>
  <c r="O58" i="5"/>
  <c r="L58" i="5"/>
  <c r="AA58" i="5" s="1"/>
  <c r="K58" i="5"/>
  <c r="X58" i="5" s="1"/>
  <c r="AL58" i="5" s="1"/>
  <c r="AA57" i="5"/>
  <c r="Z57" i="5"/>
  <c r="AN57" i="5" s="1"/>
  <c r="O57" i="5"/>
  <c r="AD57" i="5" s="1"/>
  <c r="L57" i="5"/>
  <c r="M57" i="5" s="1"/>
  <c r="AB57" i="5" s="1"/>
  <c r="K57" i="5"/>
  <c r="Y57" i="5" s="1"/>
  <c r="AM57" i="5" s="1"/>
  <c r="O56" i="5"/>
  <c r="AD56" i="5" s="1"/>
  <c r="N56" i="5"/>
  <c r="AC56" i="5" s="1"/>
  <c r="L56" i="5"/>
  <c r="AA56" i="5" s="1"/>
  <c r="K56" i="5"/>
  <c r="Y56" i="5" s="1"/>
  <c r="AM56" i="5" s="1"/>
  <c r="AN55" i="5"/>
  <c r="Z55" i="5"/>
  <c r="Y55" i="5"/>
  <c r="AM55" i="5" s="1"/>
  <c r="O55" i="5"/>
  <c r="AD55" i="5" s="1"/>
  <c r="L55" i="5"/>
  <c r="M55" i="5" s="1"/>
  <c r="AB55" i="5" s="1"/>
  <c r="K55" i="5"/>
  <c r="X55" i="5" s="1"/>
  <c r="AL55" i="5" s="1"/>
  <c r="Z54" i="5"/>
  <c r="AN54" i="5" s="1"/>
  <c r="O54" i="5"/>
  <c r="AD54" i="5" s="1"/>
  <c r="L54" i="5"/>
  <c r="AA54" i="5" s="1"/>
  <c r="K54" i="5"/>
  <c r="Y54" i="5" s="1"/>
  <c r="AM54" i="5" s="1"/>
  <c r="AL53" i="5"/>
  <c r="Z53" i="5"/>
  <c r="AN53" i="5" s="1"/>
  <c r="Y53" i="5"/>
  <c r="AM53" i="5" s="1"/>
  <c r="W53" i="5"/>
  <c r="AK53" i="5" s="1"/>
  <c r="O53" i="5"/>
  <c r="AD53" i="5" s="1"/>
  <c r="L53" i="5"/>
  <c r="AA53" i="5" s="1"/>
  <c r="K53" i="5"/>
  <c r="X53" i="5" s="1"/>
  <c r="O52" i="5"/>
  <c r="AD52" i="5" s="1"/>
  <c r="L52" i="5"/>
  <c r="AA52" i="5" s="1"/>
  <c r="K52" i="5"/>
  <c r="Z52" i="5" s="1"/>
  <c r="AN52" i="5" s="1"/>
  <c r="AD51" i="5"/>
  <c r="Z51" i="5"/>
  <c r="AN51" i="5" s="1"/>
  <c r="O51" i="5"/>
  <c r="L51" i="5"/>
  <c r="AA51" i="5" s="1"/>
  <c r="K51" i="5"/>
  <c r="Y51" i="5" s="1"/>
  <c r="AM51" i="5" s="1"/>
  <c r="Z50" i="5"/>
  <c r="AN50" i="5" s="1"/>
  <c r="O50" i="5"/>
  <c r="AD50" i="5" s="1"/>
  <c r="L50" i="5"/>
  <c r="AA50" i="5" s="1"/>
  <c r="K50" i="5"/>
  <c r="Y50" i="5" s="1"/>
  <c r="AM50" i="5" s="1"/>
  <c r="O49" i="5"/>
  <c r="AD49" i="5" s="1"/>
  <c r="L49" i="5"/>
  <c r="AA49" i="5" s="1"/>
  <c r="K49" i="5"/>
  <c r="Z49" i="5" s="1"/>
  <c r="AN49" i="5" s="1"/>
  <c r="AA48" i="5"/>
  <c r="Z48" i="5"/>
  <c r="AN48" i="5" s="1"/>
  <c r="O48" i="5"/>
  <c r="AD48" i="5" s="1"/>
  <c r="N48" i="5"/>
  <c r="AC48" i="5" s="1"/>
  <c r="L48" i="5"/>
  <c r="M48" i="5" s="1"/>
  <c r="AB48" i="5" s="1"/>
  <c r="K48" i="5"/>
  <c r="Y48" i="5" s="1"/>
  <c r="AM48" i="5" s="1"/>
  <c r="Z47" i="5"/>
  <c r="AN47" i="5" s="1"/>
  <c r="V47" i="5"/>
  <c r="AJ47" i="5" s="1"/>
  <c r="T47" i="5"/>
  <c r="AH47" i="5" s="1"/>
  <c r="Q47" i="5"/>
  <c r="AE47" i="5" s="1"/>
  <c r="P47" i="5"/>
  <c r="U47" i="5" s="1"/>
  <c r="AI47" i="5" s="1"/>
  <c r="O47" i="5"/>
  <c r="AD47" i="5" s="1"/>
  <c r="L47" i="5"/>
  <c r="AA47" i="5" s="1"/>
  <c r="K47" i="5"/>
  <c r="Y47" i="5" s="1"/>
  <c r="AM47" i="5" s="1"/>
  <c r="AD46" i="5"/>
  <c r="Z46" i="5"/>
  <c r="AN46" i="5" s="1"/>
  <c r="Y46" i="5"/>
  <c r="AM46" i="5" s="1"/>
  <c r="O46" i="5"/>
  <c r="L46" i="5"/>
  <c r="M46" i="5" s="1"/>
  <c r="AB46" i="5" s="1"/>
  <c r="K46" i="5"/>
  <c r="X46" i="5" s="1"/>
  <c r="AL46" i="5" s="1"/>
  <c r="AA45" i="5"/>
  <c r="Z45" i="5"/>
  <c r="AN45" i="5" s="1"/>
  <c r="O45" i="5"/>
  <c r="AD45" i="5" s="1"/>
  <c r="L45" i="5"/>
  <c r="M45" i="5" s="1"/>
  <c r="AB45" i="5" s="1"/>
  <c r="K45" i="5"/>
  <c r="Z44" i="5"/>
  <c r="AN44" i="5" s="1"/>
  <c r="X44" i="5"/>
  <c r="AL44" i="5" s="1"/>
  <c r="W44" i="5"/>
  <c r="AK44" i="5" s="1"/>
  <c r="O44" i="5"/>
  <c r="AD44" i="5" s="1"/>
  <c r="N44" i="5"/>
  <c r="AC44" i="5" s="1"/>
  <c r="M44" i="5"/>
  <c r="AB44" i="5" s="1"/>
  <c r="L44" i="5"/>
  <c r="AA44" i="5" s="1"/>
  <c r="K44" i="5"/>
  <c r="V44" i="5" s="1"/>
  <c r="AJ44" i="5" s="1"/>
  <c r="AN43" i="5"/>
  <c r="AA43" i="5"/>
  <c r="Z43" i="5"/>
  <c r="O43" i="5"/>
  <c r="AD43" i="5" s="1"/>
  <c r="L43" i="5"/>
  <c r="M43" i="5" s="1"/>
  <c r="AB43" i="5" s="1"/>
  <c r="K43" i="5"/>
  <c r="X43" i="5" s="1"/>
  <c r="AL43" i="5" s="1"/>
  <c r="W42" i="5"/>
  <c r="AK42" i="5" s="1"/>
  <c r="O42" i="5"/>
  <c r="AD42" i="5" s="1"/>
  <c r="N42" i="5"/>
  <c r="AC42" i="5" s="1"/>
  <c r="L42" i="5"/>
  <c r="M42" i="5" s="1"/>
  <c r="AB42" i="5" s="1"/>
  <c r="K42" i="5"/>
  <c r="P42" i="5" s="1"/>
  <c r="AD41" i="5"/>
  <c r="AA41" i="5"/>
  <c r="Z41" i="5"/>
  <c r="AN41" i="5" s="1"/>
  <c r="O41" i="5"/>
  <c r="M41" i="5"/>
  <c r="AB41" i="5" s="1"/>
  <c r="L41" i="5"/>
  <c r="K41" i="5"/>
  <c r="AN40" i="5"/>
  <c r="AL40" i="5"/>
  <c r="Z40" i="5"/>
  <c r="X40" i="5"/>
  <c r="W40" i="5"/>
  <c r="AK40" i="5" s="1"/>
  <c r="V40" i="5"/>
  <c r="AJ40" i="5" s="1"/>
  <c r="O40" i="5"/>
  <c r="AD40" i="5" s="1"/>
  <c r="L40" i="5"/>
  <c r="K40" i="5"/>
  <c r="P40" i="5" s="1"/>
  <c r="AD39" i="5"/>
  <c r="O39" i="5"/>
  <c r="L39" i="5"/>
  <c r="M39" i="5" s="1"/>
  <c r="AB39" i="5" s="1"/>
  <c r="K39" i="5"/>
  <c r="AK38" i="5"/>
  <c r="AJ38" i="5"/>
  <c r="AA38" i="5"/>
  <c r="Z38" i="5"/>
  <c r="AN38" i="5" s="1"/>
  <c r="Y38" i="5"/>
  <c r="AM38" i="5" s="1"/>
  <c r="X38" i="5"/>
  <c r="AL38" i="5" s="1"/>
  <c r="W38" i="5"/>
  <c r="V38" i="5"/>
  <c r="T38" i="5"/>
  <c r="AH38" i="5" s="1"/>
  <c r="S38" i="5"/>
  <c r="AG38" i="5" s="1"/>
  <c r="R38" i="5"/>
  <c r="AF38" i="5" s="1"/>
  <c r="O38" i="5"/>
  <c r="AD38" i="5" s="1"/>
  <c r="L38" i="5"/>
  <c r="M38" i="5" s="1"/>
  <c r="AB38" i="5" s="1"/>
  <c r="K38" i="5"/>
  <c r="P38" i="5" s="1"/>
  <c r="O37" i="5"/>
  <c r="AD37" i="5" s="1"/>
  <c r="L37" i="5"/>
  <c r="M37" i="5" s="1"/>
  <c r="AB37" i="5" s="1"/>
  <c r="K37" i="5"/>
  <c r="N37" i="5" s="1"/>
  <c r="AC37" i="5" s="1"/>
  <c r="AL36" i="5"/>
  <c r="AK36" i="5"/>
  <c r="AD36" i="5"/>
  <c r="AA36" i="5"/>
  <c r="Z36" i="5"/>
  <c r="AN36" i="5" s="1"/>
  <c r="Y36" i="5"/>
  <c r="AM36" i="5" s="1"/>
  <c r="X36" i="5"/>
  <c r="W36" i="5"/>
  <c r="V36" i="5"/>
  <c r="AJ36" i="5" s="1"/>
  <c r="P36" i="5"/>
  <c r="S36" i="5" s="1"/>
  <c r="AG36" i="5" s="1"/>
  <c r="O36" i="5"/>
  <c r="L36" i="5"/>
  <c r="M36" i="5" s="1"/>
  <c r="AB36" i="5" s="1"/>
  <c r="K36" i="5"/>
  <c r="N36" i="5" s="1"/>
  <c r="AC36" i="5" s="1"/>
  <c r="Z35" i="5"/>
  <c r="AN35" i="5" s="1"/>
  <c r="P35" i="5"/>
  <c r="R35" i="5" s="1"/>
  <c r="AF35" i="5" s="1"/>
  <c r="O35" i="5"/>
  <c r="AD35" i="5" s="1"/>
  <c r="L35" i="5"/>
  <c r="M35" i="5" s="1"/>
  <c r="AB35" i="5" s="1"/>
  <c r="K35" i="5"/>
  <c r="Y35" i="5" s="1"/>
  <c r="AM35" i="5" s="1"/>
  <c r="AL34" i="5"/>
  <c r="AD34" i="5"/>
  <c r="Z34" i="5"/>
  <c r="AN34" i="5" s="1"/>
  <c r="Y34" i="5"/>
  <c r="AM34" i="5" s="1"/>
  <c r="X34" i="5"/>
  <c r="W34" i="5"/>
  <c r="AK34" i="5" s="1"/>
  <c r="O34" i="5"/>
  <c r="L34" i="5"/>
  <c r="M34" i="5" s="1"/>
  <c r="AB34" i="5" s="1"/>
  <c r="K34" i="5"/>
  <c r="V34" i="5" s="1"/>
  <c r="AJ34" i="5" s="1"/>
  <c r="Q33" i="5"/>
  <c r="AE33" i="5" s="1"/>
  <c r="P33" i="5"/>
  <c r="U33" i="5" s="1"/>
  <c r="AI33" i="5" s="1"/>
  <c r="O33" i="5"/>
  <c r="AD33" i="5" s="1"/>
  <c r="N33" i="5"/>
  <c r="AC33" i="5" s="1"/>
  <c r="M33" i="5"/>
  <c r="AB33" i="5" s="1"/>
  <c r="L33" i="5"/>
  <c r="AA33" i="5" s="1"/>
  <c r="K33" i="5"/>
  <c r="Z33" i="5" s="1"/>
  <c r="AN33" i="5" s="1"/>
  <c r="AD32" i="5"/>
  <c r="Z32" i="5"/>
  <c r="AN32" i="5" s="1"/>
  <c r="X32" i="5"/>
  <c r="AL32" i="5" s="1"/>
  <c r="W32" i="5"/>
  <c r="AK32" i="5" s="1"/>
  <c r="V32" i="5"/>
  <c r="AJ32" i="5" s="1"/>
  <c r="O32" i="5"/>
  <c r="L32" i="5"/>
  <c r="AA32" i="5" s="1"/>
  <c r="K32" i="5"/>
  <c r="Y32" i="5" s="1"/>
  <c r="AM32" i="5" s="1"/>
  <c r="AD31" i="5"/>
  <c r="Z31" i="5"/>
  <c r="AN31" i="5" s="1"/>
  <c r="O31" i="5"/>
  <c r="M31" i="5"/>
  <c r="AB31" i="5" s="1"/>
  <c r="L31" i="5"/>
  <c r="AA31" i="5" s="1"/>
  <c r="K31" i="5"/>
  <c r="P31" i="5" s="1"/>
  <c r="AB30" i="5"/>
  <c r="Z30" i="5"/>
  <c r="AN30" i="5" s="1"/>
  <c r="S30" i="5"/>
  <c r="AG30" i="5" s="1"/>
  <c r="P30" i="5"/>
  <c r="U30" i="5" s="1"/>
  <c r="AI30" i="5" s="1"/>
  <c r="O30" i="5"/>
  <c r="AD30" i="5" s="1"/>
  <c r="L30" i="5"/>
  <c r="M30" i="5" s="1"/>
  <c r="K30" i="5"/>
  <c r="N30" i="5" s="1"/>
  <c r="AC30" i="5" s="1"/>
  <c r="AD29" i="5"/>
  <c r="Z29" i="5"/>
  <c r="AN29" i="5" s="1"/>
  <c r="O29" i="5"/>
  <c r="L29" i="5"/>
  <c r="AA29" i="5" s="1"/>
  <c r="K29" i="5"/>
  <c r="N29" i="5" s="1"/>
  <c r="AC29" i="5" s="1"/>
  <c r="AA28" i="5"/>
  <c r="Z28" i="5"/>
  <c r="AN28" i="5" s="1"/>
  <c r="Y28" i="5"/>
  <c r="AM28" i="5" s="1"/>
  <c r="O28" i="5"/>
  <c r="AD28" i="5" s="1"/>
  <c r="L28" i="5"/>
  <c r="M28" i="5" s="1"/>
  <c r="AB28" i="5" s="1"/>
  <c r="K28" i="5"/>
  <c r="W28" i="5" s="1"/>
  <c r="AK28" i="5" s="1"/>
  <c r="AJ27" i="5"/>
  <c r="Z27" i="5"/>
  <c r="AN27" i="5" s="1"/>
  <c r="Y27" i="5"/>
  <c r="AM27" i="5" s="1"/>
  <c r="W27" i="5"/>
  <c r="AK27" i="5" s="1"/>
  <c r="R27" i="5"/>
  <c r="AF27" i="5" s="1"/>
  <c r="Q27" i="5"/>
  <c r="AE27" i="5" s="1"/>
  <c r="P27" i="5"/>
  <c r="O27" i="5"/>
  <c r="AD27" i="5" s="1"/>
  <c r="N27" i="5"/>
  <c r="AC27" i="5" s="1"/>
  <c r="M27" i="5"/>
  <c r="AB27" i="5" s="1"/>
  <c r="L27" i="5"/>
  <c r="AA27" i="5" s="1"/>
  <c r="K27" i="5"/>
  <c r="V27" i="5" s="1"/>
  <c r="AN26" i="5"/>
  <c r="AD26" i="5"/>
  <c r="Z26" i="5"/>
  <c r="O26" i="5"/>
  <c r="L26" i="5"/>
  <c r="AA26" i="5" s="1"/>
  <c r="K26" i="5"/>
  <c r="Y26" i="5" s="1"/>
  <c r="AM26" i="5" s="1"/>
  <c r="AM25" i="5"/>
  <c r="AA25" i="5"/>
  <c r="Z25" i="5"/>
  <c r="AN25" i="5" s="1"/>
  <c r="O25" i="5"/>
  <c r="AD25" i="5" s="1"/>
  <c r="M25" i="5"/>
  <c r="AB25" i="5" s="1"/>
  <c r="L25" i="5"/>
  <c r="K25" i="5"/>
  <c r="Y25" i="5" s="1"/>
  <c r="Z24" i="5"/>
  <c r="AN24" i="5" s="1"/>
  <c r="O24" i="5"/>
  <c r="AD24" i="5" s="1"/>
  <c r="L24" i="5"/>
  <c r="AA24" i="5" s="1"/>
  <c r="K24" i="5"/>
  <c r="AA23" i="5"/>
  <c r="O23" i="5"/>
  <c r="AD23" i="5" s="1"/>
  <c r="L23" i="5"/>
  <c r="M23" i="5" s="1"/>
  <c r="AB23" i="5" s="1"/>
  <c r="K23" i="5"/>
  <c r="V23" i="5" s="1"/>
  <c r="AJ23" i="5" s="1"/>
  <c r="Z22" i="5"/>
  <c r="AN22" i="5" s="1"/>
  <c r="O22" i="5"/>
  <c r="AD22" i="5" s="1"/>
  <c r="L22" i="5"/>
  <c r="AA22" i="5" s="1"/>
  <c r="K22" i="5"/>
  <c r="X22" i="5" s="1"/>
  <c r="AL22" i="5" s="1"/>
  <c r="AD21" i="5"/>
  <c r="Z21" i="5"/>
  <c r="AN21" i="5" s="1"/>
  <c r="O21" i="5"/>
  <c r="L21" i="5"/>
  <c r="K21" i="5"/>
  <c r="O20" i="5"/>
  <c r="AD20" i="5" s="1"/>
  <c r="L20" i="5"/>
  <c r="AA20" i="5" s="1"/>
  <c r="K20" i="5"/>
  <c r="X20" i="5" s="1"/>
  <c r="AL20" i="5" s="1"/>
  <c r="AN19" i="5"/>
  <c r="Z19" i="5"/>
  <c r="W19" i="5"/>
  <c r="AK19" i="5" s="1"/>
  <c r="O19" i="5"/>
  <c r="AD19" i="5" s="1"/>
  <c r="L19" i="5"/>
  <c r="AA19" i="5" s="1"/>
  <c r="K19" i="5"/>
  <c r="Y19" i="5" s="1"/>
  <c r="AM19" i="5" s="1"/>
  <c r="AD18" i="5"/>
  <c r="AB18" i="5"/>
  <c r="AA18" i="5"/>
  <c r="Z18" i="5"/>
  <c r="AN18" i="5" s="1"/>
  <c r="P18" i="5"/>
  <c r="O18" i="5"/>
  <c r="L18" i="5"/>
  <c r="M18" i="5" s="1"/>
  <c r="K18" i="5"/>
  <c r="Y18" i="5" s="1"/>
  <c r="AM18" i="5" s="1"/>
  <c r="P17" i="5"/>
  <c r="R17" i="5" s="1"/>
  <c r="AF17" i="5" s="1"/>
  <c r="O17" i="5"/>
  <c r="AD17" i="5" s="1"/>
  <c r="N17" i="5"/>
  <c r="AC17" i="5" s="1"/>
  <c r="L17" i="5"/>
  <c r="AA17" i="5" s="1"/>
  <c r="K17" i="5"/>
  <c r="X17" i="5" s="1"/>
  <c r="AL17" i="5" s="1"/>
  <c r="AI16" i="5"/>
  <c r="Z16" i="5"/>
  <c r="AN16" i="5" s="1"/>
  <c r="X16" i="5"/>
  <c r="AL16" i="5" s="1"/>
  <c r="T16" i="5"/>
  <c r="AH16" i="5" s="1"/>
  <c r="P16" i="5"/>
  <c r="U16" i="5" s="1"/>
  <c r="O16" i="5"/>
  <c r="AD16" i="5" s="1"/>
  <c r="L16" i="5"/>
  <c r="AA16" i="5" s="1"/>
  <c r="K16" i="5"/>
  <c r="W16" i="5" s="1"/>
  <c r="AK16" i="5" s="1"/>
  <c r="AA15" i="5"/>
  <c r="Z15" i="5"/>
  <c r="AN15" i="5" s="1"/>
  <c r="Y15" i="5"/>
  <c r="AM15" i="5" s="1"/>
  <c r="X15" i="5"/>
  <c r="AL15" i="5" s="1"/>
  <c r="O15" i="5"/>
  <c r="AD15" i="5" s="1"/>
  <c r="L15" i="5"/>
  <c r="M15" i="5" s="1"/>
  <c r="AB15" i="5" s="1"/>
  <c r="K15" i="5"/>
  <c r="V15" i="5" s="1"/>
  <c r="AJ15" i="5" s="1"/>
  <c r="Z14" i="5"/>
  <c r="AN14" i="5" s="1"/>
  <c r="V14" i="5"/>
  <c r="AJ14" i="5" s="1"/>
  <c r="P14" i="5"/>
  <c r="O14" i="5"/>
  <c r="AD14" i="5" s="1"/>
  <c r="L14" i="5"/>
  <c r="AA14" i="5" s="1"/>
  <c r="K14" i="5"/>
  <c r="O13" i="5"/>
  <c r="AD13" i="5" s="1"/>
  <c r="L13" i="5"/>
  <c r="M13" i="5" s="1"/>
  <c r="AB13" i="5" s="1"/>
  <c r="K13" i="5"/>
  <c r="Z13" i="5" s="1"/>
  <c r="AN13" i="5" s="1"/>
  <c r="AB12" i="5"/>
  <c r="Z12" i="5"/>
  <c r="AN12" i="5" s="1"/>
  <c r="O12" i="5"/>
  <c r="AD12" i="5" s="1"/>
  <c r="M12" i="5"/>
  <c r="L12" i="5"/>
  <c r="AA12" i="5" s="1"/>
  <c r="K12" i="5"/>
  <c r="W12" i="5" s="1"/>
  <c r="AK12" i="5" s="1"/>
  <c r="AN11" i="5"/>
  <c r="Z11" i="5"/>
  <c r="O11" i="5"/>
  <c r="AD11" i="5" s="1"/>
  <c r="L11" i="5"/>
  <c r="AA11" i="5" s="1"/>
  <c r="K11" i="5"/>
  <c r="V11" i="5" s="1"/>
  <c r="AJ11" i="5" s="1"/>
  <c r="AD10" i="5"/>
  <c r="Z10" i="5"/>
  <c r="AN10" i="5" s="1"/>
  <c r="O10" i="5"/>
  <c r="L10" i="5"/>
  <c r="M10" i="5" s="1"/>
  <c r="AB10" i="5" s="1"/>
  <c r="K10" i="5"/>
  <c r="X10" i="5" s="1"/>
  <c r="AL10" i="5" s="1"/>
  <c r="AN9" i="5"/>
  <c r="AB9" i="5"/>
  <c r="AA9" i="5"/>
  <c r="Z9" i="5"/>
  <c r="O9" i="5"/>
  <c r="AD9" i="5" s="1"/>
  <c r="M9" i="5"/>
  <c r="L9" i="5"/>
  <c r="K9" i="5"/>
  <c r="AD8" i="5"/>
  <c r="AC8" i="5"/>
  <c r="AB8" i="5"/>
  <c r="AA8" i="5"/>
  <c r="Z8" i="5"/>
  <c r="AN8" i="5" s="1"/>
  <c r="Y8" i="5"/>
  <c r="AM8" i="5" s="1"/>
  <c r="P8" i="5"/>
  <c r="S8" i="5" s="1"/>
  <c r="AG8" i="5" s="1"/>
  <c r="O8" i="5"/>
  <c r="L8" i="5"/>
  <c r="M8" i="5" s="1"/>
  <c r="K8" i="5"/>
  <c r="N8" i="5" s="1"/>
  <c r="Z7" i="5"/>
  <c r="AN7" i="5" s="1"/>
  <c r="O7" i="5"/>
  <c r="AD7" i="5" s="1"/>
  <c r="L7" i="5"/>
  <c r="M7" i="5" s="1"/>
  <c r="AB7" i="5" s="1"/>
  <c r="K7" i="5"/>
  <c r="AN6" i="5"/>
  <c r="AM6" i="5"/>
  <c r="AJ6" i="5"/>
  <c r="AA6" i="5"/>
  <c r="Z6" i="5"/>
  <c r="Y6" i="5"/>
  <c r="X6" i="5"/>
  <c r="AL6" i="5" s="1"/>
  <c r="W6" i="5"/>
  <c r="AK6" i="5" s="1"/>
  <c r="V6" i="5"/>
  <c r="P6" i="5"/>
  <c r="T6" i="5" s="1"/>
  <c r="AH6" i="5" s="1"/>
  <c r="O6" i="5"/>
  <c r="AD6" i="5" s="1"/>
  <c r="L6" i="5"/>
  <c r="M6" i="5" s="1"/>
  <c r="AB6" i="5" s="1"/>
  <c r="K6" i="5"/>
  <c r="N6" i="5" s="1"/>
  <c r="AC6" i="5" s="1"/>
  <c r="Q5" i="5"/>
  <c r="AE5" i="5" s="1"/>
  <c r="P5" i="5"/>
  <c r="T5" i="5" s="1"/>
  <c r="AH5" i="5" s="1"/>
  <c r="O5" i="5"/>
  <c r="AD5" i="5" s="1"/>
  <c r="N5" i="5"/>
  <c r="AC5" i="5" s="1"/>
  <c r="M5" i="5"/>
  <c r="AB5" i="5" s="1"/>
  <c r="L5" i="5"/>
  <c r="AA5" i="5" s="1"/>
  <c r="K5" i="5"/>
  <c r="Z5" i="5" s="1"/>
  <c r="AN5" i="5" s="1"/>
  <c r="AN4" i="5"/>
  <c r="AD4" i="5"/>
  <c r="AA4" i="5"/>
  <c r="Z4" i="5"/>
  <c r="Y4" i="5"/>
  <c r="AM4" i="5" s="1"/>
  <c r="X4" i="5"/>
  <c r="AL4" i="5" s="1"/>
  <c r="W4" i="5"/>
  <c r="AK4" i="5" s="1"/>
  <c r="O4" i="5"/>
  <c r="L4" i="5"/>
  <c r="M4" i="5" s="1"/>
  <c r="AB4" i="5" s="1"/>
  <c r="K4" i="5"/>
  <c r="V4" i="5" s="1"/>
  <c r="AJ4" i="5" s="1"/>
  <c r="Z3" i="5"/>
  <c r="AN3" i="5" s="1"/>
  <c r="O3" i="5"/>
  <c r="AD3" i="5" s="1"/>
  <c r="L3" i="5"/>
  <c r="AA3" i="5" s="1"/>
  <c r="K3" i="5"/>
  <c r="N3" i="5" s="1"/>
  <c r="AC3" i="5" s="1"/>
  <c r="Z2" i="5"/>
  <c r="AN2" i="5" s="1"/>
  <c r="V2" i="5"/>
  <c r="AJ2" i="5" s="1"/>
  <c r="O2" i="5"/>
  <c r="O63" i="5" s="1"/>
  <c r="N2" i="5"/>
  <c r="L2" i="5"/>
  <c r="K2" i="5"/>
  <c r="W2" i="5" s="1"/>
  <c r="E38" i="4"/>
  <c r="D38" i="4"/>
  <c r="B9" i="1" s="1"/>
  <c r="J37" i="4"/>
  <c r="N37" i="4" s="1"/>
  <c r="F37" i="4"/>
  <c r="I37" i="4" s="1"/>
  <c r="M37" i="4" s="1"/>
  <c r="N36" i="4"/>
  <c r="J36" i="4"/>
  <c r="F36" i="4"/>
  <c r="H36" i="4" s="1"/>
  <c r="L36" i="4" s="1"/>
  <c r="J35" i="4"/>
  <c r="N35" i="4" s="1"/>
  <c r="I35" i="4"/>
  <c r="M35" i="4" s="1"/>
  <c r="H35" i="4"/>
  <c r="L35" i="4" s="1"/>
  <c r="F35" i="4"/>
  <c r="G35" i="4" s="1"/>
  <c r="K35" i="4" s="1"/>
  <c r="J34" i="4"/>
  <c r="N34" i="4" s="1"/>
  <c r="F34" i="4"/>
  <c r="I34" i="4" s="1"/>
  <c r="M34" i="4" s="1"/>
  <c r="J33" i="4"/>
  <c r="N33" i="4" s="1"/>
  <c r="H33" i="4"/>
  <c r="L33" i="4" s="1"/>
  <c r="G33" i="4"/>
  <c r="K33" i="4" s="1"/>
  <c r="F33" i="4"/>
  <c r="I33" i="4" s="1"/>
  <c r="M33" i="4" s="1"/>
  <c r="J32" i="4"/>
  <c r="N32" i="4" s="1"/>
  <c r="F32" i="4"/>
  <c r="H32" i="4" s="1"/>
  <c r="L32" i="4" s="1"/>
  <c r="N31" i="4"/>
  <c r="J31" i="4"/>
  <c r="G31" i="4"/>
  <c r="K31" i="4" s="1"/>
  <c r="F31" i="4"/>
  <c r="H31" i="4" s="1"/>
  <c r="L31" i="4" s="1"/>
  <c r="J30" i="4"/>
  <c r="N30" i="4" s="1"/>
  <c r="F30" i="4"/>
  <c r="H30" i="4" s="1"/>
  <c r="L30" i="4" s="1"/>
  <c r="N29" i="4"/>
  <c r="J29" i="4"/>
  <c r="H29" i="4"/>
  <c r="L29" i="4" s="1"/>
  <c r="F29" i="4"/>
  <c r="I29" i="4" s="1"/>
  <c r="M29" i="4" s="1"/>
  <c r="J28" i="4"/>
  <c r="N28" i="4" s="1"/>
  <c r="F28" i="4"/>
  <c r="H28" i="4" s="1"/>
  <c r="L28" i="4" s="1"/>
  <c r="L27" i="4"/>
  <c r="K27" i="4"/>
  <c r="J27" i="4"/>
  <c r="N27" i="4" s="1"/>
  <c r="H27" i="4"/>
  <c r="G27" i="4"/>
  <c r="F27" i="4"/>
  <c r="I27" i="4" s="1"/>
  <c r="M27" i="4" s="1"/>
  <c r="L26" i="4"/>
  <c r="J26" i="4"/>
  <c r="N26" i="4" s="1"/>
  <c r="H26" i="4"/>
  <c r="F26" i="4"/>
  <c r="G26" i="4" s="1"/>
  <c r="K26" i="4" s="1"/>
  <c r="L25" i="4"/>
  <c r="J25" i="4"/>
  <c r="N25" i="4" s="1"/>
  <c r="I25" i="4"/>
  <c r="M25" i="4" s="1"/>
  <c r="H25" i="4"/>
  <c r="F25" i="4"/>
  <c r="G25" i="4" s="1"/>
  <c r="K25" i="4" s="1"/>
  <c r="J24" i="4"/>
  <c r="N24" i="4" s="1"/>
  <c r="F24" i="4"/>
  <c r="I24" i="4" s="1"/>
  <c r="M24" i="4" s="1"/>
  <c r="J23" i="4"/>
  <c r="N23" i="4" s="1"/>
  <c r="F23" i="4"/>
  <c r="I23" i="4" s="1"/>
  <c r="M23" i="4" s="1"/>
  <c r="J22" i="4"/>
  <c r="N22" i="4" s="1"/>
  <c r="F22" i="4"/>
  <c r="I22" i="4" s="1"/>
  <c r="M22" i="4" s="1"/>
  <c r="J21" i="4"/>
  <c r="N21" i="4" s="1"/>
  <c r="F21" i="4"/>
  <c r="H21" i="4" s="1"/>
  <c r="L21" i="4" s="1"/>
  <c r="J20" i="4"/>
  <c r="N20" i="4" s="1"/>
  <c r="F20" i="4"/>
  <c r="H20" i="4" s="1"/>
  <c r="L20" i="4" s="1"/>
  <c r="J19" i="4"/>
  <c r="N19" i="4" s="1"/>
  <c r="F19" i="4"/>
  <c r="G19" i="4" s="1"/>
  <c r="K19" i="4" s="1"/>
  <c r="J18" i="4"/>
  <c r="N18" i="4" s="1"/>
  <c r="I18" i="4"/>
  <c r="M18" i="4" s="1"/>
  <c r="F18" i="4"/>
  <c r="H18" i="4" s="1"/>
  <c r="L18" i="4" s="1"/>
  <c r="N17" i="4"/>
  <c r="J17" i="4"/>
  <c r="F17" i="4"/>
  <c r="I17" i="4" s="1"/>
  <c r="M17" i="4" s="1"/>
  <c r="J16" i="4"/>
  <c r="N16" i="4" s="1"/>
  <c r="F16" i="4"/>
  <c r="H16" i="4" s="1"/>
  <c r="L16" i="4" s="1"/>
  <c r="J15" i="4"/>
  <c r="N15" i="4" s="1"/>
  <c r="F15" i="4"/>
  <c r="H15" i="4" s="1"/>
  <c r="L15" i="4" s="1"/>
  <c r="L14" i="4"/>
  <c r="J14" i="4"/>
  <c r="N14" i="4" s="1"/>
  <c r="F14" i="4"/>
  <c r="H14" i="4" s="1"/>
  <c r="N13" i="4"/>
  <c r="J13" i="4"/>
  <c r="F13" i="4"/>
  <c r="I13" i="4" s="1"/>
  <c r="M13" i="4" s="1"/>
  <c r="K12" i="4"/>
  <c r="J12" i="4"/>
  <c r="N12" i="4" s="1"/>
  <c r="G12" i="4"/>
  <c r="F12" i="4"/>
  <c r="H12" i="4" s="1"/>
  <c r="L12" i="4" s="1"/>
  <c r="J11" i="4"/>
  <c r="N11" i="4" s="1"/>
  <c r="I11" i="4"/>
  <c r="M11" i="4" s="1"/>
  <c r="G11" i="4"/>
  <c r="K11" i="4" s="1"/>
  <c r="F11" i="4"/>
  <c r="H11" i="4" s="1"/>
  <c r="L11" i="4" s="1"/>
  <c r="K10" i="4"/>
  <c r="J10" i="4"/>
  <c r="N10" i="4" s="1"/>
  <c r="F10" i="4"/>
  <c r="G10" i="4" s="1"/>
  <c r="J9" i="4"/>
  <c r="N9" i="4" s="1"/>
  <c r="G9" i="4"/>
  <c r="K9" i="4" s="1"/>
  <c r="F9" i="4"/>
  <c r="I9" i="4" s="1"/>
  <c r="M9" i="4" s="1"/>
  <c r="J8" i="4"/>
  <c r="N8" i="4" s="1"/>
  <c r="F8" i="4"/>
  <c r="I8" i="4" s="1"/>
  <c r="M8" i="4" s="1"/>
  <c r="J7" i="4"/>
  <c r="N7" i="4" s="1"/>
  <c r="F7" i="4"/>
  <c r="H7" i="4" s="1"/>
  <c r="L7" i="4" s="1"/>
  <c r="J6" i="4"/>
  <c r="N6" i="4" s="1"/>
  <c r="G6" i="4"/>
  <c r="K6" i="4" s="1"/>
  <c r="F6" i="4"/>
  <c r="I6" i="4" s="1"/>
  <c r="M6" i="4" s="1"/>
  <c r="J5" i="4"/>
  <c r="N5" i="4" s="1"/>
  <c r="F5" i="4"/>
  <c r="I5" i="4" s="1"/>
  <c r="M5" i="4" s="1"/>
  <c r="J4" i="4"/>
  <c r="N4" i="4" s="1"/>
  <c r="F4" i="4"/>
  <c r="H4" i="4" s="1"/>
  <c r="L4" i="4" s="1"/>
  <c r="J3" i="4"/>
  <c r="N3" i="4" s="1"/>
  <c r="F3" i="4"/>
  <c r="G3" i="4" s="1"/>
  <c r="K3" i="4" s="1"/>
  <c r="N2" i="4"/>
  <c r="J2" i="4"/>
  <c r="F2" i="4"/>
  <c r="G2" i="4" s="1"/>
  <c r="K2" i="4" s="1"/>
  <c r="U39" i="3"/>
  <c r="T39" i="3"/>
  <c r="S39" i="3"/>
  <c r="R39" i="3"/>
  <c r="Q39" i="3"/>
  <c r="P39" i="3"/>
  <c r="O39" i="3"/>
  <c r="B8" i="1" s="1"/>
  <c r="H39" i="3"/>
  <c r="G39" i="3"/>
  <c r="B5" i="1" s="1"/>
  <c r="F39" i="3"/>
  <c r="B4" i="1" s="1"/>
  <c r="E39" i="3"/>
  <c r="B3" i="1" s="1"/>
  <c r="D39" i="3"/>
  <c r="B7" i="1" s="1"/>
  <c r="V38" i="3"/>
  <c r="M38" i="3"/>
  <c r="L38" i="3"/>
  <c r="K38" i="3"/>
  <c r="J38" i="3"/>
  <c r="I38" i="3"/>
  <c r="V37" i="3"/>
  <c r="L37" i="3"/>
  <c r="K37" i="3"/>
  <c r="J37" i="3"/>
  <c r="I37" i="3"/>
  <c r="M37" i="3" s="1"/>
  <c r="V36" i="3"/>
  <c r="L36" i="3"/>
  <c r="K36" i="3"/>
  <c r="J36" i="3"/>
  <c r="I36" i="3"/>
  <c r="M36" i="3" s="1"/>
  <c r="V35" i="3"/>
  <c r="L35" i="3"/>
  <c r="K35" i="3"/>
  <c r="J35" i="3"/>
  <c r="I35" i="3"/>
  <c r="M35" i="3" s="1"/>
  <c r="V34" i="3"/>
  <c r="C17" i="1" s="1"/>
  <c r="M34" i="3"/>
  <c r="L34" i="3"/>
  <c r="K34" i="3"/>
  <c r="J34" i="3"/>
  <c r="I34" i="3"/>
  <c r="V33" i="3"/>
  <c r="L33" i="3"/>
  <c r="K33" i="3"/>
  <c r="J33" i="3"/>
  <c r="I33" i="3"/>
  <c r="M33" i="3" s="1"/>
  <c r="V32" i="3"/>
  <c r="L32" i="3"/>
  <c r="K32" i="3"/>
  <c r="J32" i="3"/>
  <c r="I32" i="3"/>
  <c r="M32" i="3" s="1"/>
  <c r="V31" i="3"/>
  <c r="L31" i="3"/>
  <c r="K31" i="3"/>
  <c r="J31" i="3"/>
  <c r="N31" i="3" s="1"/>
  <c r="I31" i="3"/>
  <c r="M31" i="3" s="1"/>
  <c r="V30" i="3"/>
  <c r="M30" i="3"/>
  <c r="L30" i="3"/>
  <c r="K30" i="3"/>
  <c r="J30" i="3"/>
  <c r="I30" i="3"/>
  <c r="V29" i="3"/>
  <c r="L29" i="3"/>
  <c r="K29" i="3"/>
  <c r="J29" i="3"/>
  <c r="I29" i="3"/>
  <c r="M29" i="3" s="1"/>
  <c r="V28" i="3"/>
  <c r="L28" i="3"/>
  <c r="K28" i="3"/>
  <c r="J28" i="3"/>
  <c r="I28" i="3"/>
  <c r="M28" i="3" s="1"/>
  <c r="V27" i="3"/>
  <c r="L27" i="3"/>
  <c r="K27" i="3"/>
  <c r="J27" i="3"/>
  <c r="I27" i="3"/>
  <c r="M27" i="3" s="1"/>
  <c r="V26" i="3"/>
  <c r="M26" i="3"/>
  <c r="L26" i="3"/>
  <c r="N26" i="3" s="1"/>
  <c r="W26" i="3" s="1"/>
  <c r="K26" i="3"/>
  <c r="J26" i="3"/>
  <c r="I26" i="3"/>
  <c r="V25" i="3"/>
  <c r="L25" i="3"/>
  <c r="K25" i="3"/>
  <c r="J25" i="3"/>
  <c r="I25" i="3"/>
  <c r="M25" i="3" s="1"/>
  <c r="V24" i="3"/>
  <c r="L24" i="3"/>
  <c r="K24" i="3"/>
  <c r="J24" i="3"/>
  <c r="I24" i="3"/>
  <c r="M24" i="3" s="1"/>
  <c r="V23" i="3"/>
  <c r="L23" i="3"/>
  <c r="K23" i="3"/>
  <c r="J23" i="3"/>
  <c r="I23" i="3"/>
  <c r="M23" i="3" s="1"/>
  <c r="V22" i="3"/>
  <c r="L22" i="3"/>
  <c r="K22" i="3"/>
  <c r="J22" i="3"/>
  <c r="I22" i="3"/>
  <c r="M22" i="3" s="1"/>
  <c r="V21" i="3"/>
  <c r="L21" i="3"/>
  <c r="K21" i="3"/>
  <c r="J21" i="3"/>
  <c r="I21" i="3"/>
  <c r="M21" i="3" s="1"/>
  <c r="V20" i="3"/>
  <c r="L20" i="3"/>
  <c r="K20" i="3"/>
  <c r="J20" i="3"/>
  <c r="I20" i="3"/>
  <c r="M20" i="3" s="1"/>
  <c r="V19" i="3"/>
  <c r="L19" i="3"/>
  <c r="K19" i="3"/>
  <c r="J19" i="3"/>
  <c r="I19" i="3"/>
  <c r="M19" i="3" s="1"/>
  <c r="V18" i="3"/>
  <c r="L18" i="3"/>
  <c r="K18" i="3"/>
  <c r="J18" i="3"/>
  <c r="I18" i="3"/>
  <c r="M18" i="3" s="1"/>
  <c r="V17" i="3"/>
  <c r="L17" i="3"/>
  <c r="K17" i="3"/>
  <c r="J17" i="3"/>
  <c r="I17" i="3"/>
  <c r="M17" i="3" s="1"/>
  <c r="V16" i="3"/>
  <c r="L16" i="3"/>
  <c r="K16" i="3"/>
  <c r="J16" i="3"/>
  <c r="I16" i="3"/>
  <c r="M16" i="3" s="1"/>
  <c r="V15" i="3"/>
  <c r="L15" i="3"/>
  <c r="K15" i="3"/>
  <c r="J15" i="3"/>
  <c r="I15" i="3"/>
  <c r="M15" i="3" s="1"/>
  <c r="V14" i="3"/>
  <c r="M14" i="3"/>
  <c r="L14" i="3"/>
  <c r="K14" i="3"/>
  <c r="J14" i="3"/>
  <c r="I14" i="3"/>
  <c r="V13" i="3"/>
  <c r="M13" i="3"/>
  <c r="L13" i="3"/>
  <c r="K13" i="3"/>
  <c r="J13" i="3"/>
  <c r="I13" i="3"/>
  <c r="V12" i="3"/>
  <c r="L12" i="3"/>
  <c r="K12" i="3"/>
  <c r="J12" i="3"/>
  <c r="I12" i="3"/>
  <c r="M12" i="3" s="1"/>
  <c r="V11" i="3"/>
  <c r="L11" i="3"/>
  <c r="K11" i="3"/>
  <c r="J11" i="3"/>
  <c r="I11" i="3"/>
  <c r="M11" i="3" s="1"/>
  <c r="V10" i="3"/>
  <c r="L10" i="3"/>
  <c r="K10" i="3"/>
  <c r="J10" i="3"/>
  <c r="I10" i="3"/>
  <c r="M10" i="3" s="1"/>
  <c r="N10" i="3" s="1"/>
  <c r="W10" i="3" s="1"/>
  <c r="V9" i="3"/>
  <c r="L9" i="3"/>
  <c r="K9" i="3"/>
  <c r="J9" i="3"/>
  <c r="I9" i="3"/>
  <c r="M9" i="3" s="1"/>
  <c r="V8" i="3"/>
  <c r="L8" i="3"/>
  <c r="K8" i="3"/>
  <c r="J8" i="3"/>
  <c r="N8" i="3" s="1"/>
  <c r="I8" i="3"/>
  <c r="M8" i="3" s="1"/>
  <c r="V7" i="3"/>
  <c r="L7" i="3"/>
  <c r="K7" i="3"/>
  <c r="J7" i="3"/>
  <c r="I7" i="3"/>
  <c r="M7" i="3" s="1"/>
  <c r="V6" i="3"/>
  <c r="L6" i="3"/>
  <c r="K6" i="3"/>
  <c r="J6" i="3"/>
  <c r="I6" i="3"/>
  <c r="M6" i="3" s="1"/>
  <c r="V5" i="3"/>
  <c r="L5" i="3"/>
  <c r="K5" i="3"/>
  <c r="J5" i="3"/>
  <c r="I5" i="3"/>
  <c r="M5" i="3" s="1"/>
  <c r="V4" i="3"/>
  <c r="L4" i="3"/>
  <c r="K4" i="3"/>
  <c r="J4" i="3"/>
  <c r="I4" i="3"/>
  <c r="M4" i="3" s="1"/>
  <c r="N4" i="3" s="1"/>
  <c r="W4" i="3" s="1"/>
  <c r="V3" i="3"/>
  <c r="L3" i="3"/>
  <c r="K3" i="3"/>
  <c r="J3" i="3"/>
  <c r="I3" i="3"/>
  <c r="M3" i="3" s="1"/>
  <c r="V2" i="3"/>
  <c r="L2" i="3"/>
  <c r="K2" i="3"/>
  <c r="J2" i="3"/>
  <c r="I2" i="3"/>
  <c r="M2" i="3" s="1"/>
  <c r="B10" i="1"/>
  <c r="U31" i="5" l="1"/>
  <c r="AI31" i="5" s="1"/>
  <c r="Q31" i="5"/>
  <c r="AE31" i="5" s="1"/>
  <c r="N28" i="3"/>
  <c r="W28" i="3" s="1"/>
  <c r="Y43" i="5"/>
  <c r="AM43" i="5" s="1"/>
  <c r="R6" i="5"/>
  <c r="AF6" i="5" s="1"/>
  <c r="N9" i="3"/>
  <c r="S6" i="5"/>
  <c r="AG6" i="5" s="1"/>
  <c r="M29" i="5"/>
  <c r="AB29" i="5" s="1"/>
  <c r="G17" i="4"/>
  <c r="K17" i="4" s="1"/>
  <c r="O17" i="4" s="1"/>
  <c r="H24" i="4"/>
  <c r="L24" i="4" s="1"/>
  <c r="N18" i="5"/>
  <c r="AC18" i="5" s="1"/>
  <c r="P50" i="5"/>
  <c r="U50" i="5" s="1"/>
  <c r="AI50" i="5" s="1"/>
  <c r="N55" i="5"/>
  <c r="AC55" i="5" s="1"/>
  <c r="H17" i="4"/>
  <c r="L17" i="4" s="1"/>
  <c r="AA34" i="5"/>
  <c r="V50" i="5"/>
  <c r="AJ50" i="5" s="1"/>
  <c r="G29" i="4"/>
  <c r="K29" i="4" s="1"/>
  <c r="O29" i="4" s="1"/>
  <c r="G24" i="4"/>
  <c r="K24" i="4" s="1"/>
  <c r="O24" i="4" s="1"/>
  <c r="W8" i="3"/>
  <c r="N14" i="3"/>
  <c r="W14" i="3" s="1"/>
  <c r="N20" i="3"/>
  <c r="W20" i="3" s="1"/>
  <c r="W31" i="3"/>
  <c r="L39" i="3"/>
  <c r="D5" i="1" s="1"/>
  <c r="E5" i="1" s="1"/>
  <c r="N37" i="3"/>
  <c r="W37" i="3" s="1"/>
  <c r="V12" i="5"/>
  <c r="AJ12" i="5" s="1"/>
  <c r="V18" i="5"/>
  <c r="AJ18" i="5" s="1"/>
  <c r="M47" i="5"/>
  <c r="AB47" i="5" s="1"/>
  <c r="X12" i="5"/>
  <c r="AL12" i="5" s="1"/>
  <c r="N16" i="5"/>
  <c r="AC16" i="5" s="1"/>
  <c r="AA55" i="5"/>
  <c r="P59" i="5"/>
  <c r="U59" i="5" s="1"/>
  <c r="AI59" i="5" s="1"/>
  <c r="V39" i="3"/>
  <c r="D8" i="1" s="1"/>
  <c r="Y12" i="5"/>
  <c r="AM12" i="5" s="1"/>
  <c r="Q16" i="5"/>
  <c r="AE16" i="5" s="1"/>
  <c r="R47" i="5"/>
  <c r="AF47" i="5" s="1"/>
  <c r="N38" i="3"/>
  <c r="W38" i="3" s="1"/>
  <c r="H6" i="4"/>
  <c r="L6" i="4" s="1"/>
  <c r="I12" i="4"/>
  <c r="M12" i="4" s="1"/>
  <c r="I31" i="4"/>
  <c r="M31" i="4" s="1"/>
  <c r="O31" i="4" s="1"/>
  <c r="R16" i="5"/>
  <c r="AF16" i="5" s="1"/>
  <c r="X27" i="5"/>
  <c r="AL27" i="5" s="1"/>
  <c r="N35" i="5"/>
  <c r="AC35" i="5" s="1"/>
  <c r="P44" i="5"/>
  <c r="S47" i="5"/>
  <c r="AG47" i="5" s="1"/>
  <c r="W51" i="5"/>
  <c r="AK51" i="5" s="1"/>
  <c r="M56" i="5"/>
  <c r="AB56" i="5" s="1"/>
  <c r="O12" i="4"/>
  <c r="N33" i="3"/>
  <c r="W33" i="3" s="1"/>
  <c r="I26" i="4"/>
  <c r="M26" i="4" s="1"/>
  <c r="P2" i="5"/>
  <c r="R2" i="5" s="1"/>
  <c r="R5" i="5"/>
  <c r="AF5" i="5" s="1"/>
  <c r="Y16" i="5"/>
  <c r="AM16" i="5" s="1"/>
  <c r="M19" i="5"/>
  <c r="AB19" i="5" s="1"/>
  <c r="T30" i="5"/>
  <c r="AH30" i="5" s="1"/>
  <c r="R33" i="5"/>
  <c r="AF33" i="5" s="1"/>
  <c r="Q35" i="5"/>
  <c r="AE35" i="5" s="1"/>
  <c r="V42" i="5"/>
  <c r="AJ42" i="5" s="1"/>
  <c r="Y44" i="5"/>
  <c r="AM44" i="5" s="1"/>
  <c r="V56" i="5"/>
  <c r="AJ56" i="5" s="1"/>
  <c r="M60" i="5"/>
  <c r="AB60" i="5" s="1"/>
  <c r="S5" i="5"/>
  <c r="AG5" i="5" s="1"/>
  <c r="V13" i="5"/>
  <c r="AJ13" i="5" s="1"/>
  <c r="S33" i="5"/>
  <c r="AG33" i="5" s="1"/>
  <c r="S35" i="5"/>
  <c r="AG35" i="5" s="1"/>
  <c r="P37" i="5"/>
  <c r="Z56" i="5"/>
  <c r="AN56" i="5" s="1"/>
  <c r="G13" i="4"/>
  <c r="K13" i="4" s="1"/>
  <c r="O13" i="4" s="1"/>
  <c r="H19" i="4"/>
  <c r="L19" i="4" s="1"/>
  <c r="U5" i="5"/>
  <c r="AI5" i="5" s="1"/>
  <c r="W13" i="5"/>
  <c r="AK13" i="5" s="1"/>
  <c r="P19" i="5"/>
  <c r="S19" i="5" s="1"/>
  <c r="AG19" i="5" s="1"/>
  <c r="AA30" i="5"/>
  <c r="T33" i="5"/>
  <c r="AH33" i="5" s="1"/>
  <c r="T35" i="5"/>
  <c r="AH35" i="5" s="1"/>
  <c r="X42" i="5"/>
  <c r="AL42" i="5" s="1"/>
  <c r="V5" i="5"/>
  <c r="AJ5" i="5" s="1"/>
  <c r="Y13" i="5"/>
  <c r="AM13" i="5" s="1"/>
  <c r="U35" i="5"/>
  <c r="AI35" i="5" s="1"/>
  <c r="AO35" i="5" s="1"/>
  <c r="Y42" i="5"/>
  <c r="AM42" i="5" s="1"/>
  <c r="I7" i="4"/>
  <c r="M7" i="4" s="1"/>
  <c r="AD2" i="5"/>
  <c r="AD63" i="5" s="1"/>
  <c r="W5" i="5"/>
  <c r="AK5" i="5" s="1"/>
  <c r="AA7" i="5"/>
  <c r="N28" i="5"/>
  <c r="AC28" i="5" s="1"/>
  <c r="V33" i="5"/>
  <c r="AJ33" i="5" s="1"/>
  <c r="V35" i="5"/>
  <c r="AJ35" i="5" s="1"/>
  <c r="Z42" i="5"/>
  <c r="AN42" i="5" s="1"/>
  <c r="V52" i="5"/>
  <c r="AJ52" i="5" s="1"/>
  <c r="N22" i="3"/>
  <c r="W22" i="3" s="1"/>
  <c r="N34" i="3"/>
  <c r="X5" i="5"/>
  <c r="AL5" i="5" s="1"/>
  <c r="AA13" i="5"/>
  <c r="W33" i="5"/>
  <c r="AK33" i="5" s="1"/>
  <c r="AO33" i="5" s="1"/>
  <c r="W35" i="5"/>
  <c r="AK35" i="5" s="1"/>
  <c r="AA39" i="5"/>
  <c r="X52" i="5"/>
  <c r="AL52" i="5" s="1"/>
  <c r="N57" i="5"/>
  <c r="AC57" i="5" s="1"/>
  <c r="G7" i="4"/>
  <c r="K7" i="4" s="1"/>
  <c r="N16" i="3"/>
  <c r="W16" i="3" s="1"/>
  <c r="H13" i="4"/>
  <c r="L13" i="4" s="1"/>
  <c r="O33" i="4"/>
  <c r="Y5" i="5"/>
  <c r="AM5" i="5" s="1"/>
  <c r="P28" i="5"/>
  <c r="X33" i="5"/>
  <c r="AL33" i="5" s="1"/>
  <c r="X35" i="5"/>
  <c r="AL35" i="5" s="1"/>
  <c r="N17" i="3"/>
  <c r="W17" i="3" s="1"/>
  <c r="V28" i="5"/>
  <c r="AJ28" i="5" s="1"/>
  <c r="Y33" i="5"/>
  <c r="AM33" i="5" s="1"/>
  <c r="V37" i="5"/>
  <c r="AJ37" i="5" s="1"/>
  <c r="P57" i="5"/>
  <c r="U57" i="5" s="1"/>
  <c r="AI57" i="5" s="1"/>
  <c r="N61" i="5"/>
  <c r="AC61" i="5" s="1"/>
  <c r="O25" i="4"/>
  <c r="K39" i="3"/>
  <c r="D4" i="1" s="1"/>
  <c r="E4" i="1" s="1"/>
  <c r="I21" i="4"/>
  <c r="M21" i="4" s="1"/>
  <c r="M17" i="5"/>
  <c r="AB17" i="5" s="1"/>
  <c r="X28" i="5"/>
  <c r="AL28" i="5" s="1"/>
  <c r="W37" i="5"/>
  <c r="AK37" i="5" s="1"/>
  <c r="W57" i="5"/>
  <c r="AK57" i="5" s="1"/>
  <c r="AA35" i="5"/>
  <c r="X37" i="5"/>
  <c r="AL37" i="5" s="1"/>
  <c r="M14" i="5"/>
  <c r="AB14" i="5" s="1"/>
  <c r="Y37" i="5"/>
  <c r="AM37" i="5" s="1"/>
  <c r="Q8" i="5"/>
  <c r="AE8" i="5" s="1"/>
  <c r="AO8" i="5" s="1"/>
  <c r="M11" i="5"/>
  <c r="AB11" i="5" s="1"/>
  <c r="Z37" i="5"/>
  <c r="AN37" i="5" s="1"/>
  <c r="N29" i="3"/>
  <c r="W29" i="3" s="1"/>
  <c r="N43" i="5"/>
  <c r="AC43" i="5" s="1"/>
  <c r="T8" i="5"/>
  <c r="AH8" i="5" s="1"/>
  <c r="W11" i="5"/>
  <c r="AK11" i="5" s="1"/>
  <c r="S17" i="5"/>
  <c r="AG17" i="5" s="1"/>
  <c r="M26" i="5"/>
  <c r="AB26" i="5" s="1"/>
  <c r="Y40" i="5"/>
  <c r="AM40" i="5" s="1"/>
  <c r="O27" i="4"/>
  <c r="N18" i="3"/>
  <c r="W18" i="3" s="1"/>
  <c r="H9" i="4"/>
  <c r="L9" i="4" s="1"/>
  <c r="O9" i="4" s="1"/>
  <c r="Y17" i="5"/>
  <c r="AM17" i="5" s="1"/>
  <c r="N34" i="5"/>
  <c r="AC34" i="5" s="1"/>
  <c r="P43" i="5"/>
  <c r="U43" i="5" s="1"/>
  <c r="AI43" i="5" s="1"/>
  <c r="AA37" i="5"/>
  <c r="N6" i="3"/>
  <c r="W6" i="3" s="1"/>
  <c r="N24" i="3"/>
  <c r="W24" i="3" s="1"/>
  <c r="H2" i="4"/>
  <c r="L2" i="4" s="1"/>
  <c r="O2" i="4" s="1"/>
  <c r="P4" i="5"/>
  <c r="U8" i="5"/>
  <c r="AI8" i="5" s="1"/>
  <c r="I2" i="4"/>
  <c r="G23" i="4"/>
  <c r="K23" i="4" s="1"/>
  <c r="O23" i="4" s="1"/>
  <c r="G28" i="4"/>
  <c r="K28" i="4" s="1"/>
  <c r="O28" i="4" s="1"/>
  <c r="V8" i="5"/>
  <c r="AJ8" i="5" s="1"/>
  <c r="Y11" i="5"/>
  <c r="AM11" i="5" s="1"/>
  <c r="Z17" i="5"/>
  <c r="AN17" i="5" s="1"/>
  <c r="N32" i="5"/>
  <c r="AC32" i="5" s="1"/>
  <c r="V43" i="5"/>
  <c r="AJ43" i="5" s="1"/>
  <c r="N46" i="5"/>
  <c r="AC46" i="5" s="1"/>
  <c r="M58" i="5"/>
  <c r="AB58" i="5" s="1"/>
  <c r="N4" i="5"/>
  <c r="AC4" i="5" s="1"/>
  <c r="R8" i="5"/>
  <c r="AF8" i="5" s="1"/>
  <c r="N30" i="3"/>
  <c r="H10" i="4"/>
  <c r="L10" i="4" s="1"/>
  <c r="G16" i="4"/>
  <c r="K16" i="4" s="1"/>
  <c r="H23" i="4"/>
  <c r="L23" i="4" s="1"/>
  <c r="I28" i="4"/>
  <c r="M28" i="4" s="1"/>
  <c r="O35" i="4"/>
  <c r="W8" i="5"/>
  <c r="AK8" i="5" s="1"/>
  <c r="P34" i="5"/>
  <c r="Q34" i="5" s="1"/>
  <c r="AE34" i="5" s="1"/>
  <c r="W43" i="5"/>
  <c r="AK43" i="5" s="1"/>
  <c r="H34" i="4"/>
  <c r="L34" i="4" s="1"/>
  <c r="X11" i="5"/>
  <c r="AL11" i="5" s="1"/>
  <c r="N26" i="5"/>
  <c r="AC26" i="5" s="1"/>
  <c r="N13" i="3"/>
  <c r="W13" i="3" s="1"/>
  <c r="N25" i="3"/>
  <c r="W25" i="3" s="1"/>
  <c r="I10" i="4"/>
  <c r="M10" i="4" s="1"/>
  <c r="O10" i="4" s="1"/>
  <c r="I16" i="4"/>
  <c r="M16" i="4" s="1"/>
  <c r="X8" i="5"/>
  <c r="AL8" i="5" s="1"/>
  <c r="P32" i="5"/>
  <c r="U32" i="5" s="1"/>
  <c r="AI32" i="5" s="1"/>
  <c r="P46" i="5"/>
  <c r="U46" i="5" s="1"/>
  <c r="AI46" i="5" s="1"/>
  <c r="X54" i="5"/>
  <c r="AL54" i="5" s="1"/>
  <c r="O11" i="4"/>
  <c r="W9" i="3"/>
  <c r="E8" i="1"/>
  <c r="O26" i="4"/>
  <c r="AO5" i="5"/>
  <c r="W34" i="3"/>
  <c r="M39" i="3"/>
  <c r="D6" i="1" s="1"/>
  <c r="E6" i="1" s="1"/>
  <c r="N12" i="3"/>
  <c r="W12" i="3" s="1"/>
  <c r="N32" i="3"/>
  <c r="W32" i="3" s="1"/>
  <c r="N21" i="3"/>
  <c r="W21" i="3" s="1"/>
  <c r="N5" i="3"/>
  <c r="W5" i="3" s="1"/>
  <c r="W30" i="3"/>
  <c r="N36" i="3"/>
  <c r="W36" i="3" s="1"/>
  <c r="U18" i="5"/>
  <c r="AI18" i="5" s="1"/>
  <c r="R18" i="5"/>
  <c r="AF18" i="5" s="1"/>
  <c r="N15" i="3"/>
  <c r="W15" i="3" s="1"/>
  <c r="Q18" i="5"/>
  <c r="AE18" i="5" s="1"/>
  <c r="X21" i="5"/>
  <c r="AL21" i="5" s="1"/>
  <c r="P21" i="5"/>
  <c r="N21" i="5"/>
  <c r="AC21" i="5" s="1"/>
  <c r="X24" i="5"/>
  <c r="AL24" i="5" s="1"/>
  <c r="P24" i="5"/>
  <c r="X45" i="5"/>
  <c r="AL45" i="5" s="1"/>
  <c r="W45" i="5"/>
  <c r="AK45" i="5" s="1"/>
  <c r="V45" i="5"/>
  <c r="AJ45" i="5" s="1"/>
  <c r="P45" i="5"/>
  <c r="N45" i="5"/>
  <c r="AC45" i="5" s="1"/>
  <c r="T50" i="5"/>
  <c r="AH50" i="5" s="1"/>
  <c r="S18" i="5"/>
  <c r="AG18" i="5" s="1"/>
  <c r="AA21" i="5"/>
  <c r="M21" i="5"/>
  <c r="AB21" i="5" s="1"/>
  <c r="J38" i="4"/>
  <c r="O6" i="4"/>
  <c r="Y14" i="5"/>
  <c r="AM14" i="5" s="1"/>
  <c r="N14" i="5"/>
  <c r="AC14" i="5" s="1"/>
  <c r="T18" i="5"/>
  <c r="AH18" i="5" s="1"/>
  <c r="M24" i="5"/>
  <c r="AB24" i="5" s="1"/>
  <c r="U27" i="5"/>
  <c r="AI27" i="5" s="1"/>
  <c r="T27" i="5"/>
  <c r="AH27" i="5" s="1"/>
  <c r="S27" i="5"/>
  <c r="AG27" i="5" s="1"/>
  <c r="AO27" i="5" s="1"/>
  <c r="Q30" i="5"/>
  <c r="AE30" i="5" s="1"/>
  <c r="N11" i="3"/>
  <c r="W11" i="3" s="1"/>
  <c r="G14" i="4"/>
  <c r="K14" i="4" s="1"/>
  <c r="G37" i="4"/>
  <c r="K37" i="4" s="1"/>
  <c r="R4" i="5"/>
  <c r="AF4" i="5" s="1"/>
  <c r="N24" i="5"/>
  <c r="AC24" i="5" s="1"/>
  <c r="R30" i="5"/>
  <c r="AF30" i="5" s="1"/>
  <c r="M2" i="4"/>
  <c r="I14" i="4"/>
  <c r="M14" i="4" s="1"/>
  <c r="H37" i="4"/>
  <c r="L37" i="4" s="1"/>
  <c r="N7" i="5"/>
  <c r="AC7" i="5" s="1"/>
  <c r="V7" i="5"/>
  <c r="AJ7" i="5" s="1"/>
  <c r="P39" i="5"/>
  <c r="N39" i="5"/>
  <c r="AC39" i="5" s="1"/>
  <c r="Z39" i="5"/>
  <c r="AN39" i="5" s="1"/>
  <c r="Y39" i="5"/>
  <c r="AM39" i="5" s="1"/>
  <c r="V39" i="5"/>
  <c r="AJ39" i="5" s="1"/>
  <c r="P41" i="5"/>
  <c r="N41" i="5"/>
  <c r="AC41" i="5" s="1"/>
  <c r="Y41" i="5"/>
  <c r="AM41" i="5" s="1"/>
  <c r="X41" i="5"/>
  <c r="AL41" i="5" s="1"/>
  <c r="I39" i="3"/>
  <c r="B6" i="1" s="1"/>
  <c r="J39" i="3"/>
  <c r="D3" i="1" s="1"/>
  <c r="E3" i="1" s="1"/>
  <c r="N38" i="4"/>
  <c r="G18" i="4"/>
  <c r="K18" i="4" s="1"/>
  <c r="O18" i="4" s="1"/>
  <c r="G22" i="4"/>
  <c r="K22" i="4" s="1"/>
  <c r="Y45" i="5"/>
  <c r="AM45" i="5" s="1"/>
  <c r="N2" i="3"/>
  <c r="N7" i="3"/>
  <c r="W7" i="3" s="1"/>
  <c r="H22" i="4"/>
  <c r="L22" i="4" s="1"/>
  <c r="U14" i="5"/>
  <c r="AI14" i="5" s="1"/>
  <c r="T14" i="5"/>
  <c r="AH14" i="5" s="1"/>
  <c r="S14" i="5"/>
  <c r="AG14" i="5" s="1"/>
  <c r="Q14" i="5"/>
  <c r="AE14" i="5" s="1"/>
  <c r="P7" i="5"/>
  <c r="R14" i="5"/>
  <c r="AF14" i="5" s="1"/>
  <c r="V21" i="5"/>
  <c r="AJ21" i="5" s="1"/>
  <c r="V24" i="5"/>
  <c r="AJ24" i="5" s="1"/>
  <c r="M3" i="5"/>
  <c r="AB3" i="5" s="1"/>
  <c r="W21" i="5"/>
  <c r="AK21" i="5" s="1"/>
  <c r="W24" i="5"/>
  <c r="AK24" i="5" s="1"/>
  <c r="X29" i="5"/>
  <c r="AL29" i="5" s="1"/>
  <c r="W29" i="5"/>
  <c r="AK29" i="5" s="1"/>
  <c r="V29" i="5"/>
  <c r="AJ29" i="5" s="1"/>
  <c r="M32" i="5"/>
  <c r="AB32" i="5" s="1"/>
  <c r="Q36" i="5"/>
  <c r="AE36" i="5" s="1"/>
  <c r="I3" i="4"/>
  <c r="M3" i="4" s="1"/>
  <c r="G30" i="4"/>
  <c r="K30" i="4" s="1"/>
  <c r="W14" i="5"/>
  <c r="AK14" i="5" s="1"/>
  <c r="T17" i="5"/>
  <c r="AH17" i="5" s="1"/>
  <c r="Q17" i="5"/>
  <c r="AE17" i="5" s="1"/>
  <c r="Y21" i="5"/>
  <c r="AM21" i="5" s="1"/>
  <c r="Y24" i="5"/>
  <c r="AM24" i="5" s="1"/>
  <c r="R36" i="5"/>
  <c r="AF36" i="5" s="1"/>
  <c r="V41" i="5"/>
  <c r="AJ41" i="5" s="1"/>
  <c r="I30" i="4"/>
  <c r="M30" i="4" s="1"/>
  <c r="P3" i="5"/>
  <c r="P10" i="5"/>
  <c r="Y10" i="5"/>
  <c r="AM10" i="5" s="1"/>
  <c r="X14" i="5"/>
  <c r="AL14" i="5" s="1"/>
  <c r="Z20" i="5"/>
  <c r="AN20" i="5" s="1"/>
  <c r="Y20" i="5"/>
  <c r="AM20" i="5" s="1"/>
  <c r="W20" i="5"/>
  <c r="AK20" i="5" s="1"/>
  <c r="N20" i="5"/>
  <c r="AC20" i="5" s="1"/>
  <c r="T36" i="5"/>
  <c r="AH36" i="5" s="1"/>
  <c r="W39" i="5"/>
  <c r="AK39" i="5" s="1"/>
  <c r="W41" i="5"/>
  <c r="AK41" i="5" s="1"/>
  <c r="G34" i="4"/>
  <c r="K34" i="4" s="1"/>
  <c r="O34" i="4" s="1"/>
  <c r="Z23" i="5"/>
  <c r="AN23" i="5" s="1"/>
  <c r="W23" i="5"/>
  <c r="AK23" i="5" s="1"/>
  <c r="P23" i="5"/>
  <c r="U36" i="5"/>
  <c r="AI36" i="5" s="1"/>
  <c r="X39" i="5"/>
  <c r="AL39" i="5" s="1"/>
  <c r="G15" i="4"/>
  <c r="K15" i="4" s="1"/>
  <c r="W7" i="5"/>
  <c r="AK7" i="5" s="1"/>
  <c r="N10" i="5"/>
  <c r="AC10" i="5" s="1"/>
  <c r="U17" i="5"/>
  <c r="AI17" i="5" s="1"/>
  <c r="I15" i="4"/>
  <c r="M15" i="4" s="1"/>
  <c r="X7" i="5"/>
  <c r="AL7" i="5" s="1"/>
  <c r="P20" i="5"/>
  <c r="P26" i="5"/>
  <c r="P29" i="5"/>
  <c r="Y7" i="5"/>
  <c r="AM7" i="5" s="1"/>
  <c r="X13" i="5"/>
  <c r="AL13" i="5" s="1"/>
  <c r="P13" i="5"/>
  <c r="N23" i="5"/>
  <c r="AC23" i="5" s="1"/>
  <c r="T46" i="5"/>
  <c r="AH46" i="5" s="1"/>
  <c r="S46" i="5"/>
  <c r="AG46" i="5" s="1"/>
  <c r="Q46" i="5"/>
  <c r="AE46" i="5" s="1"/>
  <c r="N3" i="3"/>
  <c r="W3" i="3" s="1"/>
  <c r="F38" i="4"/>
  <c r="G8" i="4"/>
  <c r="K8" i="4" s="1"/>
  <c r="C14" i="1"/>
  <c r="G4" i="4"/>
  <c r="K4" i="4" s="1"/>
  <c r="H8" i="4"/>
  <c r="L8" i="4" s="1"/>
  <c r="I19" i="4"/>
  <c r="M19" i="4" s="1"/>
  <c r="O19" i="4" s="1"/>
  <c r="V3" i="5"/>
  <c r="AJ3" i="5" s="1"/>
  <c r="M16" i="5"/>
  <c r="AB16" i="5" s="1"/>
  <c r="AO16" i="5" s="1"/>
  <c r="V26" i="5"/>
  <c r="AJ26" i="5" s="1"/>
  <c r="R46" i="5"/>
  <c r="AF46" i="5" s="1"/>
  <c r="I4" i="4"/>
  <c r="M4" i="4" s="1"/>
  <c r="K63" i="5"/>
  <c r="W3" i="5"/>
  <c r="AK3" i="5" s="1"/>
  <c r="N13" i="5"/>
  <c r="AC13" i="5" s="1"/>
  <c r="W26" i="5"/>
  <c r="AK26" i="5" s="1"/>
  <c r="N35" i="3"/>
  <c r="W35" i="3" s="1"/>
  <c r="M2" i="5"/>
  <c r="AA2" i="5"/>
  <c r="L63" i="5"/>
  <c r="X3" i="5"/>
  <c r="AL3" i="5" s="1"/>
  <c r="Q6" i="5"/>
  <c r="AE6" i="5" s="1"/>
  <c r="AO6" i="5" s="1"/>
  <c r="U6" i="5"/>
  <c r="AI6" i="5" s="1"/>
  <c r="V10" i="5"/>
  <c r="AJ10" i="5" s="1"/>
  <c r="X26" i="5"/>
  <c r="AL26" i="5" s="1"/>
  <c r="Y31" i="5"/>
  <c r="AM31" i="5" s="1"/>
  <c r="X31" i="5"/>
  <c r="AL31" i="5" s="1"/>
  <c r="W31" i="5"/>
  <c r="AK31" i="5" s="1"/>
  <c r="N31" i="5"/>
  <c r="AC31" i="5" s="1"/>
  <c r="Q38" i="5"/>
  <c r="AE38" i="5" s="1"/>
  <c r="U38" i="5"/>
  <c r="AI38" i="5" s="1"/>
  <c r="H3" i="4"/>
  <c r="L3" i="4" s="1"/>
  <c r="C16" i="1"/>
  <c r="AC2" i="5"/>
  <c r="Y3" i="5"/>
  <c r="AM3" i="5" s="1"/>
  <c r="W10" i="5"/>
  <c r="AK10" i="5" s="1"/>
  <c r="V20" i="5"/>
  <c r="AJ20" i="5" s="1"/>
  <c r="Y29" i="5"/>
  <c r="AM29" i="5" s="1"/>
  <c r="U42" i="5"/>
  <c r="AI42" i="5" s="1"/>
  <c r="T42" i="5"/>
  <c r="AH42" i="5" s="1"/>
  <c r="S42" i="5"/>
  <c r="AG42" i="5" s="1"/>
  <c r="R42" i="5"/>
  <c r="AF42" i="5" s="1"/>
  <c r="Q42" i="5"/>
  <c r="AE42" i="5" s="1"/>
  <c r="AA46" i="5"/>
  <c r="Y58" i="5"/>
  <c r="AM58" i="5" s="1"/>
  <c r="W58" i="5"/>
  <c r="AK58" i="5" s="1"/>
  <c r="V58" i="5"/>
  <c r="AJ58" i="5" s="1"/>
  <c r="P58" i="5"/>
  <c r="N58" i="5"/>
  <c r="AC58" i="5" s="1"/>
  <c r="P9" i="5"/>
  <c r="N9" i="5"/>
  <c r="AC9" i="5" s="1"/>
  <c r="X9" i="5"/>
  <c r="AL9" i="5" s="1"/>
  <c r="Q2" i="5"/>
  <c r="X23" i="5"/>
  <c r="AL23" i="5" s="1"/>
  <c r="S40" i="5"/>
  <c r="AG40" i="5" s="1"/>
  <c r="R40" i="5"/>
  <c r="AF40" i="5" s="1"/>
  <c r="Q40" i="5"/>
  <c r="AE40" i="5" s="1"/>
  <c r="G20" i="4"/>
  <c r="K20" i="4" s="1"/>
  <c r="AA10" i="5"/>
  <c r="Y23" i="5"/>
  <c r="AM23" i="5" s="1"/>
  <c r="M40" i="5"/>
  <c r="AB40" i="5" s="1"/>
  <c r="AA40" i="5"/>
  <c r="I20" i="4"/>
  <c r="M20" i="4" s="1"/>
  <c r="S2" i="5"/>
  <c r="Y22" i="5"/>
  <c r="AM22" i="5" s="1"/>
  <c r="V22" i="5"/>
  <c r="AJ22" i="5" s="1"/>
  <c r="P22" i="5"/>
  <c r="N22" i="5"/>
  <c r="AC22" i="5" s="1"/>
  <c r="U44" i="5"/>
  <c r="AI44" i="5" s="1"/>
  <c r="T44" i="5"/>
  <c r="AH44" i="5" s="1"/>
  <c r="S44" i="5"/>
  <c r="AG44" i="5" s="1"/>
  <c r="R44" i="5"/>
  <c r="AF44" i="5" s="1"/>
  <c r="Q44" i="5"/>
  <c r="AE44" i="5" s="1"/>
  <c r="N27" i="3"/>
  <c r="W27" i="3" s="1"/>
  <c r="G5" i="4"/>
  <c r="K5" i="4" s="1"/>
  <c r="O5" i="4" s="1"/>
  <c r="T2" i="5"/>
  <c r="Q19" i="5"/>
  <c r="AE19" i="5" s="1"/>
  <c r="N25" i="5"/>
  <c r="AC25" i="5" s="1"/>
  <c r="U28" i="5"/>
  <c r="AI28" i="5" s="1"/>
  <c r="T28" i="5"/>
  <c r="AH28" i="5" s="1"/>
  <c r="R31" i="5"/>
  <c r="AF31" i="5" s="1"/>
  <c r="T40" i="5"/>
  <c r="AH40" i="5" s="1"/>
  <c r="Y62" i="5"/>
  <c r="AM62" i="5" s="1"/>
  <c r="X62" i="5"/>
  <c r="AL62" i="5" s="1"/>
  <c r="W62" i="5"/>
  <c r="AK62" i="5" s="1"/>
  <c r="V62" i="5"/>
  <c r="AJ62" i="5" s="1"/>
  <c r="P62" i="5"/>
  <c r="N62" i="5"/>
  <c r="AC62" i="5" s="1"/>
  <c r="H5" i="4"/>
  <c r="L5" i="4" s="1"/>
  <c r="R19" i="5"/>
  <c r="AF19" i="5" s="1"/>
  <c r="M22" i="5"/>
  <c r="AB22" i="5" s="1"/>
  <c r="Q28" i="5"/>
  <c r="AE28" i="5" s="1"/>
  <c r="S31" i="5"/>
  <c r="AG31" i="5" s="1"/>
  <c r="U40" i="5"/>
  <c r="AI40" i="5" s="1"/>
  <c r="N15" i="5"/>
  <c r="AC15" i="5" s="1"/>
  <c r="T19" i="5"/>
  <c r="AH19" i="5" s="1"/>
  <c r="P25" i="5"/>
  <c r="R28" i="5"/>
  <c r="AF28" i="5" s="1"/>
  <c r="T31" i="5"/>
  <c r="AH31" i="5" s="1"/>
  <c r="G32" i="4"/>
  <c r="K32" i="4" s="1"/>
  <c r="U19" i="5"/>
  <c r="AI19" i="5" s="1"/>
  <c r="S28" i="5"/>
  <c r="AG28" i="5" s="1"/>
  <c r="AK2" i="5"/>
  <c r="G36" i="4"/>
  <c r="K36" i="4" s="1"/>
  <c r="X2" i="5"/>
  <c r="V9" i="5"/>
  <c r="AJ9" i="5" s="1"/>
  <c r="N12" i="5"/>
  <c r="AC12" i="5" s="1"/>
  <c r="P15" i="5"/>
  <c r="V25" i="5"/>
  <c r="AJ25" i="5" s="1"/>
  <c r="V31" i="5"/>
  <c r="AJ31" i="5" s="1"/>
  <c r="R34" i="5"/>
  <c r="AF34" i="5" s="1"/>
  <c r="AA42" i="5"/>
  <c r="C15" i="1"/>
  <c r="I36" i="4"/>
  <c r="M36" i="4" s="1"/>
  <c r="Y2" i="5"/>
  <c r="W9" i="5"/>
  <c r="AK9" i="5" s="1"/>
  <c r="W25" i="5"/>
  <c r="AK25" i="5" s="1"/>
  <c r="G21" i="4"/>
  <c r="K21" i="4" s="1"/>
  <c r="Y9" i="5"/>
  <c r="AM9" i="5" s="1"/>
  <c r="P12" i="5"/>
  <c r="X25" i="5"/>
  <c r="AL25" i="5" s="1"/>
  <c r="Y30" i="5"/>
  <c r="AM30" i="5" s="1"/>
  <c r="X30" i="5"/>
  <c r="AL30" i="5" s="1"/>
  <c r="W30" i="5"/>
  <c r="AK30" i="5" s="1"/>
  <c r="V30" i="5"/>
  <c r="AJ30" i="5" s="1"/>
  <c r="T34" i="5"/>
  <c r="AH34" i="5" s="1"/>
  <c r="N23" i="3"/>
  <c r="W23" i="3" s="1"/>
  <c r="I32" i="4"/>
  <c r="M32" i="4" s="1"/>
  <c r="N19" i="3"/>
  <c r="W19" i="3" s="1"/>
  <c r="AN63" i="5"/>
  <c r="W15" i="5"/>
  <c r="AK15" i="5" s="1"/>
  <c r="W22" i="5"/>
  <c r="AK22" i="5" s="1"/>
  <c r="AA59" i="5"/>
  <c r="M59" i="5"/>
  <c r="AB59" i="5" s="1"/>
  <c r="M62" i="5"/>
  <c r="AB62" i="5" s="1"/>
  <c r="N60" i="5"/>
  <c r="AC60" i="5" s="1"/>
  <c r="N59" i="5"/>
  <c r="AC59" i="5" s="1"/>
  <c r="P61" i="5"/>
  <c r="P60" i="5"/>
  <c r="Q59" i="5"/>
  <c r="AE59" i="5" s="1"/>
  <c r="M54" i="5"/>
  <c r="AB54" i="5" s="1"/>
  <c r="R59" i="5"/>
  <c r="AF59" i="5" s="1"/>
  <c r="M53" i="5"/>
  <c r="AB53" i="5" s="1"/>
  <c r="N54" i="5"/>
  <c r="AC54" i="5" s="1"/>
  <c r="P56" i="5"/>
  <c r="S59" i="5"/>
  <c r="AG59" i="5" s="1"/>
  <c r="M20" i="5"/>
  <c r="AB20" i="5" s="1"/>
  <c r="M52" i="5"/>
  <c r="AB52" i="5" s="1"/>
  <c r="N53" i="5"/>
  <c r="AC53" i="5" s="1"/>
  <c r="P55" i="5"/>
  <c r="T59" i="5"/>
  <c r="AH59" i="5" s="1"/>
  <c r="V61" i="5"/>
  <c r="AJ61" i="5" s="1"/>
  <c r="M51" i="5"/>
  <c r="AB51" i="5" s="1"/>
  <c r="N52" i="5"/>
  <c r="AC52" i="5" s="1"/>
  <c r="P54" i="5"/>
  <c r="V60" i="5"/>
  <c r="AJ60" i="5" s="1"/>
  <c r="W61" i="5"/>
  <c r="AK61" i="5" s="1"/>
  <c r="N19" i="5"/>
  <c r="AC19" i="5" s="1"/>
  <c r="M50" i="5"/>
  <c r="AB50" i="5" s="1"/>
  <c r="N51" i="5"/>
  <c r="AC51" i="5" s="1"/>
  <c r="P53" i="5"/>
  <c r="V59" i="5"/>
  <c r="AJ59" i="5" s="1"/>
  <c r="W60" i="5"/>
  <c r="AK60" i="5" s="1"/>
  <c r="X61" i="5"/>
  <c r="AL61" i="5" s="1"/>
  <c r="M49" i="5"/>
  <c r="AB49" i="5" s="1"/>
  <c r="N50" i="5"/>
  <c r="AC50" i="5" s="1"/>
  <c r="P52" i="5"/>
  <c r="W59" i="5"/>
  <c r="AK59" i="5" s="1"/>
  <c r="X60" i="5"/>
  <c r="AL60" i="5" s="1"/>
  <c r="N49" i="5"/>
  <c r="AC49" i="5" s="1"/>
  <c r="P51" i="5"/>
  <c r="V57" i="5"/>
  <c r="AJ57" i="5" s="1"/>
  <c r="N47" i="5"/>
  <c r="AC47" i="5" s="1"/>
  <c r="P49" i="5"/>
  <c r="V55" i="5"/>
  <c r="AJ55" i="5" s="1"/>
  <c r="W56" i="5"/>
  <c r="AK56" i="5" s="1"/>
  <c r="X57" i="5"/>
  <c r="AL57" i="5" s="1"/>
  <c r="P48" i="5"/>
  <c r="V54" i="5"/>
  <c r="AJ54" i="5" s="1"/>
  <c r="W55" i="5"/>
  <c r="AK55" i="5" s="1"/>
  <c r="X56" i="5"/>
  <c r="AL56" i="5" s="1"/>
  <c r="V53" i="5"/>
  <c r="AJ53" i="5" s="1"/>
  <c r="W54" i="5"/>
  <c r="AK54" i="5" s="1"/>
  <c r="N11" i="5"/>
  <c r="AC11" i="5" s="1"/>
  <c r="S16" i="5"/>
  <c r="AG16" i="5" s="1"/>
  <c r="V19" i="5"/>
  <c r="AJ19" i="5" s="1"/>
  <c r="V51" i="5"/>
  <c r="AJ51" i="5" s="1"/>
  <c r="W52" i="5"/>
  <c r="AK52" i="5" s="1"/>
  <c r="P11" i="5"/>
  <c r="V17" i="5"/>
  <c r="AJ17" i="5" s="1"/>
  <c r="W18" i="5"/>
  <c r="AK18" i="5" s="1"/>
  <c r="X19" i="5"/>
  <c r="AL19" i="5" s="1"/>
  <c r="V49" i="5"/>
  <c r="AJ49" i="5" s="1"/>
  <c r="W50" i="5"/>
  <c r="AK50" i="5" s="1"/>
  <c r="X51" i="5"/>
  <c r="AL51" i="5" s="1"/>
  <c r="Y52" i="5"/>
  <c r="AM52" i="5" s="1"/>
  <c r="V16" i="5"/>
  <c r="AJ16" i="5" s="1"/>
  <c r="W17" i="5"/>
  <c r="AK17" i="5" s="1"/>
  <c r="X18" i="5"/>
  <c r="AL18" i="5" s="1"/>
  <c r="N40" i="5"/>
  <c r="AC40" i="5" s="1"/>
  <c r="Q43" i="5"/>
  <c r="AE43" i="5" s="1"/>
  <c r="V48" i="5"/>
  <c r="AJ48" i="5" s="1"/>
  <c r="W49" i="5"/>
  <c r="AK49" i="5" s="1"/>
  <c r="X50" i="5"/>
  <c r="AL50" i="5" s="1"/>
  <c r="R43" i="5"/>
  <c r="AF43" i="5" s="1"/>
  <c r="W48" i="5"/>
  <c r="AK48" i="5" s="1"/>
  <c r="X49" i="5"/>
  <c r="AL49" i="5" s="1"/>
  <c r="N38" i="5"/>
  <c r="AC38" i="5" s="1"/>
  <c r="V46" i="5"/>
  <c r="AJ46" i="5" s="1"/>
  <c r="W47" i="5"/>
  <c r="AK47" i="5" s="1"/>
  <c r="X48" i="5"/>
  <c r="AL48" i="5" s="1"/>
  <c r="Y49" i="5"/>
  <c r="AM49" i="5" s="1"/>
  <c r="T43" i="5"/>
  <c r="AH43" i="5" s="1"/>
  <c r="W46" i="5"/>
  <c r="AK46" i="5" s="1"/>
  <c r="X47" i="5"/>
  <c r="AL47" i="5" s="1"/>
  <c r="S57" i="5" l="1"/>
  <c r="AG57" i="5" s="1"/>
  <c r="R57" i="5"/>
  <c r="AF57" i="5" s="1"/>
  <c r="AO47" i="5"/>
  <c r="AO36" i="5"/>
  <c r="AO17" i="5"/>
  <c r="R32" i="5"/>
  <c r="AF32" i="5" s="1"/>
  <c r="Q32" i="5"/>
  <c r="AE32" i="5" s="1"/>
  <c r="T57" i="5"/>
  <c r="AH57" i="5" s="1"/>
  <c r="AO44" i="5"/>
  <c r="U34" i="5"/>
  <c r="AI34" i="5" s="1"/>
  <c r="T32" i="5"/>
  <c r="AH32" i="5" s="1"/>
  <c r="S4" i="5"/>
  <c r="AG4" i="5" s="1"/>
  <c r="U4" i="5"/>
  <c r="AI4" i="5" s="1"/>
  <c r="T4" i="5"/>
  <c r="AH4" i="5" s="1"/>
  <c r="AO28" i="5"/>
  <c r="Q50" i="5"/>
  <c r="AE50" i="5" s="1"/>
  <c r="O4" i="4"/>
  <c r="AO4" i="5"/>
  <c r="R50" i="5"/>
  <c r="AF50" i="5" s="1"/>
  <c r="S50" i="5"/>
  <c r="AG50" i="5" s="1"/>
  <c r="AO19" i="5"/>
  <c r="AO18" i="5"/>
  <c r="O14" i="4"/>
  <c r="O3" i="4"/>
  <c r="D14" i="1" s="1"/>
  <c r="AO30" i="5"/>
  <c r="AO50" i="5"/>
  <c r="AO31" i="5"/>
  <c r="O7" i="4"/>
  <c r="S32" i="5"/>
  <c r="AG32" i="5" s="1"/>
  <c r="U37" i="5"/>
  <c r="AI37" i="5" s="1"/>
  <c r="T37" i="5"/>
  <c r="AH37" i="5" s="1"/>
  <c r="S37" i="5"/>
  <c r="AG37" i="5" s="1"/>
  <c r="R37" i="5"/>
  <c r="AF37" i="5" s="1"/>
  <c r="Q37" i="5"/>
  <c r="AE37" i="5" s="1"/>
  <c r="U2" i="5"/>
  <c r="S43" i="5"/>
  <c r="AG43" i="5" s="1"/>
  <c r="AO43" i="5" s="1"/>
  <c r="AO38" i="5"/>
  <c r="S34" i="5"/>
  <c r="AG34" i="5" s="1"/>
  <c r="AO34" i="5" s="1"/>
  <c r="AO14" i="5"/>
  <c r="O16" i="4"/>
  <c r="AJ63" i="5"/>
  <c r="B16" i="1"/>
  <c r="O21" i="4"/>
  <c r="O20" i="4"/>
  <c r="Q57" i="5"/>
  <c r="AE57" i="5" s="1"/>
  <c r="Q4" i="5"/>
  <c r="AE4" i="5" s="1"/>
  <c r="AC63" i="5"/>
  <c r="R39" i="5"/>
  <c r="AF39" i="5" s="1"/>
  <c r="Q39" i="5"/>
  <c r="AE39" i="5" s="1"/>
  <c r="U39" i="5"/>
  <c r="AI39" i="5" s="1"/>
  <c r="T39" i="5"/>
  <c r="AH39" i="5" s="1"/>
  <c r="S39" i="5"/>
  <c r="AG39" i="5" s="1"/>
  <c r="U45" i="5"/>
  <c r="AI45" i="5" s="1"/>
  <c r="T45" i="5"/>
  <c r="AH45" i="5" s="1"/>
  <c r="S45" i="5"/>
  <c r="AG45" i="5" s="1"/>
  <c r="R45" i="5"/>
  <c r="AF45" i="5" s="1"/>
  <c r="Q45" i="5"/>
  <c r="AE45" i="5" s="1"/>
  <c r="U60" i="5"/>
  <c r="AI60" i="5" s="1"/>
  <c r="T60" i="5"/>
  <c r="AH60" i="5" s="1"/>
  <c r="S60" i="5"/>
  <c r="AG60" i="5" s="1"/>
  <c r="R60" i="5"/>
  <c r="AF60" i="5" s="1"/>
  <c r="Q60" i="5"/>
  <c r="AE60" i="5" s="1"/>
  <c r="C18" i="1"/>
  <c r="V63" i="5"/>
  <c r="U62" i="5"/>
  <c r="AI62" i="5" s="1"/>
  <c r="T62" i="5"/>
  <c r="AH62" i="5" s="1"/>
  <c r="AO62" i="5" s="1"/>
  <c r="S62" i="5"/>
  <c r="AG62" i="5" s="1"/>
  <c r="R62" i="5"/>
  <c r="AF62" i="5" s="1"/>
  <c r="Q62" i="5"/>
  <c r="AE62" i="5" s="1"/>
  <c r="U52" i="5"/>
  <c r="AI52" i="5" s="1"/>
  <c r="T52" i="5"/>
  <c r="AH52" i="5" s="1"/>
  <c r="S52" i="5"/>
  <c r="AG52" i="5" s="1"/>
  <c r="Q52" i="5"/>
  <c r="AE52" i="5" s="1"/>
  <c r="R52" i="5"/>
  <c r="AF52" i="5" s="1"/>
  <c r="O8" i="4"/>
  <c r="S24" i="5"/>
  <c r="AG24" i="5" s="1"/>
  <c r="R24" i="5"/>
  <c r="AF24" i="5" s="1"/>
  <c r="Q24" i="5"/>
  <c r="AE24" i="5" s="1"/>
  <c r="U24" i="5"/>
  <c r="AI24" i="5" s="1"/>
  <c r="T24" i="5"/>
  <c r="AH24" i="5" s="1"/>
  <c r="B17" i="1"/>
  <c r="U61" i="5"/>
  <c r="AI61" i="5" s="1"/>
  <c r="T61" i="5"/>
  <c r="AH61" i="5" s="1"/>
  <c r="S61" i="5"/>
  <c r="AG61" i="5" s="1"/>
  <c r="R61" i="5"/>
  <c r="AF61" i="5" s="1"/>
  <c r="Q61" i="5"/>
  <c r="AE61" i="5" s="1"/>
  <c r="AO61" i="5" s="1"/>
  <c r="M38" i="4"/>
  <c r="U21" i="5"/>
  <c r="AI21" i="5" s="1"/>
  <c r="T21" i="5"/>
  <c r="AH21" i="5" s="1"/>
  <c r="S21" i="5"/>
  <c r="AG21" i="5" s="1"/>
  <c r="R21" i="5"/>
  <c r="AF21" i="5" s="1"/>
  <c r="Q21" i="5"/>
  <c r="AE21" i="5" s="1"/>
  <c r="AO21" i="5" s="1"/>
  <c r="AO42" i="5"/>
  <c r="R7" i="5"/>
  <c r="AF7" i="5" s="1"/>
  <c r="U7" i="5"/>
  <c r="AI7" i="5" s="1"/>
  <c r="T7" i="5"/>
  <c r="AH7" i="5" s="1"/>
  <c r="S7" i="5"/>
  <c r="AG7" i="5" s="1"/>
  <c r="Q7" i="5"/>
  <c r="AE7" i="5" s="1"/>
  <c r="AO59" i="5"/>
  <c r="U15" i="5"/>
  <c r="AI15" i="5" s="1"/>
  <c r="T15" i="5"/>
  <c r="AH15" i="5" s="1"/>
  <c r="R15" i="5"/>
  <c r="AF15" i="5" s="1"/>
  <c r="S15" i="5"/>
  <c r="AG15" i="5" s="1"/>
  <c r="Q15" i="5"/>
  <c r="AE15" i="5" s="1"/>
  <c r="AO15" i="5" s="1"/>
  <c r="U53" i="5"/>
  <c r="AI53" i="5" s="1"/>
  <c r="T53" i="5"/>
  <c r="AH53" i="5" s="1"/>
  <c r="R53" i="5"/>
  <c r="AF53" i="5" s="1"/>
  <c r="Q53" i="5"/>
  <c r="AE53" i="5" s="1"/>
  <c r="S53" i="5"/>
  <c r="AG53" i="5" s="1"/>
  <c r="L38" i="4"/>
  <c r="T13" i="5"/>
  <c r="AH13" i="5" s="1"/>
  <c r="S13" i="5"/>
  <c r="AG13" i="5" s="1"/>
  <c r="R13" i="5"/>
  <c r="AF13" i="5" s="1"/>
  <c r="U13" i="5"/>
  <c r="AI13" i="5" s="1"/>
  <c r="Q13" i="5"/>
  <c r="AE13" i="5" s="1"/>
  <c r="D15" i="1"/>
  <c r="T9" i="5"/>
  <c r="AH9" i="5" s="1"/>
  <c r="S9" i="5"/>
  <c r="AG9" i="5" s="1"/>
  <c r="U9" i="5"/>
  <c r="AI9" i="5" s="1"/>
  <c r="R9" i="5"/>
  <c r="AF9" i="5" s="1"/>
  <c r="Q9" i="5"/>
  <c r="AE9" i="5" s="1"/>
  <c r="AO9" i="5" s="1"/>
  <c r="U58" i="5"/>
  <c r="AI58" i="5" s="1"/>
  <c r="T58" i="5"/>
  <c r="AH58" i="5" s="1"/>
  <c r="S58" i="5"/>
  <c r="AG58" i="5" s="1"/>
  <c r="R58" i="5"/>
  <c r="AF58" i="5" s="1"/>
  <c r="Q58" i="5"/>
  <c r="AE58" i="5" s="1"/>
  <c r="AO58" i="5" s="1"/>
  <c r="N39" i="3"/>
  <c r="D7" i="1" s="1"/>
  <c r="E7" i="1" s="1"/>
  <c r="W2" i="3"/>
  <c r="W39" i="3" s="1"/>
  <c r="B14" i="1"/>
  <c r="O32" i="4"/>
  <c r="U29" i="5"/>
  <c r="AI29" i="5" s="1"/>
  <c r="T29" i="5"/>
  <c r="AH29" i="5" s="1"/>
  <c r="S29" i="5"/>
  <c r="AG29" i="5" s="1"/>
  <c r="R29" i="5"/>
  <c r="AF29" i="5" s="1"/>
  <c r="Q29" i="5"/>
  <c r="AE29" i="5" s="1"/>
  <c r="AO29" i="5" s="1"/>
  <c r="U26" i="5"/>
  <c r="AI26" i="5" s="1"/>
  <c r="T26" i="5"/>
  <c r="AH26" i="5" s="1"/>
  <c r="S26" i="5"/>
  <c r="AG26" i="5" s="1"/>
  <c r="R26" i="5"/>
  <c r="AF26" i="5" s="1"/>
  <c r="Q26" i="5"/>
  <c r="AE26" i="5" s="1"/>
  <c r="AO26" i="5" s="1"/>
  <c r="O22" i="4"/>
  <c r="U54" i="5"/>
  <c r="AI54" i="5" s="1"/>
  <c r="S54" i="5"/>
  <c r="AG54" i="5" s="1"/>
  <c r="R54" i="5"/>
  <c r="AF54" i="5" s="1"/>
  <c r="Q54" i="5"/>
  <c r="AE54" i="5" s="1"/>
  <c r="T54" i="5"/>
  <c r="AH54" i="5" s="1"/>
  <c r="AO13" i="5"/>
  <c r="T20" i="5"/>
  <c r="AH20" i="5" s="1"/>
  <c r="U20" i="5"/>
  <c r="AI20" i="5" s="1"/>
  <c r="S20" i="5"/>
  <c r="AG20" i="5" s="1"/>
  <c r="R20" i="5"/>
  <c r="AF20" i="5" s="1"/>
  <c r="Q20" i="5"/>
  <c r="AE20" i="5" s="1"/>
  <c r="AO20" i="5" s="1"/>
  <c r="G38" i="4"/>
  <c r="AE2" i="5"/>
  <c r="AO2" i="5" s="1"/>
  <c r="K38" i="4"/>
  <c r="B15" i="1"/>
  <c r="R11" i="5"/>
  <c r="AF11" i="5" s="1"/>
  <c r="Q11" i="5"/>
  <c r="AE11" i="5" s="1"/>
  <c r="AO11" i="5" s="1"/>
  <c r="U11" i="5"/>
  <c r="AI11" i="5" s="1"/>
  <c r="T11" i="5"/>
  <c r="AH11" i="5" s="1"/>
  <c r="S11" i="5"/>
  <c r="AG11" i="5" s="1"/>
  <c r="P63" i="5"/>
  <c r="R3" i="5"/>
  <c r="AF3" i="5" s="1"/>
  <c r="Q3" i="5"/>
  <c r="AE3" i="5" s="1"/>
  <c r="U3" i="5"/>
  <c r="AI3" i="5" s="1"/>
  <c r="T3" i="5"/>
  <c r="AH3" i="5" s="1"/>
  <c r="S3" i="5"/>
  <c r="AG3" i="5" s="1"/>
  <c r="M63" i="5"/>
  <c r="AB2" i="5"/>
  <c r="AB63" i="5" s="1"/>
  <c r="T25" i="5"/>
  <c r="AH25" i="5" s="1"/>
  <c r="S25" i="5"/>
  <c r="AG25" i="5" s="1"/>
  <c r="R25" i="5"/>
  <c r="AF25" i="5" s="1"/>
  <c r="Q25" i="5"/>
  <c r="AE25" i="5" s="1"/>
  <c r="U25" i="5"/>
  <c r="AI25" i="5" s="1"/>
  <c r="AO46" i="5"/>
  <c r="U48" i="5"/>
  <c r="AI48" i="5" s="1"/>
  <c r="S48" i="5"/>
  <c r="AG48" i="5" s="1"/>
  <c r="Q48" i="5"/>
  <c r="AE48" i="5" s="1"/>
  <c r="T48" i="5"/>
  <c r="AH48" i="5" s="1"/>
  <c r="R48" i="5"/>
  <c r="AF48" i="5" s="1"/>
  <c r="T55" i="5"/>
  <c r="AH55" i="5" s="1"/>
  <c r="S55" i="5"/>
  <c r="AG55" i="5" s="1"/>
  <c r="R55" i="5"/>
  <c r="AF55" i="5" s="1"/>
  <c r="Q55" i="5"/>
  <c r="AE55" i="5" s="1"/>
  <c r="U55" i="5"/>
  <c r="AI55" i="5" s="1"/>
  <c r="Q22" i="5"/>
  <c r="AE22" i="5" s="1"/>
  <c r="U22" i="5"/>
  <c r="AI22" i="5" s="1"/>
  <c r="T22" i="5"/>
  <c r="AH22" i="5" s="1"/>
  <c r="S22" i="5"/>
  <c r="AG22" i="5" s="1"/>
  <c r="R22" i="5"/>
  <c r="AF22" i="5" s="1"/>
  <c r="AF2" i="5"/>
  <c r="O37" i="4"/>
  <c r="U10" i="5"/>
  <c r="AI10" i="5" s="1"/>
  <c r="Q10" i="5"/>
  <c r="AE10" i="5" s="1"/>
  <c r="T10" i="5"/>
  <c r="AH10" i="5" s="1"/>
  <c r="S10" i="5"/>
  <c r="AG10" i="5" s="1"/>
  <c r="R10" i="5"/>
  <c r="AF10" i="5" s="1"/>
  <c r="W63" i="5"/>
  <c r="I38" i="4"/>
  <c r="O30" i="4"/>
  <c r="D16" i="1" s="1"/>
  <c r="O15" i="4"/>
  <c r="T41" i="5"/>
  <c r="AH41" i="5" s="1"/>
  <c r="S41" i="5"/>
  <c r="AG41" i="5" s="1"/>
  <c r="R41" i="5"/>
  <c r="AF41" i="5" s="1"/>
  <c r="Q41" i="5"/>
  <c r="AE41" i="5" s="1"/>
  <c r="U41" i="5"/>
  <c r="AI41" i="5" s="1"/>
  <c r="X63" i="5"/>
  <c r="AL2" i="5"/>
  <c r="AL63" i="5" s="1"/>
  <c r="O36" i="4"/>
  <c r="AH2" i="5"/>
  <c r="AG2" i="5"/>
  <c r="AO40" i="5"/>
  <c r="AK63" i="5"/>
  <c r="AA63" i="5"/>
  <c r="S12" i="5"/>
  <c r="AG12" i="5" s="1"/>
  <c r="R12" i="5"/>
  <c r="AF12" i="5" s="1"/>
  <c r="Q12" i="5"/>
  <c r="AE12" i="5" s="1"/>
  <c r="T12" i="5"/>
  <c r="AH12" i="5" s="1"/>
  <c r="U12" i="5"/>
  <c r="AI12" i="5" s="1"/>
  <c r="Z63" i="5"/>
  <c r="H38" i="4"/>
  <c r="T49" i="5"/>
  <c r="AH49" i="5" s="1"/>
  <c r="R49" i="5"/>
  <c r="AF49" i="5" s="1"/>
  <c r="Q49" i="5"/>
  <c r="AE49" i="5" s="1"/>
  <c r="U49" i="5"/>
  <c r="AI49" i="5" s="1"/>
  <c r="S49" i="5"/>
  <c r="AG49" i="5" s="1"/>
  <c r="U56" i="5"/>
  <c r="AI56" i="5" s="1"/>
  <c r="T56" i="5"/>
  <c r="AH56" i="5" s="1"/>
  <c r="S56" i="5"/>
  <c r="AG56" i="5" s="1"/>
  <c r="R56" i="5"/>
  <c r="AF56" i="5" s="1"/>
  <c r="Q56" i="5"/>
  <c r="AE56" i="5" s="1"/>
  <c r="AI2" i="5"/>
  <c r="R23" i="5"/>
  <c r="AF23" i="5" s="1"/>
  <c r="Q23" i="5"/>
  <c r="AE23" i="5" s="1"/>
  <c r="U23" i="5"/>
  <c r="AI23" i="5" s="1"/>
  <c r="T23" i="5"/>
  <c r="AH23" i="5" s="1"/>
  <c r="S23" i="5"/>
  <c r="AG23" i="5" s="1"/>
  <c r="T51" i="5"/>
  <c r="AH51" i="5" s="1"/>
  <c r="S51" i="5"/>
  <c r="AG51" i="5" s="1"/>
  <c r="R51" i="5"/>
  <c r="AF51" i="5" s="1"/>
  <c r="U51" i="5"/>
  <c r="AI51" i="5" s="1"/>
  <c r="Q51" i="5"/>
  <c r="AE51" i="5" s="1"/>
  <c r="AO51" i="5" s="1"/>
  <c r="AM2" i="5"/>
  <c r="AM63" i="5" s="1"/>
  <c r="Y63" i="5"/>
  <c r="AO10" i="5"/>
  <c r="N63" i="5"/>
  <c r="AO22" i="5" l="1"/>
  <c r="AO60" i="5"/>
  <c r="AO12" i="5"/>
  <c r="AO45" i="5"/>
  <c r="AO24" i="5"/>
  <c r="AO32" i="5"/>
  <c r="AO56" i="5"/>
  <c r="AO23" i="5"/>
  <c r="AO25" i="5"/>
  <c r="AO52" i="5"/>
  <c r="AO49" i="5"/>
  <c r="AO54" i="5"/>
  <c r="O38" i="4"/>
  <c r="D9" i="1" s="1"/>
  <c r="AO57" i="5"/>
  <c r="AO7" i="5"/>
  <c r="AO37" i="5"/>
  <c r="E9" i="1"/>
  <c r="AO55" i="5"/>
  <c r="E17" i="1" s="1"/>
  <c r="T63" i="5"/>
  <c r="AI63" i="5"/>
  <c r="AO39" i="5"/>
  <c r="E15" i="1" s="1"/>
  <c r="F15" i="1" s="1"/>
  <c r="U63" i="5"/>
  <c r="Q63" i="5"/>
  <c r="AO48" i="5"/>
  <c r="E16" i="1" s="1"/>
  <c r="F16" i="1" s="1"/>
  <c r="AO41" i="5"/>
  <c r="AE63" i="5"/>
  <c r="AO3" i="5"/>
  <c r="E14" i="1"/>
  <c r="AG63" i="5"/>
  <c r="AH63" i="5"/>
  <c r="AO53" i="5"/>
  <c r="AF63" i="5"/>
  <c r="D17" i="1"/>
  <c r="S63" i="5"/>
  <c r="R63" i="5"/>
  <c r="B18" i="1"/>
  <c r="AO63" i="5" l="1"/>
  <c r="D10" i="1" s="1"/>
  <c r="F17" i="1"/>
  <c r="E10" i="1"/>
  <c r="D11" i="1"/>
  <c r="E11" i="1" s="1"/>
  <c r="E18" i="1"/>
  <c r="D18" i="1"/>
  <c r="F14" i="1"/>
  <c r="F18" i="1" s="1"/>
</calcChain>
</file>

<file path=xl/sharedStrings.xml><?xml version="1.0" encoding="utf-8"?>
<sst xmlns="http://schemas.openxmlformats.org/spreadsheetml/2006/main" count="733" uniqueCount="303">
  <si>
    <t>Block 04 - bill of quantities and cost estimate of the channel scheme (200-year design)</t>
  </si>
  <si>
    <t>Item</t>
  </si>
  <si>
    <t>Quantity</t>
  </si>
  <si>
    <t>Unit</t>
  </si>
  <si>
    <t>Cost (OMR)</t>
  </si>
  <si>
    <t>Cost (million OMR)</t>
  </si>
  <si>
    <t>Channels - clearing and grubbing</t>
  </si>
  <si>
    <t>m²</t>
  </si>
  <si>
    <t>Channels - excavation</t>
  </si>
  <si>
    <t>m³</t>
  </si>
  <si>
    <t>Channels - fill</t>
  </si>
  <si>
    <t>Channels - riprap</t>
  </si>
  <si>
    <t>Channels - construction</t>
  </si>
  <si>
    <t>m</t>
  </si>
  <si>
    <t>Channels - land of the corridors (expropriation)</t>
  </si>
  <si>
    <t>ha</t>
  </si>
  <si>
    <t>Dykes</t>
  </si>
  <si>
    <t>Culverts</t>
  </si>
  <si>
    <t>cells</t>
  </si>
  <si>
    <t>Total</t>
  </si>
  <si>
    <t>By catchment (million OMR)</t>
  </si>
  <si>
    <t>Channels, construction</t>
  </si>
  <si>
    <t>Channels, land</t>
  </si>
  <si>
    <t>Al Hawasinah</t>
  </si>
  <si>
    <t>Shafan</t>
  </si>
  <si>
    <t>Sarami</t>
  </si>
  <si>
    <t>Sakhin</t>
  </si>
  <si>
    <t>The total is the construction of the channels, the land of their corridors, the dykes and the culverts. Quantities: channels measured on the designed sections against the 0.5 m terrain model; dykes on the typical fill section at the adopted height; culverts by the concrete, reinforcement, blinding, waterproofing and road works over them. Rates: sheet Rates (master plan estimate).</t>
  </si>
  <si>
    <t>Code</t>
  </si>
  <si>
    <t>Rate (OMR)</t>
  </si>
  <si>
    <t>clear</t>
  </si>
  <si>
    <t>Clearing and grubbing</t>
  </si>
  <si>
    <t>exc</t>
  </si>
  <si>
    <t>Excavation</t>
  </si>
  <si>
    <t>fill</t>
  </si>
  <si>
    <t>Embankment and dyke fill</t>
  </si>
  <si>
    <t>riprap</t>
  </si>
  <si>
    <t>Riprap 0.3 m over geotextile</t>
  </si>
  <si>
    <t>conc</t>
  </si>
  <si>
    <t>Reinforced concrete of the culverts</t>
  </si>
  <si>
    <t>rebar</t>
  </si>
  <si>
    <t>Reinforcement (120 kg/m³)</t>
  </si>
  <si>
    <t>t</t>
  </si>
  <si>
    <t>blind</t>
  </si>
  <si>
    <t>Blinding concrete</t>
  </si>
  <si>
    <t>wp</t>
  </si>
  <si>
    <t>Waterproofing</t>
  </si>
  <si>
    <t>abc</t>
  </si>
  <si>
    <t>Aggregate base course</t>
  </si>
  <si>
    <t>bbc</t>
  </si>
  <si>
    <t>Bituminous base course</t>
  </si>
  <si>
    <t>wbc</t>
  </si>
  <si>
    <t>Wearing course</t>
  </si>
  <si>
    <t>pc</t>
  </si>
  <si>
    <t>Prime coat</t>
  </si>
  <si>
    <t>tc</t>
  </si>
  <si>
    <t>Tack coat</t>
  </si>
  <si>
    <t>mark</t>
  </si>
  <si>
    <t>Road marking</t>
  </si>
  <si>
    <t>rail</t>
  </si>
  <si>
    <t>Guardrail</t>
  </si>
  <si>
    <t>post</t>
  </si>
  <si>
    <t>Guardrail post</t>
  </si>
  <si>
    <t>no.</t>
  </si>
  <si>
    <t>cng</t>
  </si>
  <si>
    <t>Compaction of natural ground</t>
  </si>
  <si>
    <t>removal</t>
  </si>
  <si>
    <t>Removal of the existing structure</t>
  </si>
  <si>
    <t>Land</t>
  </si>
  <si>
    <t>Expropriation rate by land use of the cadastre (master plan)</t>
  </si>
  <si>
    <t>Agricultural</t>
  </si>
  <si>
    <t>Agricultural land</t>
  </si>
  <si>
    <t>OMR/ha</t>
  </si>
  <si>
    <t>Commercial</t>
  </si>
  <si>
    <t>Commercial land</t>
  </si>
  <si>
    <t>Industrial</t>
  </si>
  <si>
    <t>Industrial land</t>
  </si>
  <si>
    <t>Residential</t>
  </si>
  <si>
    <t>Residential land</t>
  </si>
  <si>
    <t>Roads</t>
  </si>
  <si>
    <t>Roads land</t>
  </si>
  <si>
    <t>Government, planned and vacant land</t>
  </si>
  <si>
    <t>Constants</t>
  </si>
  <si>
    <t>Typical sections</t>
  </si>
  <si>
    <t>riprap_t</t>
  </si>
  <si>
    <t>Riprap thickness on the channel slopes (m)</t>
  </si>
  <si>
    <t>wall</t>
  </si>
  <si>
    <t>Culvert wall thickness (m)</t>
  </si>
  <si>
    <t>crest</t>
  </si>
  <si>
    <t>Dyke crest width (m)</t>
  </si>
  <si>
    <t>strip</t>
  </si>
  <si>
    <t>Dyke: stripping depth under the footprint (m)</t>
  </si>
  <si>
    <t>Blue on yellow: the unit rates (master plan estimate) and the section constants; change them here and every quantity and cost follows.</t>
  </si>
  <si>
    <t>Channel</t>
  </si>
  <si>
    <t>Class</t>
  </si>
  <si>
    <t>Catchment</t>
  </si>
  <si>
    <t>Length (m)</t>
  </si>
  <si>
    <t>Clearing (m²)</t>
  </si>
  <si>
    <t>Excavation (m³)</t>
  </si>
  <si>
    <t>Fill (m³)</t>
  </si>
  <si>
    <t>Riprap area (m²)</t>
  </si>
  <si>
    <t>Riprap volume (m³)</t>
  </si>
  <si>
    <t>Clearing cost (OMR)</t>
  </si>
  <si>
    <t>Excavation cost (OMR)</t>
  </si>
  <si>
    <t>Fill cost (OMR)</t>
  </si>
  <si>
    <t>Riprap cost (OMR)</t>
  </si>
  <si>
    <t>Construction cost (OMR)</t>
  </si>
  <si>
    <t>Corridor (ha)</t>
  </si>
  <si>
    <t>Agricultural land (ha)</t>
  </si>
  <si>
    <t>Commercial land (ha)</t>
  </si>
  <si>
    <t>Industrial land (ha)</t>
  </si>
  <si>
    <t>Residential land (ha)</t>
  </si>
  <si>
    <t>Roads land (ha)</t>
  </si>
  <si>
    <t>Other land, no cost (ha)</t>
  </si>
  <si>
    <t>Land cost (OMR)</t>
  </si>
  <si>
    <t>Channel cost (OMR)</t>
  </si>
  <si>
    <t>HAW-CH1-FP</t>
  </si>
  <si>
    <t>FP</t>
  </si>
  <si>
    <t>HAW-CH2-SS</t>
  </si>
  <si>
    <t>SS</t>
  </si>
  <si>
    <t>HAW-CH3-SS</t>
  </si>
  <si>
    <t>HAW-CH4-SS</t>
  </si>
  <si>
    <t>HAW-CH5-SS</t>
  </si>
  <si>
    <t>HAW-CH6-SS</t>
  </si>
  <si>
    <t>HAW-CH7-SS</t>
  </si>
  <si>
    <t>SHA-CH1-FP</t>
  </si>
  <si>
    <t>SHA-CH2-SM</t>
  </si>
  <si>
    <t>SM</t>
  </si>
  <si>
    <t>SHA-CH3-SM</t>
  </si>
  <si>
    <t>SHA-CH4-SM</t>
  </si>
  <si>
    <t>SHA-CH5-SM</t>
  </si>
  <si>
    <t>SHA-CH6-SM</t>
  </si>
  <si>
    <t>SHA-CH7-SM</t>
  </si>
  <si>
    <t>SHA-CH8-SS</t>
  </si>
  <si>
    <t>SHA-CH9-SS</t>
  </si>
  <si>
    <t>SHA-CH10-SS</t>
  </si>
  <si>
    <t>SHA-CH11-SS</t>
  </si>
  <si>
    <t>SHA-CH12-SS</t>
  </si>
  <si>
    <t>SHA-CH13-SS</t>
  </si>
  <si>
    <t>SHA-CH14-SS</t>
  </si>
  <si>
    <t>SHA-CH15-SS</t>
  </si>
  <si>
    <t>SHA-CH16-SS</t>
  </si>
  <si>
    <t>SHA-CH17-SS</t>
  </si>
  <si>
    <t>SHA-CH18-SS</t>
  </si>
  <si>
    <t>SHA-CH19-SS</t>
  </si>
  <si>
    <t>SHA-CH20-SS</t>
  </si>
  <si>
    <t>SHA-CH21-SS</t>
  </si>
  <si>
    <t>SAR-CH1-FP</t>
  </si>
  <si>
    <t>SAR-CH2-SM</t>
  </si>
  <si>
    <t>SAR-CH3-SS</t>
  </si>
  <si>
    <t>SAR-CH4-SS</t>
  </si>
  <si>
    <t>SAK-CH1-FP</t>
  </si>
  <si>
    <t>SAK-CH2-FP</t>
  </si>
  <si>
    <t>SAK-CH3-SM</t>
  </si>
  <si>
    <t>SAK-CH4-SS</t>
  </si>
  <si>
    <t>SAK-CH5-SS</t>
  </si>
  <si>
    <t>Dyke</t>
  </si>
  <si>
    <t>Height (m)</t>
  </si>
  <si>
    <t>Footprint width (m)</t>
  </si>
  <si>
    <t>Dyke cost (OMR)</t>
  </si>
  <si>
    <t>HAW-D1-FP</t>
  </si>
  <si>
    <t>FP D</t>
  </si>
  <si>
    <t>HAW-D2-FP</t>
  </si>
  <si>
    <t>HAW-D3-FP</t>
  </si>
  <si>
    <t>SHA-D1-FP</t>
  </si>
  <si>
    <t>SHA-D2-FP</t>
  </si>
  <si>
    <t>SHA-D3-FP</t>
  </si>
  <si>
    <t>SHA-D4-FP</t>
  </si>
  <si>
    <t>SHA-D5-FP</t>
  </si>
  <si>
    <t>SHA-D6-FP</t>
  </si>
  <si>
    <t>SHA-D7-FP</t>
  </si>
  <si>
    <t>SHA-D8-FP</t>
  </si>
  <si>
    <t>SHA-D9-FP</t>
  </si>
  <si>
    <t>SHA-D10-SM</t>
  </si>
  <si>
    <t>Sw M D</t>
  </si>
  <si>
    <t>SHA-D11-SM</t>
  </si>
  <si>
    <t>SHA-D12-SM</t>
  </si>
  <si>
    <t>SHA-D13-SM</t>
  </si>
  <si>
    <t>SHA-D14-SM</t>
  </si>
  <si>
    <t>SHA-D15-SS</t>
  </si>
  <si>
    <t>Sw S D</t>
  </si>
  <si>
    <t>SHA-D16-SS</t>
  </si>
  <si>
    <t>SHA-D17-SS</t>
  </si>
  <si>
    <t>SHA-D18-SS</t>
  </si>
  <si>
    <t>SHA-D19-SS</t>
  </si>
  <si>
    <t>SHA-D20-SS</t>
  </si>
  <si>
    <t>SHA-D21-SS</t>
  </si>
  <si>
    <t>SHA-D22-SS</t>
  </si>
  <si>
    <t>SHA-D23-SS</t>
  </si>
  <si>
    <t>SAR-D1-FP</t>
  </si>
  <si>
    <t>SAR-D2-FP</t>
  </si>
  <si>
    <t>SAR-D3-SM</t>
  </si>
  <si>
    <t>SAR-D4-SM</t>
  </si>
  <si>
    <t>SAK-D1-FP</t>
  </si>
  <si>
    <t>SAK-D2-FP</t>
  </si>
  <si>
    <t>SAK-D3-FP</t>
  </si>
  <si>
    <t>SAK-D4-FP</t>
  </si>
  <si>
    <t>SAK-D5-FP</t>
  </si>
  <si>
    <t>SAK-D6-FP</t>
  </si>
  <si>
    <t>ID</t>
  </si>
  <si>
    <t>Road</t>
  </si>
  <si>
    <t>Reach</t>
  </si>
  <si>
    <t>Cells</t>
  </si>
  <si>
    <t>Cell width (m)</t>
  </si>
  <si>
    <t>Cell height (m)</t>
  </si>
  <si>
    <t>Length L (m)</t>
  </si>
  <si>
    <t>Existing structure</t>
  </si>
  <si>
    <t>Overall width G (m)</t>
  </si>
  <si>
    <t>Concrete (m³)</t>
  </si>
  <si>
    <t>Reinforcement (t)</t>
  </si>
  <si>
    <t>Blinding (m³)</t>
  </si>
  <si>
    <t>Waterproofing (m²)</t>
  </si>
  <si>
    <t>Pavement area (m²)</t>
  </si>
  <si>
    <t>Aggregate base (m³)</t>
  </si>
  <si>
    <t>Bituminous base (m³)</t>
  </si>
  <si>
    <t>Wearing course (m³)</t>
  </si>
  <si>
    <t>Prime coat (m²)</t>
  </si>
  <si>
    <t>Tack coat (m²)</t>
  </si>
  <si>
    <t>Marking (m²)</t>
  </si>
  <si>
    <t>Guardrail (m)</t>
  </si>
  <si>
    <t>Posts (no.)</t>
  </si>
  <si>
    <t>Compaction (m²)</t>
  </si>
  <si>
    <t>Removal of existing (m³)</t>
  </si>
  <si>
    <t>Concrete cost</t>
  </si>
  <si>
    <t>Reinforcement cost</t>
  </si>
  <si>
    <t>Blinding cost</t>
  </si>
  <si>
    <t>Waterproofing cost</t>
  </si>
  <si>
    <t>Aggregate base cost</t>
  </si>
  <si>
    <t>Bituminous base cost</t>
  </si>
  <si>
    <t>Wearing course cost</t>
  </si>
  <si>
    <t>Prime coat cost</t>
  </si>
  <si>
    <t>Tack coat cost</t>
  </si>
  <si>
    <t>Marking cost</t>
  </si>
  <si>
    <t>Guardrail cost</t>
  </si>
  <si>
    <t>Posts cost</t>
  </si>
  <si>
    <t>Compaction cost</t>
  </si>
  <si>
    <t>Removal cost</t>
  </si>
  <si>
    <t>Culvert cost (OMR)</t>
  </si>
  <si>
    <t>Batinah Coastal Road</t>
  </si>
  <si>
    <t>HAWCH1-C7</t>
  </si>
  <si>
    <t>None</t>
  </si>
  <si>
    <t>Batinah Highway</t>
  </si>
  <si>
    <t>HAWCH1-C5</t>
  </si>
  <si>
    <t>Culvert</t>
  </si>
  <si>
    <t>North Batinah Bypass</t>
  </si>
  <si>
    <t>HAWCH1-C2</t>
  </si>
  <si>
    <t>HAWCH2-C7</t>
  </si>
  <si>
    <t>HAWCH2-C3</t>
  </si>
  <si>
    <t>HAWCH5-C7</t>
  </si>
  <si>
    <t>HAWCH5-C3</t>
  </si>
  <si>
    <t>HAWCH7-C6</t>
  </si>
  <si>
    <t>HAWCH7-C5</t>
  </si>
  <si>
    <t>HAWCH7-C1</t>
  </si>
  <si>
    <t>SHACH1-C12</t>
  </si>
  <si>
    <t>SHACH1-C11</t>
  </si>
  <si>
    <t>SHACH1-C4</t>
  </si>
  <si>
    <t>SHACH2-C5</t>
  </si>
  <si>
    <t>SHACH3-C16</t>
  </si>
  <si>
    <t>SHACH3-C10</t>
  </si>
  <si>
    <t>SHACH3-C7</t>
  </si>
  <si>
    <t>SHACH4-C10</t>
  </si>
  <si>
    <t>SHACH4-C5</t>
  </si>
  <si>
    <t>SHACH4-C3</t>
  </si>
  <si>
    <t>SHACH5-C4</t>
  </si>
  <si>
    <t>SHACH5-C1</t>
  </si>
  <si>
    <t>SHACH6-C6</t>
  </si>
  <si>
    <t>SHACH6-C2</t>
  </si>
  <si>
    <t>SHACH6-C1</t>
  </si>
  <si>
    <t>SHACH7-C9</t>
  </si>
  <si>
    <t>SHACH7-C7</t>
  </si>
  <si>
    <t>SHACH7-C2</t>
  </si>
  <si>
    <t>SHACH8-C3</t>
  </si>
  <si>
    <t>SHACH8-C1</t>
  </si>
  <si>
    <t>SHACH9-C4</t>
  </si>
  <si>
    <t>SHACH9-C1</t>
  </si>
  <si>
    <t>SHACH10-C3</t>
  </si>
  <si>
    <t>SHACH10-C1</t>
  </si>
  <si>
    <t>SHACH11-C1</t>
  </si>
  <si>
    <t>SHACH14-C3</t>
  </si>
  <si>
    <t>SHACH14-C1</t>
  </si>
  <si>
    <t>SHACH15-C5</t>
  </si>
  <si>
    <t>SHACH15-C2</t>
  </si>
  <si>
    <t>SHACH16-C7</t>
  </si>
  <si>
    <t>SHACH16-C4</t>
  </si>
  <si>
    <t>SHACH16-C1</t>
  </si>
  <si>
    <t>SHACH17-C2</t>
  </si>
  <si>
    <t>SHACH18-C2</t>
  </si>
  <si>
    <t>SHACH19-C1</t>
  </si>
  <si>
    <t>SHACH20-C1</t>
  </si>
  <si>
    <t>SARCH1-C14</t>
  </si>
  <si>
    <t>SARCH1-C11</t>
  </si>
  <si>
    <t>SARCH1-C7</t>
  </si>
  <si>
    <t>SARCH2-C6</t>
  </si>
  <si>
    <t>SARCH2-C5</t>
  </si>
  <si>
    <t>SARCH2-C1</t>
  </si>
  <si>
    <t>SARCH4-C2</t>
  </si>
  <si>
    <t>SAKCH2-C7</t>
  </si>
  <si>
    <t>SAKCH2-C4</t>
  </si>
  <si>
    <t>SAKCH3-C6</t>
  </si>
  <si>
    <t>SAKCH3-C2</t>
  </si>
  <si>
    <t>SAKCH3-C1</t>
  </si>
  <si>
    <t>SAKCH4-C1</t>
  </si>
  <si>
    <t>SAKCH5-C2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</si>
</sst>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color rgb="FF0000FF"/>
      <name val="Arial"/>
    </font>
    <font>
      <b/>
      <sz val="10"/>
      <name val="Arial"/>
    </font>
    <font>
      <i/>
      <sz val="9"/>
      <name val="Arial"/>
    </font>
    <font>
      <sz val="10"/>
      <name val="Arial"/>
    </font>
    <font>
      <b/>
      <sz val="12"/>
      <name val="Arial"/>
    </font>
  </fonts>
  <fills count="4">
    <fill>
      <patternFill patternType="none"/>
    </fill>
    <fill>
      <patternFill patternType="gray125"/>
    </fill>
    <fill>
      <patternFill patternType="solid">
        <fgColor rgb="FF1F5F8B"/>
      </patternFill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6" fillId="0" borderId="0" xfId="0" applyFont="1"/>
    <xf numFmtId="0" fontId="1" fillId="2" borderId="0" xfId="0" applyFont="1" applyFill="1" applyAlignment="1">
      <alignment horizontal="center" vertical="center" wrapText="1"/>
    </xf>
    <xf numFmtId="0" fontId="5" fillId="0" borderId="0" xfId="0" applyFont="1"/>
    <xf numFmtId="3" fontId="5" fillId="0" borderId="0" xfId="0" applyNumberFormat="1" applyFont="1"/>
    <xf numFmtId="4" fontId="5" fillId="0" borderId="0" xfId="0" applyNumberFormat="1" applyFont="1"/>
    <xf numFmtId="0" fontId="3" fillId="0" borderId="0" xfId="0" applyFont="1"/>
    <xf numFmtId="3" fontId="3" fillId="0" borderId="0" xfId="0" applyNumberFormat="1" applyFont="1"/>
    <xf numFmtId="4" fontId="3" fillId="0" borderId="0" xfId="0" applyNumberFormat="1" applyFont="1"/>
    <xf numFmtId="0" fontId="4" fillId="0" borderId="0" xfId="0" applyFont="1"/>
    <xf numFmtId="4" fontId="2" fillId="3" borderId="0" xfId="0" applyNumberFormat="1" applyFont="1" applyFill="1"/>
    <xf numFmtId="3" fontId="2" fillId="3" borderId="0" xfId="0" applyNumberFormat="1" applyFont="1" applyFill="1"/>
    <xf numFmtId="0" fontId="2" fillId="3" borderId="0" xfId="0" applyFont="1" applyFill="1"/>
    <xf numFmtId="164" fontId="5" fillId="0" borderId="0" xfId="0" applyNumberFormat="1" applyFont="1"/>
    <xf numFmtId="16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"/>
  <sheetViews>
    <sheetView tabSelected="1" workbookViewId="0"/>
  </sheetViews>
  <sheetFormatPr defaultRowHeight="15" x14ac:dyDescent="0.25"/>
  <cols>
    <col min="1" max="1" width="46" customWidth="1"/>
    <col min="2" max="2" width="14" customWidth="1"/>
    <col min="3" max="3" width="8" customWidth="1"/>
    <col min="4" max="4" width="16" customWidth="1"/>
    <col min="5" max="5" width="14" customWidth="1"/>
    <col min="6" max="6" width="12" customWidth="1"/>
  </cols>
  <sheetData>
    <row r="1" spans="1:6" ht="15.75" x14ac:dyDescent="0.25">
      <c r="A1" s="1" t="s">
        <v>0</v>
      </c>
    </row>
    <row r="2" spans="1:6" ht="20.100000000000001" customHeight="1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</row>
    <row r="3" spans="1:6" x14ac:dyDescent="0.25">
      <c r="A3" s="3" t="s">
        <v>6</v>
      </c>
      <c r="B3" s="4">
        <f>Channels!E39</f>
        <v>17519052</v>
      </c>
      <c r="C3" s="3" t="s">
        <v>7</v>
      </c>
      <c r="D3" s="4">
        <f>Channels!J39</f>
        <v>5255715.6000000006</v>
      </c>
      <c r="E3" s="5">
        <f t="shared" ref="E3:E11" si="0">D3/1000000</f>
        <v>5.2557156000000003</v>
      </c>
    </row>
    <row r="4" spans="1:6" x14ac:dyDescent="0.25">
      <c r="A4" s="3" t="s">
        <v>8</v>
      </c>
      <c r="B4" s="4">
        <f>Channels!F39</f>
        <v>34865563</v>
      </c>
      <c r="C4" s="3" t="s">
        <v>9</v>
      </c>
      <c r="D4" s="4">
        <f>Channels!K39</f>
        <v>73217682.299999997</v>
      </c>
      <c r="E4" s="5">
        <f t="shared" si="0"/>
        <v>73.217682299999993</v>
      </c>
    </row>
    <row r="5" spans="1:6" x14ac:dyDescent="0.25">
      <c r="A5" s="3" t="s">
        <v>10</v>
      </c>
      <c r="B5" s="4">
        <f>Channels!G39</f>
        <v>1754305</v>
      </c>
      <c r="C5" s="3" t="s">
        <v>9</v>
      </c>
      <c r="D5" s="4">
        <f>Channels!L39</f>
        <v>7017220</v>
      </c>
      <c r="E5" s="5">
        <f t="shared" si="0"/>
        <v>7.01722</v>
      </c>
    </row>
    <row r="6" spans="1:6" x14ac:dyDescent="0.25">
      <c r="A6" s="3" t="s">
        <v>11</v>
      </c>
      <c r="B6" s="4">
        <f>Channels!I39</f>
        <v>599759.09999999986</v>
      </c>
      <c r="C6" s="3" t="s">
        <v>9</v>
      </c>
      <c r="D6" s="4">
        <f>Channels!M39</f>
        <v>7916820.1199999982</v>
      </c>
      <c r="E6" s="5">
        <f t="shared" si="0"/>
        <v>7.9168201199999979</v>
      </c>
    </row>
    <row r="7" spans="1:6" x14ac:dyDescent="0.25">
      <c r="A7" s="3" t="s">
        <v>12</v>
      </c>
      <c r="B7" s="4">
        <f>Channels!D39</f>
        <v>221345.39999999997</v>
      </c>
      <c r="C7" s="3" t="s">
        <v>13</v>
      </c>
      <c r="D7" s="4">
        <f>Channels!N39</f>
        <v>93407438.020000026</v>
      </c>
      <c r="E7" s="5">
        <f t="shared" si="0"/>
        <v>93.407438020000029</v>
      </c>
    </row>
    <row r="8" spans="1:6" x14ac:dyDescent="0.25">
      <c r="A8" s="3" t="s">
        <v>14</v>
      </c>
      <c r="B8" s="4">
        <f>Channels!O39</f>
        <v>2092.63</v>
      </c>
      <c r="C8" s="3" t="s">
        <v>15</v>
      </c>
      <c r="D8" s="4">
        <f>Channels!V39</f>
        <v>167796848.42000002</v>
      </c>
      <c r="E8" s="5">
        <f t="shared" si="0"/>
        <v>167.79684842</v>
      </c>
    </row>
    <row r="9" spans="1:6" x14ac:dyDescent="0.25">
      <c r="A9" s="3" t="s">
        <v>16</v>
      </c>
      <c r="B9" s="4">
        <f>Dykes!D38</f>
        <v>62471.900000000016</v>
      </c>
      <c r="C9" s="3" t="s">
        <v>13</v>
      </c>
      <c r="D9" s="4">
        <f>Dykes!O38</f>
        <v>8445441.636064399</v>
      </c>
      <c r="E9" s="5">
        <f t="shared" si="0"/>
        <v>8.4454416360643982</v>
      </c>
    </row>
    <row r="10" spans="1:6" x14ac:dyDescent="0.25">
      <c r="A10" s="3" t="s">
        <v>17</v>
      </c>
      <c r="B10" s="4">
        <f>Culverts!F63</f>
        <v>1304</v>
      </c>
      <c r="C10" s="3" t="s">
        <v>18</v>
      </c>
      <c r="D10" s="4">
        <f>Culverts!AO63</f>
        <v>30731420.001500018</v>
      </c>
      <c r="E10" s="5">
        <f t="shared" si="0"/>
        <v>30.73142000150002</v>
      </c>
    </row>
    <row r="11" spans="1:6" x14ac:dyDescent="0.25">
      <c r="A11" s="6" t="s">
        <v>19</v>
      </c>
      <c r="B11" s="7"/>
      <c r="C11" s="6"/>
      <c r="D11" s="7">
        <f>D8+D9+D10+D7</f>
        <v>300381148.07756448</v>
      </c>
      <c r="E11" s="8">
        <f t="shared" si="0"/>
        <v>300.38114807756449</v>
      </c>
    </row>
    <row r="13" spans="1:6" ht="30" customHeight="1" x14ac:dyDescent="0.25">
      <c r="A13" s="2" t="s">
        <v>20</v>
      </c>
      <c r="B13" s="2" t="s">
        <v>21</v>
      </c>
      <c r="C13" s="2" t="s">
        <v>22</v>
      </c>
      <c r="D13" s="2" t="s">
        <v>16</v>
      </c>
      <c r="E13" s="2" t="s">
        <v>17</v>
      </c>
      <c r="F13" s="2" t="s">
        <v>19</v>
      </c>
    </row>
    <row r="14" spans="1:6" x14ac:dyDescent="0.25">
      <c r="A14" s="3" t="s">
        <v>23</v>
      </c>
      <c r="B14" s="5">
        <f>SUMIF(Channels!$C$2:$C$38,A14,Channels!$N$2:$N$38)/1000000</f>
        <v>6.4866551599999998</v>
      </c>
      <c r="C14" s="5">
        <f>SUMIF(Channels!$C$2:$C$38,A14,Channels!$V$2:$V$38)/1000000</f>
        <v>15.87381064</v>
      </c>
      <c r="D14" s="5">
        <f>SUMIF(Dykes!$C$2:$C$37,A14,Dykes!$O$2:$O$37)/1000000</f>
        <v>0.99643423261080011</v>
      </c>
      <c r="E14" s="5">
        <f>SUMIF(Culverts!$E$2:$E$62,A14,Culverts!$AO$2:$AO$62)/1000000</f>
        <v>2.5590315951000004</v>
      </c>
      <c r="F14" s="5">
        <f>SUM(B14:E14)</f>
        <v>25.915931627710798</v>
      </c>
    </row>
    <row r="15" spans="1:6" x14ac:dyDescent="0.25">
      <c r="A15" s="3" t="s">
        <v>24</v>
      </c>
      <c r="B15" s="5">
        <f>SUMIF(Channels!$C$2:$C$38,A15,Channels!$N$2:$N$38)/1000000</f>
        <v>42.579384300000015</v>
      </c>
      <c r="C15" s="5">
        <f>SUMIF(Channels!$C$2:$C$38,A15,Channels!$V$2:$V$38)/1000000</f>
        <v>87.505359760000005</v>
      </c>
      <c r="D15" s="5">
        <f>SUMIF(Dykes!$C$2:$C$37,A15,Dykes!$O$2:$O$37)/1000000</f>
        <v>4.4516139206459</v>
      </c>
      <c r="E15" s="5">
        <f>SUMIF(Culverts!$E$2:$E$62,A15,Culverts!$AO$2:$AO$62)/1000000</f>
        <v>14.409163148600008</v>
      </c>
      <c r="F15" s="5">
        <f>SUM(B15:E15)</f>
        <v>148.94552112924595</v>
      </c>
    </row>
    <row r="16" spans="1:6" x14ac:dyDescent="0.25">
      <c r="A16" s="3" t="s">
        <v>25</v>
      </c>
      <c r="B16" s="5">
        <f>SUMIF(Channels!$C$2:$C$38,A16,Channels!$N$2:$N$38)/1000000</f>
        <v>17.998984340000003</v>
      </c>
      <c r="C16" s="5">
        <f>SUMIF(Channels!$C$2:$C$38,A16,Channels!$V$2:$V$38)/1000000</f>
        <v>24.104530140000001</v>
      </c>
      <c r="D16" s="5">
        <f>SUMIF(Dykes!$C$2:$C$37,A16,Dykes!$O$2:$O$37)/1000000</f>
        <v>1.3339821750635001</v>
      </c>
      <c r="E16" s="5">
        <f>SUMIF(Culverts!$E$2:$E$62,A16,Culverts!$AO$2:$AO$62)/1000000</f>
        <v>5.171040273900001</v>
      </c>
      <c r="F16" s="5">
        <f>SUM(B16:E16)</f>
        <v>48.608536928963503</v>
      </c>
    </row>
    <row r="17" spans="1:6" x14ac:dyDescent="0.25">
      <c r="A17" s="3" t="s">
        <v>26</v>
      </c>
      <c r="B17" s="5">
        <f>SUMIF(Channels!$C$2:$C$38,A17,Channels!$N$2:$N$38)/1000000</f>
        <v>26.342414219999998</v>
      </c>
      <c r="C17" s="5">
        <f>SUMIF(Channels!$C$2:$C$38,A17,Channels!$V$2:$V$38)/1000000</f>
        <v>40.313147879999995</v>
      </c>
      <c r="D17" s="5">
        <f>SUMIF(Dykes!$C$2:$C$37,A17,Dykes!$O$2:$O$37)/1000000</f>
        <v>1.6634113077441999</v>
      </c>
      <c r="E17" s="5">
        <f>SUMIF(Culverts!$E$2:$E$62,A17,Culverts!$AO$2:$AO$62)/1000000</f>
        <v>8.5921849839000028</v>
      </c>
      <c r="F17" s="5">
        <f>SUM(B17:E17)</f>
        <v>76.911158391644193</v>
      </c>
    </row>
    <row r="18" spans="1:6" x14ac:dyDescent="0.25">
      <c r="A18" s="6" t="s">
        <v>19</v>
      </c>
      <c r="B18" s="8">
        <f>SUM(B14:B17)</f>
        <v>93.407438020000015</v>
      </c>
      <c r="C18" s="8">
        <f>SUM(C14:C17)</f>
        <v>167.79684842</v>
      </c>
      <c r="D18" s="8">
        <f>SUM(D14:D17)</f>
        <v>8.4454416360644</v>
      </c>
      <c r="E18" s="8">
        <f>SUM(E14:E17)</f>
        <v>30.731420001500013</v>
      </c>
      <c r="F18" s="8">
        <f>SUM(F14:F17)</f>
        <v>300.38114807756443</v>
      </c>
    </row>
    <row r="20" spans="1:6" x14ac:dyDescent="0.25">
      <c r="A20" s="9" t="s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5"/>
  <sheetViews>
    <sheetView workbookViewId="0"/>
  </sheetViews>
  <sheetFormatPr defaultRowHeight="15" x14ac:dyDescent="0.25"/>
  <cols>
    <col min="1" max="1" width="10" customWidth="1"/>
    <col min="2" max="2" width="48" customWidth="1"/>
    <col min="3" max="3" width="8" customWidth="1"/>
    <col min="4" max="4" width="12" customWidth="1"/>
  </cols>
  <sheetData>
    <row r="1" spans="1:4" ht="39.950000000000003" customHeight="1" x14ac:dyDescent="0.25">
      <c r="A1" s="2" t="s">
        <v>28</v>
      </c>
      <c r="B1" s="2" t="s">
        <v>1</v>
      </c>
      <c r="C1" s="2" t="s">
        <v>3</v>
      </c>
      <c r="D1" s="2" t="s">
        <v>29</v>
      </c>
    </row>
    <row r="2" spans="1:4" x14ac:dyDescent="0.25">
      <c r="A2" t="s">
        <v>30</v>
      </c>
      <c r="B2" t="s">
        <v>31</v>
      </c>
      <c r="C2" t="s">
        <v>7</v>
      </c>
      <c r="D2" s="10">
        <v>0.3</v>
      </c>
    </row>
    <row r="3" spans="1:4" x14ac:dyDescent="0.25">
      <c r="A3" t="s">
        <v>32</v>
      </c>
      <c r="B3" t="s">
        <v>33</v>
      </c>
      <c r="C3" t="s">
        <v>9</v>
      </c>
      <c r="D3" s="10">
        <v>2.1</v>
      </c>
    </row>
    <row r="4" spans="1:4" x14ac:dyDescent="0.25">
      <c r="A4" t="s">
        <v>34</v>
      </c>
      <c r="B4" t="s">
        <v>35</v>
      </c>
      <c r="C4" t="s">
        <v>9</v>
      </c>
      <c r="D4" s="10">
        <v>4</v>
      </c>
    </row>
    <row r="5" spans="1:4" x14ac:dyDescent="0.25">
      <c r="A5" t="s">
        <v>36</v>
      </c>
      <c r="B5" t="s">
        <v>37</v>
      </c>
      <c r="C5" t="s">
        <v>9</v>
      </c>
      <c r="D5" s="10">
        <v>13.2</v>
      </c>
    </row>
    <row r="6" spans="1:4" x14ac:dyDescent="0.25">
      <c r="A6" t="s">
        <v>38</v>
      </c>
      <c r="B6" t="s">
        <v>39</v>
      </c>
      <c r="C6" t="s">
        <v>9</v>
      </c>
      <c r="D6" s="10">
        <v>106.9</v>
      </c>
    </row>
    <row r="7" spans="1:4" x14ac:dyDescent="0.25">
      <c r="A7" t="s">
        <v>40</v>
      </c>
      <c r="B7" t="s">
        <v>41</v>
      </c>
      <c r="C7" t="s">
        <v>42</v>
      </c>
      <c r="D7" s="10">
        <v>417.1</v>
      </c>
    </row>
    <row r="8" spans="1:4" x14ac:dyDescent="0.25">
      <c r="A8" t="s">
        <v>43</v>
      </c>
      <c r="B8" t="s">
        <v>44</v>
      </c>
      <c r="C8" t="s">
        <v>9</v>
      </c>
      <c r="D8" s="10">
        <v>45</v>
      </c>
    </row>
    <row r="9" spans="1:4" x14ac:dyDescent="0.25">
      <c r="A9" t="s">
        <v>45</v>
      </c>
      <c r="B9" t="s">
        <v>46</v>
      </c>
      <c r="C9" t="s">
        <v>7</v>
      </c>
      <c r="D9" s="10">
        <v>2</v>
      </c>
    </row>
    <row r="10" spans="1:4" x14ac:dyDescent="0.25">
      <c r="A10" t="s">
        <v>47</v>
      </c>
      <c r="B10" t="s">
        <v>48</v>
      </c>
      <c r="C10" t="s">
        <v>9</v>
      </c>
      <c r="D10" s="10">
        <v>6.5</v>
      </c>
    </row>
    <row r="11" spans="1:4" x14ac:dyDescent="0.25">
      <c r="A11" t="s">
        <v>49</v>
      </c>
      <c r="B11" t="s">
        <v>50</v>
      </c>
      <c r="C11" t="s">
        <v>9</v>
      </c>
      <c r="D11" s="10">
        <v>45</v>
      </c>
    </row>
    <row r="12" spans="1:4" x14ac:dyDescent="0.25">
      <c r="A12" t="s">
        <v>51</v>
      </c>
      <c r="B12" t="s">
        <v>52</v>
      </c>
      <c r="C12" t="s">
        <v>9</v>
      </c>
      <c r="D12" s="10">
        <v>47</v>
      </c>
    </row>
    <row r="13" spans="1:4" x14ac:dyDescent="0.25">
      <c r="A13" t="s">
        <v>53</v>
      </c>
      <c r="B13" t="s">
        <v>54</v>
      </c>
      <c r="C13" t="s">
        <v>7</v>
      </c>
      <c r="D13" s="10">
        <v>0.45</v>
      </c>
    </row>
    <row r="14" spans="1:4" x14ac:dyDescent="0.25">
      <c r="A14" t="s">
        <v>55</v>
      </c>
      <c r="B14" t="s">
        <v>56</v>
      </c>
      <c r="C14" t="s">
        <v>7</v>
      </c>
      <c r="D14" s="10">
        <v>0.35</v>
      </c>
    </row>
    <row r="15" spans="1:4" x14ac:dyDescent="0.25">
      <c r="A15" t="s">
        <v>57</v>
      </c>
      <c r="B15" t="s">
        <v>58</v>
      </c>
      <c r="C15" t="s">
        <v>7</v>
      </c>
      <c r="D15" s="10">
        <v>4</v>
      </c>
    </row>
    <row r="16" spans="1:4" x14ac:dyDescent="0.25">
      <c r="A16" t="s">
        <v>59</v>
      </c>
      <c r="B16" t="s">
        <v>60</v>
      </c>
      <c r="C16" t="s">
        <v>13</v>
      </c>
      <c r="D16" s="10">
        <v>53</v>
      </c>
    </row>
    <row r="17" spans="1:4" x14ac:dyDescent="0.25">
      <c r="A17" t="s">
        <v>61</v>
      </c>
      <c r="B17" t="s">
        <v>62</v>
      </c>
      <c r="C17" t="s">
        <v>63</v>
      </c>
      <c r="D17" s="10">
        <v>3</v>
      </c>
    </row>
    <row r="18" spans="1:4" x14ac:dyDescent="0.25">
      <c r="A18" t="s">
        <v>64</v>
      </c>
      <c r="B18" t="s">
        <v>65</v>
      </c>
      <c r="C18" t="s">
        <v>7</v>
      </c>
      <c r="D18" s="10">
        <v>0.2</v>
      </c>
    </row>
    <row r="19" spans="1:4" x14ac:dyDescent="0.25">
      <c r="A19" t="s">
        <v>66</v>
      </c>
      <c r="B19" t="s">
        <v>67</v>
      </c>
      <c r="C19" t="s">
        <v>9</v>
      </c>
      <c r="D19" s="10">
        <v>4</v>
      </c>
    </row>
    <row r="21" spans="1:4" x14ac:dyDescent="0.25">
      <c r="A21" t="s">
        <v>68</v>
      </c>
      <c r="B21" s="6" t="s">
        <v>69</v>
      </c>
    </row>
    <row r="22" spans="1:4" x14ac:dyDescent="0.25">
      <c r="A22" t="s">
        <v>70</v>
      </c>
      <c r="B22" t="s">
        <v>71</v>
      </c>
      <c r="C22" t="s">
        <v>72</v>
      </c>
      <c r="D22" s="11">
        <v>50189</v>
      </c>
    </row>
    <row r="23" spans="1:4" x14ac:dyDescent="0.25">
      <c r="A23" t="s">
        <v>73</v>
      </c>
      <c r="B23" t="s">
        <v>74</v>
      </c>
      <c r="C23" t="s">
        <v>72</v>
      </c>
      <c r="D23" s="11">
        <v>1486900</v>
      </c>
    </row>
    <row r="24" spans="1:4" x14ac:dyDescent="0.25">
      <c r="A24" t="s">
        <v>75</v>
      </c>
      <c r="B24" t="s">
        <v>76</v>
      </c>
      <c r="C24" t="s">
        <v>72</v>
      </c>
      <c r="D24" s="11">
        <v>1500000</v>
      </c>
    </row>
    <row r="25" spans="1:4" x14ac:dyDescent="0.25">
      <c r="A25" t="s">
        <v>77</v>
      </c>
      <c r="B25" t="s">
        <v>78</v>
      </c>
      <c r="C25" t="s">
        <v>72</v>
      </c>
      <c r="D25" s="11">
        <v>754797</v>
      </c>
    </row>
    <row r="26" spans="1:4" x14ac:dyDescent="0.25">
      <c r="A26" t="s">
        <v>79</v>
      </c>
      <c r="B26" t="s">
        <v>80</v>
      </c>
      <c r="C26" t="s">
        <v>72</v>
      </c>
      <c r="D26" s="11">
        <v>330061</v>
      </c>
    </row>
    <row r="27" spans="1:4" x14ac:dyDescent="0.25">
      <c r="B27" t="s">
        <v>81</v>
      </c>
      <c r="C27" t="s">
        <v>72</v>
      </c>
      <c r="D27" s="12">
        <v>0</v>
      </c>
    </row>
    <row r="29" spans="1:4" x14ac:dyDescent="0.25">
      <c r="A29" t="s">
        <v>82</v>
      </c>
      <c r="B29" s="6" t="s">
        <v>83</v>
      </c>
    </row>
    <row r="30" spans="1:4" x14ac:dyDescent="0.25">
      <c r="A30" t="s">
        <v>84</v>
      </c>
      <c r="B30" t="s">
        <v>85</v>
      </c>
      <c r="C30" t="s">
        <v>13</v>
      </c>
      <c r="D30" s="12">
        <v>0.3</v>
      </c>
    </row>
    <row r="31" spans="1:4" x14ac:dyDescent="0.25">
      <c r="A31" t="s">
        <v>86</v>
      </c>
      <c r="B31" t="s">
        <v>87</v>
      </c>
      <c r="C31" t="s">
        <v>13</v>
      </c>
      <c r="D31" s="12">
        <v>0.25</v>
      </c>
    </row>
    <row r="32" spans="1:4" x14ac:dyDescent="0.25">
      <c r="A32" t="s">
        <v>88</v>
      </c>
      <c r="B32" t="s">
        <v>89</v>
      </c>
      <c r="C32" t="s">
        <v>13</v>
      </c>
      <c r="D32" s="12">
        <v>4</v>
      </c>
    </row>
    <row r="33" spans="1:4" x14ac:dyDescent="0.25">
      <c r="A33" t="s">
        <v>90</v>
      </c>
      <c r="B33" t="s">
        <v>91</v>
      </c>
      <c r="C33" t="s">
        <v>13</v>
      </c>
      <c r="D33" s="12">
        <v>0.4</v>
      </c>
    </row>
    <row r="35" spans="1:4" x14ac:dyDescent="0.25">
      <c r="B35" s="9" t="s">
        <v>92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39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3" customWidth="1"/>
    <col min="2" max="2" width="7" customWidth="1"/>
    <col min="3" max="3" width="14" customWidth="1"/>
    <col min="4" max="4" width="10" customWidth="1"/>
    <col min="5" max="9" width="12" customWidth="1"/>
    <col min="10" max="13" width="13" customWidth="1"/>
    <col min="14" max="14" width="14" customWidth="1"/>
    <col min="15" max="15" width="10" customWidth="1"/>
    <col min="16" max="21" width="11" customWidth="1"/>
    <col min="22" max="22" width="13" customWidth="1"/>
    <col min="23" max="23" width="14" customWidth="1"/>
  </cols>
  <sheetData>
    <row r="1" spans="1:23" ht="39.950000000000003" customHeight="1" x14ac:dyDescent="0.25">
      <c r="A1" s="2" t="s">
        <v>93</v>
      </c>
      <c r="B1" s="2" t="s">
        <v>94</v>
      </c>
      <c r="C1" s="2" t="s">
        <v>95</v>
      </c>
      <c r="D1" s="2" t="s">
        <v>96</v>
      </c>
      <c r="E1" s="2" t="s">
        <v>97</v>
      </c>
      <c r="F1" s="2" t="s">
        <v>98</v>
      </c>
      <c r="G1" s="2" t="s">
        <v>99</v>
      </c>
      <c r="H1" s="2" t="s">
        <v>100</v>
      </c>
      <c r="I1" s="2" t="s">
        <v>101</v>
      </c>
      <c r="J1" s="2" t="s">
        <v>102</v>
      </c>
      <c r="K1" s="2" t="s">
        <v>103</v>
      </c>
      <c r="L1" s="2" t="s">
        <v>104</v>
      </c>
      <c r="M1" s="2" t="s">
        <v>105</v>
      </c>
      <c r="N1" s="2" t="s">
        <v>106</v>
      </c>
      <c r="O1" s="2" t="s">
        <v>107</v>
      </c>
      <c r="P1" s="2" t="s">
        <v>108</v>
      </c>
      <c r="Q1" s="2" t="s">
        <v>109</v>
      </c>
      <c r="R1" s="2" t="s">
        <v>110</v>
      </c>
      <c r="S1" s="2" t="s">
        <v>111</v>
      </c>
      <c r="T1" s="2" t="s">
        <v>112</v>
      </c>
      <c r="U1" s="2" t="s">
        <v>113</v>
      </c>
      <c r="V1" s="2" t="s">
        <v>114</v>
      </c>
      <c r="W1" s="2" t="s">
        <v>115</v>
      </c>
    </row>
    <row r="2" spans="1:23" x14ac:dyDescent="0.25">
      <c r="A2" s="3" t="s">
        <v>116</v>
      </c>
      <c r="B2" s="3" t="s">
        <v>117</v>
      </c>
      <c r="C2" s="3" t="s">
        <v>23</v>
      </c>
      <c r="D2" s="4">
        <v>8203.9</v>
      </c>
      <c r="E2" s="4">
        <v>480696</v>
      </c>
      <c r="F2" s="4">
        <v>572684</v>
      </c>
      <c r="G2" s="4">
        <v>87353</v>
      </c>
      <c r="H2" s="4">
        <v>76061</v>
      </c>
      <c r="I2" s="4">
        <f>H2*Rates!$D$30</f>
        <v>22818.3</v>
      </c>
      <c r="J2" s="4">
        <f>E2*Rates!$D$2</f>
        <v>144208.79999999999</v>
      </c>
      <c r="K2" s="4">
        <f>F2*Rates!$D$3</f>
        <v>1202636.4000000001</v>
      </c>
      <c r="L2" s="4">
        <f>G2*Rates!$D$4</f>
        <v>349412</v>
      </c>
      <c r="M2" s="4">
        <f>I2*Rates!$D$5</f>
        <v>301201.56</v>
      </c>
      <c r="N2" s="4">
        <f t="shared" ref="N2:N38" si="0">SUM(J2:M2)</f>
        <v>1997458.7600000002</v>
      </c>
      <c r="O2" s="5">
        <v>59.62</v>
      </c>
      <c r="P2" s="5">
        <v>4.0199999999999996</v>
      </c>
      <c r="Q2" s="5">
        <v>0</v>
      </c>
      <c r="R2" s="5">
        <v>0</v>
      </c>
      <c r="S2" s="5">
        <v>3.18</v>
      </c>
      <c r="T2" s="5">
        <v>0</v>
      </c>
      <c r="U2" s="5">
        <v>0.01</v>
      </c>
      <c r="V2" s="4">
        <f>P2*Rates!$D$22+Q2*Rates!$D$23+R2*Rates!$D$24+S2*Rates!$D$25+T2*Rates!$D$26</f>
        <v>2602014.2399999998</v>
      </c>
      <c r="W2" s="5">
        <f t="shared" ref="W2:W38" si="1">N2+V2</f>
        <v>4599473</v>
      </c>
    </row>
    <row r="3" spans="1:23" x14ac:dyDescent="0.25">
      <c r="A3" s="3" t="s">
        <v>118</v>
      </c>
      <c r="B3" s="3" t="s">
        <v>119</v>
      </c>
      <c r="C3" s="3" t="s">
        <v>23</v>
      </c>
      <c r="D3" s="4">
        <v>7721.7</v>
      </c>
      <c r="E3" s="4">
        <v>336312</v>
      </c>
      <c r="F3" s="4">
        <v>435720</v>
      </c>
      <c r="G3" s="4">
        <v>59850</v>
      </c>
      <c r="H3" s="4">
        <v>69611</v>
      </c>
      <c r="I3" s="4">
        <f>H3*Rates!$D$30</f>
        <v>20883.3</v>
      </c>
      <c r="J3" s="4">
        <f>E3*Rates!$D$2</f>
        <v>100893.59999999999</v>
      </c>
      <c r="K3" s="4">
        <f>F3*Rates!$D$3</f>
        <v>915012</v>
      </c>
      <c r="L3" s="4">
        <f>G3*Rates!$D$4</f>
        <v>239400</v>
      </c>
      <c r="M3" s="4">
        <f>I3*Rates!$D$5</f>
        <v>275659.56</v>
      </c>
      <c r="N3" s="4">
        <f t="shared" si="0"/>
        <v>1530965.1600000001</v>
      </c>
      <c r="O3" s="5">
        <v>45.59</v>
      </c>
      <c r="P3" s="5">
        <v>3.1</v>
      </c>
      <c r="Q3" s="5">
        <v>0</v>
      </c>
      <c r="R3" s="5">
        <v>0</v>
      </c>
      <c r="S3" s="5">
        <v>7.27</v>
      </c>
      <c r="T3" s="5">
        <v>0</v>
      </c>
      <c r="U3" s="5">
        <v>0.34</v>
      </c>
      <c r="V3" s="4">
        <f>P3*Rates!$D$22+Q3*Rates!$D$23+R3*Rates!$D$24+S3*Rates!$D$25+T3*Rates!$D$26</f>
        <v>5642960.0899999999</v>
      </c>
      <c r="W3" s="5">
        <f t="shared" si="1"/>
        <v>7173925.25</v>
      </c>
    </row>
    <row r="4" spans="1:23" x14ac:dyDescent="0.25">
      <c r="A4" s="3" t="s">
        <v>120</v>
      </c>
      <c r="B4" s="3" t="s">
        <v>119</v>
      </c>
      <c r="C4" s="3" t="s">
        <v>23</v>
      </c>
      <c r="D4" s="4">
        <v>1440.4</v>
      </c>
      <c r="E4" s="4">
        <v>35076</v>
      </c>
      <c r="F4" s="4">
        <v>44099</v>
      </c>
      <c r="G4" s="4">
        <v>3037</v>
      </c>
      <c r="H4" s="4">
        <v>12985</v>
      </c>
      <c r="I4" s="4">
        <f>H4*Rates!$D$30</f>
        <v>3895.5</v>
      </c>
      <c r="J4" s="4">
        <f>E4*Rates!$D$2</f>
        <v>10522.8</v>
      </c>
      <c r="K4" s="4">
        <f>F4*Rates!$D$3</f>
        <v>92607.900000000009</v>
      </c>
      <c r="L4" s="4">
        <f>G4*Rates!$D$4</f>
        <v>12148</v>
      </c>
      <c r="M4" s="4">
        <f>I4*Rates!$D$5</f>
        <v>51420.6</v>
      </c>
      <c r="N4" s="4">
        <f t="shared" si="0"/>
        <v>166699.30000000002</v>
      </c>
      <c r="O4" s="5">
        <v>5.91</v>
      </c>
      <c r="P4" s="5">
        <v>0</v>
      </c>
      <c r="Q4" s="5">
        <v>0</v>
      </c>
      <c r="R4" s="5">
        <v>0</v>
      </c>
      <c r="S4" s="5">
        <v>3.16</v>
      </c>
      <c r="T4" s="5">
        <v>0</v>
      </c>
      <c r="U4" s="5">
        <v>0</v>
      </c>
      <c r="V4" s="4">
        <f>P4*Rates!$D$22+Q4*Rates!$D$23+R4*Rates!$D$24+S4*Rates!$D$25+T4*Rates!$D$26</f>
        <v>2385158.52</v>
      </c>
      <c r="W4" s="5">
        <f t="shared" si="1"/>
        <v>2551857.8199999998</v>
      </c>
    </row>
    <row r="5" spans="1:23" x14ac:dyDescent="0.25">
      <c r="A5" s="3" t="s">
        <v>121</v>
      </c>
      <c r="B5" s="3" t="s">
        <v>119</v>
      </c>
      <c r="C5" s="3" t="s">
        <v>23</v>
      </c>
      <c r="D5" s="4">
        <v>1385.3</v>
      </c>
      <c r="E5" s="4">
        <v>32264</v>
      </c>
      <c r="F5" s="4">
        <v>45553</v>
      </c>
      <c r="G5" s="4">
        <v>4069</v>
      </c>
      <c r="H5" s="4">
        <v>12488</v>
      </c>
      <c r="I5" s="4">
        <f>H5*Rates!$D$30</f>
        <v>3746.3999999999996</v>
      </c>
      <c r="J5" s="4">
        <f>E5*Rates!$D$2</f>
        <v>9679.1999999999989</v>
      </c>
      <c r="K5" s="4">
        <f>F5*Rates!$D$3</f>
        <v>95661.3</v>
      </c>
      <c r="L5" s="4">
        <f>G5*Rates!$D$4</f>
        <v>16276</v>
      </c>
      <c r="M5" s="4">
        <f>I5*Rates!$D$5</f>
        <v>49452.479999999996</v>
      </c>
      <c r="N5" s="4">
        <f t="shared" si="0"/>
        <v>171068.97999999998</v>
      </c>
      <c r="O5" s="5">
        <v>5.68</v>
      </c>
      <c r="P5" s="5">
        <v>0</v>
      </c>
      <c r="Q5" s="5">
        <v>0</v>
      </c>
      <c r="R5" s="5">
        <v>0</v>
      </c>
      <c r="S5" s="5">
        <v>1.42</v>
      </c>
      <c r="T5" s="5">
        <v>0</v>
      </c>
      <c r="U5" s="5">
        <v>0</v>
      </c>
      <c r="V5" s="4">
        <f>P5*Rates!$D$22+Q5*Rates!$D$23+R5*Rates!$D$24+S5*Rates!$D$25+T5*Rates!$D$26</f>
        <v>1071811.74</v>
      </c>
      <c r="W5" s="5">
        <f t="shared" si="1"/>
        <v>1242880.72</v>
      </c>
    </row>
    <row r="6" spans="1:23" x14ac:dyDescent="0.25">
      <c r="A6" s="3" t="s">
        <v>122</v>
      </c>
      <c r="B6" s="3" t="s">
        <v>119</v>
      </c>
      <c r="C6" s="3" t="s">
        <v>23</v>
      </c>
      <c r="D6" s="4">
        <v>7065.8</v>
      </c>
      <c r="E6" s="4">
        <v>277740</v>
      </c>
      <c r="F6" s="4">
        <v>370292</v>
      </c>
      <c r="G6" s="4">
        <v>56291</v>
      </c>
      <c r="H6" s="4">
        <v>63699</v>
      </c>
      <c r="I6" s="4">
        <f>H6*Rates!$D$30</f>
        <v>19109.7</v>
      </c>
      <c r="J6" s="4">
        <f>E6*Rates!$D$2</f>
        <v>83322</v>
      </c>
      <c r="K6" s="4">
        <f>F6*Rates!$D$3</f>
        <v>777613.20000000007</v>
      </c>
      <c r="L6" s="4">
        <f>G6*Rates!$D$4</f>
        <v>225164</v>
      </c>
      <c r="M6" s="4">
        <f>I6*Rates!$D$5</f>
        <v>252248.04</v>
      </c>
      <c r="N6" s="4">
        <f t="shared" si="0"/>
        <v>1338347.2400000002</v>
      </c>
      <c r="O6" s="5">
        <v>38.630000000000003</v>
      </c>
      <c r="P6" s="5">
        <v>7.1</v>
      </c>
      <c r="Q6" s="5">
        <v>0</v>
      </c>
      <c r="R6" s="5">
        <v>0</v>
      </c>
      <c r="S6" s="5">
        <v>4.38</v>
      </c>
      <c r="T6" s="5">
        <v>0</v>
      </c>
      <c r="U6" s="5">
        <v>0.4</v>
      </c>
      <c r="V6" s="4">
        <f>P6*Rates!$D$22+Q6*Rates!$D$23+R6*Rates!$D$24+S6*Rates!$D$25+T6*Rates!$D$26</f>
        <v>3662352.76</v>
      </c>
      <c r="W6" s="5">
        <f t="shared" si="1"/>
        <v>5000700</v>
      </c>
    </row>
    <row r="7" spans="1:23" x14ac:dyDescent="0.25">
      <c r="A7" s="3" t="s">
        <v>123</v>
      </c>
      <c r="B7" s="3" t="s">
        <v>119</v>
      </c>
      <c r="C7" s="3" t="s">
        <v>23</v>
      </c>
      <c r="D7" s="4">
        <v>1270.2</v>
      </c>
      <c r="E7" s="4">
        <v>31640</v>
      </c>
      <c r="F7" s="4">
        <v>42278</v>
      </c>
      <c r="G7" s="4">
        <v>2759</v>
      </c>
      <c r="H7" s="4">
        <v>11451</v>
      </c>
      <c r="I7" s="4">
        <f>H7*Rates!$D$30</f>
        <v>3435.2999999999997</v>
      </c>
      <c r="J7" s="4">
        <f>E7*Rates!$D$2</f>
        <v>9492</v>
      </c>
      <c r="K7" s="4">
        <f>F7*Rates!$D$3</f>
        <v>88783.8</v>
      </c>
      <c r="L7" s="4">
        <f>G7*Rates!$D$4</f>
        <v>11036</v>
      </c>
      <c r="M7" s="4">
        <f>I7*Rates!$D$5</f>
        <v>45345.959999999992</v>
      </c>
      <c r="N7" s="4">
        <f t="shared" si="0"/>
        <v>154657.76</v>
      </c>
      <c r="O7" s="5">
        <v>5.21</v>
      </c>
      <c r="P7" s="5">
        <v>0.13</v>
      </c>
      <c r="Q7" s="5">
        <v>0</v>
      </c>
      <c r="R7" s="5">
        <v>0</v>
      </c>
      <c r="S7" s="5">
        <v>0.22</v>
      </c>
      <c r="T7" s="5">
        <v>0</v>
      </c>
      <c r="U7" s="5">
        <v>0</v>
      </c>
      <c r="V7" s="4">
        <f>P7*Rates!$D$22+Q7*Rates!$D$23+R7*Rates!$D$24+S7*Rates!$D$25+T7*Rates!$D$26</f>
        <v>172579.91</v>
      </c>
      <c r="W7" s="5">
        <f t="shared" si="1"/>
        <v>327237.67000000004</v>
      </c>
    </row>
    <row r="8" spans="1:23" x14ac:dyDescent="0.25">
      <c r="A8" s="3" t="s">
        <v>124</v>
      </c>
      <c r="B8" s="3" t="s">
        <v>119</v>
      </c>
      <c r="C8" s="3" t="s">
        <v>23</v>
      </c>
      <c r="D8" s="4">
        <v>6507.5</v>
      </c>
      <c r="E8" s="4">
        <v>240484</v>
      </c>
      <c r="F8" s="4">
        <v>209914</v>
      </c>
      <c r="G8" s="4">
        <v>95544</v>
      </c>
      <c r="H8" s="4">
        <v>58666</v>
      </c>
      <c r="I8" s="4">
        <f>H8*Rates!$D$30</f>
        <v>17599.8</v>
      </c>
      <c r="J8" s="4">
        <f>E8*Rates!$D$2</f>
        <v>72145.2</v>
      </c>
      <c r="K8" s="4">
        <f>F8*Rates!$D$3</f>
        <v>440819.4</v>
      </c>
      <c r="L8" s="4">
        <f>G8*Rates!$D$4</f>
        <v>382176</v>
      </c>
      <c r="M8" s="4">
        <f>I8*Rates!$D$5</f>
        <v>232317.36</v>
      </c>
      <c r="N8" s="4">
        <f t="shared" si="0"/>
        <v>1127457.96</v>
      </c>
      <c r="O8" s="5">
        <v>32.049999999999997</v>
      </c>
      <c r="P8" s="5">
        <v>1.6</v>
      </c>
      <c r="Q8" s="5">
        <v>0</v>
      </c>
      <c r="R8" s="5">
        <v>0</v>
      </c>
      <c r="S8" s="5">
        <v>0.34</v>
      </c>
      <c r="T8" s="5">
        <v>0</v>
      </c>
      <c r="U8" s="5">
        <v>0.41</v>
      </c>
      <c r="V8" s="4">
        <f>P8*Rates!$D$22+Q8*Rates!$D$23+R8*Rates!$D$24+S8*Rates!$D$25+T8*Rates!$D$26</f>
        <v>336933.38</v>
      </c>
      <c r="W8" s="5">
        <f t="shared" si="1"/>
        <v>1464391.3399999999</v>
      </c>
    </row>
    <row r="9" spans="1:23" x14ac:dyDescent="0.25">
      <c r="A9" s="3" t="s">
        <v>125</v>
      </c>
      <c r="B9" s="3" t="s">
        <v>117</v>
      </c>
      <c r="C9" s="3" t="s">
        <v>24</v>
      </c>
      <c r="D9" s="4">
        <v>8044.2</v>
      </c>
      <c r="E9" s="4">
        <v>1588936</v>
      </c>
      <c r="F9" s="4">
        <v>3647137</v>
      </c>
      <c r="G9" s="4">
        <v>34542</v>
      </c>
      <c r="H9" s="4">
        <v>74177</v>
      </c>
      <c r="I9" s="4">
        <f>H9*Rates!$D$30</f>
        <v>22253.1</v>
      </c>
      <c r="J9" s="4">
        <f>E9*Rates!$D$2</f>
        <v>476680.8</v>
      </c>
      <c r="K9" s="4">
        <f>F9*Rates!$D$3</f>
        <v>7658987.7000000002</v>
      </c>
      <c r="L9" s="4">
        <f>G9*Rates!$D$4</f>
        <v>138168</v>
      </c>
      <c r="M9" s="4">
        <f>I9*Rates!$D$5</f>
        <v>293740.92</v>
      </c>
      <c r="N9" s="4">
        <f t="shared" si="0"/>
        <v>8567577.4199999999</v>
      </c>
      <c r="O9" s="5">
        <v>172.08</v>
      </c>
      <c r="P9" s="5">
        <v>10.210000000000001</v>
      </c>
      <c r="Q9" s="5">
        <v>0</v>
      </c>
      <c r="R9" s="5">
        <v>0</v>
      </c>
      <c r="S9" s="5">
        <v>15.46</v>
      </c>
      <c r="T9" s="5">
        <v>0</v>
      </c>
      <c r="U9" s="5">
        <v>2.75</v>
      </c>
      <c r="V9" s="4">
        <f>P9*Rates!$D$22+Q9*Rates!$D$23+R9*Rates!$D$24+S9*Rates!$D$25+T9*Rates!$D$26</f>
        <v>12181591.310000001</v>
      </c>
      <c r="W9" s="5">
        <f t="shared" si="1"/>
        <v>20749168.73</v>
      </c>
    </row>
    <row r="10" spans="1:23" x14ac:dyDescent="0.25">
      <c r="A10" s="3" t="s">
        <v>126</v>
      </c>
      <c r="B10" s="3" t="s">
        <v>127</v>
      </c>
      <c r="C10" s="3" t="s">
        <v>24</v>
      </c>
      <c r="D10" s="4">
        <v>11436</v>
      </c>
      <c r="E10" s="4">
        <v>1245032</v>
      </c>
      <c r="F10" s="4">
        <v>2305908</v>
      </c>
      <c r="G10" s="4">
        <v>75612</v>
      </c>
      <c r="H10" s="4">
        <v>103096</v>
      </c>
      <c r="I10" s="4">
        <f>H10*Rates!$D$30</f>
        <v>30928.799999999999</v>
      </c>
      <c r="J10" s="4">
        <f>E10*Rates!$D$2</f>
        <v>373509.6</v>
      </c>
      <c r="K10" s="4">
        <f>F10*Rates!$D$3</f>
        <v>4842406.8</v>
      </c>
      <c r="L10" s="4">
        <f>G10*Rates!$D$4</f>
        <v>302448</v>
      </c>
      <c r="M10" s="4">
        <f>I10*Rates!$D$5</f>
        <v>408260.16</v>
      </c>
      <c r="N10" s="4">
        <f t="shared" si="0"/>
        <v>5926624.5599999996</v>
      </c>
      <c r="O10" s="5">
        <v>142.56</v>
      </c>
      <c r="P10" s="5">
        <v>15.86</v>
      </c>
      <c r="Q10" s="5">
        <v>0</v>
      </c>
      <c r="R10" s="5">
        <v>0</v>
      </c>
      <c r="S10" s="5">
        <v>0.92</v>
      </c>
      <c r="T10" s="5">
        <v>0</v>
      </c>
      <c r="U10" s="5">
        <v>11.47</v>
      </c>
      <c r="V10" s="4">
        <f>P10*Rates!$D$22+Q10*Rates!$D$23+R10*Rates!$D$24+S10*Rates!$D$25+T10*Rates!$D$26</f>
        <v>1490410.7799999998</v>
      </c>
      <c r="W10" s="5">
        <f t="shared" si="1"/>
        <v>7417035.3399999999</v>
      </c>
    </row>
    <row r="11" spans="1:23" x14ac:dyDescent="0.25">
      <c r="A11" s="3" t="s">
        <v>128</v>
      </c>
      <c r="B11" s="3" t="s">
        <v>127</v>
      </c>
      <c r="C11" s="3" t="s">
        <v>24</v>
      </c>
      <c r="D11" s="4">
        <v>13878.4</v>
      </c>
      <c r="E11" s="4">
        <v>887264</v>
      </c>
      <c r="F11" s="4">
        <v>1892850</v>
      </c>
      <c r="G11" s="4">
        <v>67075</v>
      </c>
      <c r="H11" s="4">
        <v>125114</v>
      </c>
      <c r="I11" s="4">
        <f>H11*Rates!$D$30</f>
        <v>37534.199999999997</v>
      </c>
      <c r="J11" s="4">
        <f>E11*Rates!$D$2</f>
        <v>266179.20000000001</v>
      </c>
      <c r="K11" s="4">
        <f>F11*Rates!$D$3</f>
        <v>3974985</v>
      </c>
      <c r="L11" s="4">
        <f>G11*Rates!$D$4</f>
        <v>268300</v>
      </c>
      <c r="M11" s="4">
        <f>I11*Rates!$D$5</f>
        <v>495451.43999999994</v>
      </c>
      <c r="N11" s="4">
        <f t="shared" si="0"/>
        <v>5004915.6400000006</v>
      </c>
      <c r="O11" s="5">
        <v>110.15</v>
      </c>
      <c r="P11" s="5">
        <v>18.8</v>
      </c>
      <c r="Q11" s="5">
        <v>0</v>
      </c>
      <c r="R11" s="5">
        <v>0</v>
      </c>
      <c r="S11" s="5">
        <v>22.76</v>
      </c>
      <c r="T11" s="5">
        <v>0</v>
      </c>
      <c r="U11" s="5">
        <v>0.04</v>
      </c>
      <c r="V11" s="4">
        <f>P11*Rates!$D$22+Q11*Rates!$D$23+R11*Rates!$D$24+S11*Rates!$D$25+T11*Rates!$D$26</f>
        <v>18122732.920000002</v>
      </c>
      <c r="W11" s="5">
        <f t="shared" si="1"/>
        <v>23127648.560000002</v>
      </c>
    </row>
    <row r="12" spans="1:23" x14ac:dyDescent="0.25">
      <c r="A12" s="3" t="s">
        <v>129</v>
      </c>
      <c r="B12" s="3" t="s">
        <v>127</v>
      </c>
      <c r="C12" s="3" t="s">
        <v>24</v>
      </c>
      <c r="D12" s="4">
        <v>8276.7999999999993</v>
      </c>
      <c r="E12" s="4">
        <v>1071788</v>
      </c>
      <c r="F12" s="4">
        <v>1893135</v>
      </c>
      <c r="G12" s="4">
        <v>105785</v>
      </c>
      <c r="H12" s="4">
        <v>74616</v>
      </c>
      <c r="I12" s="4">
        <f>H12*Rates!$D$30</f>
        <v>22384.799999999999</v>
      </c>
      <c r="J12" s="4">
        <f>E12*Rates!$D$2</f>
        <v>321536.39999999997</v>
      </c>
      <c r="K12" s="4">
        <f>F12*Rates!$D$3</f>
        <v>3975583.5</v>
      </c>
      <c r="L12" s="4">
        <f>G12*Rates!$D$4</f>
        <v>423140</v>
      </c>
      <c r="M12" s="4">
        <f>I12*Rates!$D$5</f>
        <v>295479.36</v>
      </c>
      <c r="N12" s="4">
        <f t="shared" si="0"/>
        <v>5015739.2600000007</v>
      </c>
      <c r="O12" s="5">
        <v>119</v>
      </c>
      <c r="P12" s="5">
        <v>23.93</v>
      </c>
      <c r="Q12" s="5">
        <v>0</v>
      </c>
      <c r="R12" s="5">
        <v>0</v>
      </c>
      <c r="S12" s="5">
        <v>22.82</v>
      </c>
      <c r="T12" s="5">
        <v>0</v>
      </c>
      <c r="U12" s="5">
        <v>2.61</v>
      </c>
      <c r="V12" s="4">
        <f>P12*Rates!$D$22+Q12*Rates!$D$23+R12*Rates!$D$24+S12*Rates!$D$25+T12*Rates!$D$26</f>
        <v>18425490.309999999</v>
      </c>
      <c r="W12" s="5">
        <f t="shared" si="1"/>
        <v>23441229.57</v>
      </c>
    </row>
    <row r="13" spans="1:23" x14ac:dyDescent="0.25">
      <c r="A13" s="3" t="s">
        <v>130</v>
      </c>
      <c r="B13" s="3" t="s">
        <v>127</v>
      </c>
      <c r="C13" s="3" t="s">
        <v>24</v>
      </c>
      <c r="D13" s="4">
        <v>9916.7000000000007</v>
      </c>
      <c r="E13" s="4">
        <v>497652</v>
      </c>
      <c r="F13" s="4">
        <v>543058</v>
      </c>
      <c r="G13" s="4">
        <v>225722</v>
      </c>
      <c r="H13" s="4">
        <v>89399</v>
      </c>
      <c r="I13" s="4">
        <f>H13*Rates!$D$30</f>
        <v>26819.7</v>
      </c>
      <c r="J13" s="4">
        <f>E13*Rates!$D$2</f>
        <v>149295.6</v>
      </c>
      <c r="K13" s="4">
        <f>F13*Rates!$D$3</f>
        <v>1140421.8</v>
      </c>
      <c r="L13" s="4">
        <f>G13*Rates!$D$4</f>
        <v>902888</v>
      </c>
      <c r="M13" s="4">
        <f>I13*Rates!$D$5</f>
        <v>354020.04</v>
      </c>
      <c r="N13" s="4">
        <f t="shared" si="0"/>
        <v>2546625.4400000004</v>
      </c>
      <c r="O13" s="5">
        <v>62.24</v>
      </c>
      <c r="P13" s="5">
        <v>13.92</v>
      </c>
      <c r="Q13" s="5">
        <v>0</v>
      </c>
      <c r="R13" s="5">
        <v>0</v>
      </c>
      <c r="S13" s="5">
        <v>2.86</v>
      </c>
      <c r="T13" s="5">
        <v>0</v>
      </c>
      <c r="U13" s="5">
        <v>0</v>
      </c>
      <c r="V13" s="4">
        <f>P13*Rates!$D$22+Q13*Rates!$D$23+R13*Rates!$D$24+S13*Rates!$D$25+T13*Rates!$D$26</f>
        <v>2857350.3</v>
      </c>
      <c r="W13" s="5">
        <f t="shared" si="1"/>
        <v>5403975.7400000002</v>
      </c>
    </row>
    <row r="14" spans="1:23" x14ac:dyDescent="0.25">
      <c r="A14" s="3" t="s">
        <v>131</v>
      </c>
      <c r="B14" s="3" t="s">
        <v>127</v>
      </c>
      <c r="C14" s="3" t="s">
        <v>24</v>
      </c>
      <c r="D14" s="4">
        <v>5159.1000000000004</v>
      </c>
      <c r="E14" s="4">
        <v>260536</v>
      </c>
      <c r="F14" s="4">
        <v>480366</v>
      </c>
      <c r="G14" s="4">
        <v>31311</v>
      </c>
      <c r="H14" s="4">
        <v>46509</v>
      </c>
      <c r="I14" s="4">
        <f>H14*Rates!$D$30</f>
        <v>13952.699999999999</v>
      </c>
      <c r="J14" s="4">
        <f>E14*Rates!$D$2</f>
        <v>78160.800000000003</v>
      </c>
      <c r="K14" s="4">
        <f>F14*Rates!$D$3</f>
        <v>1008768.6000000001</v>
      </c>
      <c r="L14" s="4">
        <f>G14*Rates!$D$4</f>
        <v>125244</v>
      </c>
      <c r="M14" s="4">
        <f>I14*Rates!$D$5</f>
        <v>184175.63999999998</v>
      </c>
      <c r="N14" s="4">
        <f t="shared" si="0"/>
        <v>1396349.04</v>
      </c>
      <c r="O14" s="5">
        <v>34.31</v>
      </c>
      <c r="P14" s="5">
        <v>7.16</v>
      </c>
      <c r="Q14" s="5">
        <v>0.04</v>
      </c>
      <c r="R14" s="5">
        <v>0</v>
      </c>
      <c r="S14" s="5">
        <v>1.77</v>
      </c>
      <c r="T14" s="5">
        <v>0</v>
      </c>
      <c r="U14" s="5">
        <v>0</v>
      </c>
      <c r="V14" s="4">
        <f>P14*Rates!$D$22+Q14*Rates!$D$23+R14*Rates!$D$24+S14*Rates!$D$25+T14*Rates!$D$26</f>
        <v>1754819.93</v>
      </c>
      <c r="W14" s="5">
        <f t="shared" si="1"/>
        <v>3151168.9699999997</v>
      </c>
    </row>
    <row r="15" spans="1:23" x14ac:dyDescent="0.25">
      <c r="A15" s="3" t="s">
        <v>132</v>
      </c>
      <c r="B15" s="3" t="s">
        <v>127</v>
      </c>
      <c r="C15" s="3" t="s">
        <v>24</v>
      </c>
      <c r="D15" s="4">
        <v>7405.9</v>
      </c>
      <c r="E15" s="4">
        <v>428176</v>
      </c>
      <c r="F15" s="4">
        <v>826218</v>
      </c>
      <c r="G15" s="4">
        <v>38527</v>
      </c>
      <c r="H15" s="4">
        <v>66764</v>
      </c>
      <c r="I15" s="4">
        <f>H15*Rates!$D$30</f>
        <v>20029.2</v>
      </c>
      <c r="J15" s="4">
        <f>E15*Rates!$D$2</f>
        <v>128452.79999999999</v>
      </c>
      <c r="K15" s="4">
        <f>F15*Rates!$D$3</f>
        <v>1735057.8</v>
      </c>
      <c r="L15" s="4">
        <f>G15*Rates!$D$4</f>
        <v>154108</v>
      </c>
      <c r="M15" s="4">
        <f>I15*Rates!$D$5</f>
        <v>264385.44</v>
      </c>
      <c r="N15" s="4">
        <f t="shared" si="0"/>
        <v>2282004.04</v>
      </c>
      <c r="O15" s="5">
        <v>54.39</v>
      </c>
      <c r="P15" s="5">
        <v>14.08</v>
      </c>
      <c r="Q15" s="5">
        <v>0.01</v>
      </c>
      <c r="R15" s="5">
        <v>0</v>
      </c>
      <c r="S15" s="5">
        <v>3.47</v>
      </c>
      <c r="T15" s="5">
        <v>0</v>
      </c>
      <c r="U15" s="5">
        <v>0.42</v>
      </c>
      <c r="V15" s="4">
        <f>P15*Rates!$D$22+Q15*Rates!$D$23+R15*Rates!$D$24+S15*Rates!$D$25+T15*Rates!$D$26</f>
        <v>3340675.7100000004</v>
      </c>
      <c r="W15" s="5">
        <f t="shared" si="1"/>
        <v>5622679.75</v>
      </c>
    </row>
    <row r="16" spans="1:23" x14ac:dyDescent="0.25">
      <c r="A16" s="3" t="s">
        <v>133</v>
      </c>
      <c r="B16" s="3" t="s">
        <v>119</v>
      </c>
      <c r="C16" s="3" t="s">
        <v>24</v>
      </c>
      <c r="D16" s="4">
        <v>5884.6</v>
      </c>
      <c r="E16" s="4">
        <v>189292</v>
      </c>
      <c r="F16" s="4">
        <v>230779</v>
      </c>
      <c r="G16" s="4">
        <v>37332</v>
      </c>
      <c r="H16" s="4">
        <v>53050</v>
      </c>
      <c r="I16" s="4">
        <f>H16*Rates!$D$30</f>
        <v>15915</v>
      </c>
      <c r="J16" s="4">
        <f>E16*Rates!$D$2</f>
        <v>56787.6</v>
      </c>
      <c r="K16" s="4">
        <f>F16*Rates!$D$3</f>
        <v>484635.9</v>
      </c>
      <c r="L16" s="4">
        <f>G16*Rates!$D$4</f>
        <v>149328</v>
      </c>
      <c r="M16" s="4">
        <f>I16*Rates!$D$5</f>
        <v>210078</v>
      </c>
      <c r="N16" s="4">
        <f t="shared" si="0"/>
        <v>900829.5</v>
      </c>
      <c r="O16" s="5">
        <v>28.28</v>
      </c>
      <c r="P16" s="5">
        <v>0.75</v>
      </c>
      <c r="Q16" s="5">
        <v>0</v>
      </c>
      <c r="R16" s="5">
        <v>0</v>
      </c>
      <c r="S16" s="5">
        <v>1.46</v>
      </c>
      <c r="T16" s="5">
        <v>0</v>
      </c>
      <c r="U16" s="5">
        <v>0</v>
      </c>
      <c r="V16" s="4">
        <f>P16*Rates!$D$22+Q16*Rates!$D$23+R16*Rates!$D$24+S16*Rates!$D$25+T16*Rates!$D$26</f>
        <v>1139645.3699999999</v>
      </c>
      <c r="W16" s="5">
        <f t="shared" si="1"/>
        <v>2040474.8699999999</v>
      </c>
    </row>
    <row r="17" spans="1:23" x14ac:dyDescent="0.25">
      <c r="A17" s="3" t="s">
        <v>134</v>
      </c>
      <c r="B17" s="3" t="s">
        <v>119</v>
      </c>
      <c r="C17" s="3" t="s">
        <v>24</v>
      </c>
      <c r="D17" s="4">
        <v>5489.1</v>
      </c>
      <c r="E17" s="4">
        <v>246408</v>
      </c>
      <c r="F17" s="4">
        <v>482712</v>
      </c>
      <c r="G17" s="4">
        <v>13434</v>
      </c>
      <c r="H17" s="4">
        <v>49485</v>
      </c>
      <c r="I17" s="4">
        <f>H17*Rates!$D$30</f>
        <v>14845.5</v>
      </c>
      <c r="J17" s="4">
        <f>E17*Rates!$D$2</f>
        <v>73922.399999999994</v>
      </c>
      <c r="K17" s="4">
        <f>F17*Rates!$D$3</f>
        <v>1013695.2000000001</v>
      </c>
      <c r="L17" s="4">
        <f>G17*Rates!$D$4</f>
        <v>53736</v>
      </c>
      <c r="M17" s="4">
        <f>I17*Rates!$D$5</f>
        <v>195960.59999999998</v>
      </c>
      <c r="N17" s="4">
        <f t="shared" si="0"/>
        <v>1337314.2000000002</v>
      </c>
      <c r="O17" s="5">
        <v>34.06</v>
      </c>
      <c r="P17" s="5">
        <v>8.27</v>
      </c>
      <c r="Q17" s="5">
        <v>0</v>
      </c>
      <c r="R17" s="5">
        <v>0</v>
      </c>
      <c r="S17" s="5">
        <v>10.02</v>
      </c>
      <c r="T17" s="5">
        <v>0</v>
      </c>
      <c r="U17" s="5">
        <v>0</v>
      </c>
      <c r="V17" s="4">
        <f>P17*Rates!$D$22+Q17*Rates!$D$23+R17*Rates!$D$24+S17*Rates!$D$25+T17*Rates!$D$26</f>
        <v>7978128.9699999997</v>
      </c>
      <c r="W17" s="5">
        <f t="shared" si="1"/>
        <v>9315443.1699999999</v>
      </c>
    </row>
    <row r="18" spans="1:23" x14ac:dyDescent="0.25">
      <c r="A18" s="3" t="s">
        <v>135</v>
      </c>
      <c r="B18" s="3" t="s">
        <v>119</v>
      </c>
      <c r="C18" s="3" t="s">
        <v>24</v>
      </c>
      <c r="D18" s="4">
        <v>5374</v>
      </c>
      <c r="E18" s="4">
        <v>340048</v>
      </c>
      <c r="F18" s="4">
        <v>687369</v>
      </c>
      <c r="G18" s="4">
        <v>28644</v>
      </c>
      <c r="H18" s="4">
        <v>48447</v>
      </c>
      <c r="I18" s="4">
        <f>H18*Rates!$D$30</f>
        <v>14534.1</v>
      </c>
      <c r="J18" s="4">
        <f>E18*Rates!$D$2</f>
        <v>102014.39999999999</v>
      </c>
      <c r="K18" s="4">
        <f>F18*Rates!$D$3</f>
        <v>1443474.9000000001</v>
      </c>
      <c r="L18" s="4">
        <f>G18*Rates!$D$4</f>
        <v>114576</v>
      </c>
      <c r="M18" s="4">
        <f>I18*Rates!$D$5</f>
        <v>191850.12</v>
      </c>
      <c r="N18" s="4">
        <f t="shared" si="0"/>
        <v>1851915.42</v>
      </c>
      <c r="O18" s="5">
        <v>42.11</v>
      </c>
      <c r="P18" s="5">
        <v>17.38</v>
      </c>
      <c r="Q18" s="5">
        <v>0</v>
      </c>
      <c r="R18" s="5">
        <v>0</v>
      </c>
      <c r="S18" s="5">
        <v>4.05</v>
      </c>
      <c r="T18" s="5">
        <v>0</v>
      </c>
      <c r="U18" s="5">
        <v>1.82</v>
      </c>
      <c r="V18" s="4">
        <f>P18*Rates!$D$22+Q18*Rates!$D$23+R18*Rates!$D$24+S18*Rates!$D$25+T18*Rates!$D$26</f>
        <v>3929212.67</v>
      </c>
      <c r="W18" s="5">
        <f t="shared" si="1"/>
        <v>5781128.0899999999</v>
      </c>
    </row>
    <row r="19" spans="1:23" x14ac:dyDescent="0.25">
      <c r="A19" s="3" t="s">
        <v>136</v>
      </c>
      <c r="B19" s="3" t="s">
        <v>119</v>
      </c>
      <c r="C19" s="3" t="s">
        <v>24</v>
      </c>
      <c r="D19" s="4">
        <v>2427.5</v>
      </c>
      <c r="E19" s="4">
        <v>98972</v>
      </c>
      <c r="F19" s="4">
        <v>65857</v>
      </c>
      <c r="G19" s="4">
        <v>40055</v>
      </c>
      <c r="H19" s="4">
        <v>21884</v>
      </c>
      <c r="I19" s="4">
        <f>H19*Rates!$D$30</f>
        <v>6565.2</v>
      </c>
      <c r="J19" s="4">
        <f>E19*Rates!$D$2</f>
        <v>29691.599999999999</v>
      </c>
      <c r="K19" s="4">
        <f>F19*Rates!$D$3</f>
        <v>138299.70000000001</v>
      </c>
      <c r="L19" s="4">
        <f>G19*Rates!$D$4</f>
        <v>160220</v>
      </c>
      <c r="M19" s="4">
        <f>I19*Rates!$D$5</f>
        <v>86660.64</v>
      </c>
      <c r="N19" s="4">
        <f t="shared" si="0"/>
        <v>414871.94000000006</v>
      </c>
      <c r="O19" s="5">
        <v>12.84</v>
      </c>
      <c r="P19" s="5">
        <v>1.21</v>
      </c>
      <c r="Q19" s="5">
        <v>0</v>
      </c>
      <c r="R19" s="5">
        <v>0</v>
      </c>
      <c r="S19" s="5">
        <v>1.36</v>
      </c>
      <c r="T19" s="5">
        <v>0</v>
      </c>
      <c r="U19" s="5">
        <v>0</v>
      </c>
      <c r="V19" s="4">
        <f>P19*Rates!$D$22+Q19*Rates!$D$23+R19*Rates!$D$24+S19*Rates!$D$25+T19*Rates!$D$26</f>
        <v>1087252.6100000001</v>
      </c>
      <c r="W19" s="5">
        <f t="shared" si="1"/>
        <v>1502124.5500000003</v>
      </c>
    </row>
    <row r="20" spans="1:23" x14ac:dyDescent="0.25">
      <c r="A20" s="3" t="s">
        <v>137</v>
      </c>
      <c r="B20" s="3" t="s">
        <v>119</v>
      </c>
      <c r="C20" s="3" t="s">
        <v>24</v>
      </c>
      <c r="D20" s="4">
        <v>3773.2</v>
      </c>
      <c r="E20" s="4">
        <v>94724</v>
      </c>
      <c r="F20" s="4">
        <v>97385</v>
      </c>
      <c r="G20" s="4">
        <v>16881</v>
      </c>
      <c r="H20" s="4">
        <v>34016</v>
      </c>
      <c r="I20" s="4">
        <f>H20*Rates!$D$30</f>
        <v>10204.799999999999</v>
      </c>
      <c r="J20" s="4">
        <f>E20*Rates!$D$2</f>
        <v>28417.200000000001</v>
      </c>
      <c r="K20" s="4">
        <f>F20*Rates!$D$3</f>
        <v>204508.5</v>
      </c>
      <c r="L20" s="4">
        <f>G20*Rates!$D$4</f>
        <v>67524</v>
      </c>
      <c r="M20" s="4">
        <f>I20*Rates!$D$5</f>
        <v>134703.35999999999</v>
      </c>
      <c r="N20" s="4">
        <f t="shared" si="0"/>
        <v>435153.06</v>
      </c>
      <c r="O20" s="5">
        <v>15.47</v>
      </c>
      <c r="P20" s="5">
        <v>0</v>
      </c>
      <c r="Q20" s="5">
        <v>0</v>
      </c>
      <c r="R20" s="5">
        <v>0</v>
      </c>
      <c r="S20" s="5">
        <v>2.84</v>
      </c>
      <c r="T20" s="5">
        <v>0</v>
      </c>
      <c r="U20" s="5">
        <v>0.75</v>
      </c>
      <c r="V20" s="4">
        <f>P20*Rates!$D$22+Q20*Rates!$D$23+R20*Rates!$D$24+S20*Rates!$D$25+T20*Rates!$D$26</f>
        <v>2143623.48</v>
      </c>
      <c r="W20" s="5">
        <f t="shared" si="1"/>
        <v>2578776.54</v>
      </c>
    </row>
    <row r="21" spans="1:23" x14ac:dyDescent="0.25">
      <c r="A21" s="3" t="s">
        <v>138</v>
      </c>
      <c r="B21" s="3" t="s">
        <v>119</v>
      </c>
      <c r="C21" s="3" t="s">
        <v>24</v>
      </c>
      <c r="D21" s="4">
        <v>1642.2</v>
      </c>
      <c r="E21" s="4">
        <v>112704</v>
      </c>
      <c r="F21" s="4">
        <v>43438</v>
      </c>
      <c r="G21" s="4">
        <v>37438</v>
      </c>
      <c r="H21" s="4">
        <v>14804</v>
      </c>
      <c r="I21" s="4">
        <f>H21*Rates!$D$30</f>
        <v>4441.2</v>
      </c>
      <c r="J21" s="4">
        <f>E21*Rates!$D$2</f>
        <v>33811.199999999997</v>
      </c>
      <c r="K21" s="4">
        <f>F21*Rates!$D$3</f>
        <v>91219.8</v>
      </c>
      <c r="L21" s="4">
        <f>G21*Rates!$D$4</f>
        <v>149752</v>
      </c>
      <c r="M21" s="4">
        <f>I21*Rates!$D$5</f>
        <v>58623.839999999997</v>
      </c>
      <c r="N21" s="4">
        <f t="shared" si="0"/>
        <v>333406.83999999997</v>
      </c>
      <c r="O21" s="5">
        <v>13.22</v>
      </c>
      <c r="P21" s="5">
        <v>0.17</v>
      </c>
      <c r="Q21" s="5">
        <v>0</v>
      </c>
      <c r="R21" s="5">
        <v>0</v>
      </c>
      <c r="S21" s="5">
        <v>0.61</v>
      </c>
      <c r="T21" s="5">
        <v>0</v>
      </c>
      <c r="U21" s="5">
        <v>7.0000000000000007E-2</v>
      </c>
      <c r="V21" s="4">
        <f>P21*Rates!$D$22+Q21*Rates!$D$23+R21*Rates!$D$24+S21*Rates!$D$25+T21*Rates!$D$26</f>
        <v>468958.3</v>
      </c>
      <c r="W21" s="5">
        <f t="shared" si="1"/>
        <v>802365.1399999999</v>
      </c>
    </row>
    <row r="22" spans="1:23" x14ac:dyDescent="0.25">
      <c r="A22" s="3" t="s">
        <v>139</v>
      </c>
      <c r="B22" s="3" t="s">
        <v>119</v>
      </c>
      <c r="C22" s="3" t="s">
        <v>24</v>
      </c>
      <c r="D22" s="4">
        <v>3944.6</v>
      </c>
      <c r="E22" s="4">
        <v>127808</v>
      </c>
      <c r="F22" s="4">
        <v>224150</v>
      </c>
      <c r="G22" s="4">
        <v>7405</v>
      </c>
      <c r="H22" s="4">
        <v>35561</v>
      </c>
      <c r="I22" s="4">
        <f>H22*Rates!$D$30</f>
        <v>10668.3</v>
      </c>
      <c r="J22" s="4">
        <f>E22*Rates!$D$2</f>
        <v>38342.400000000001</v>
      </c>
      <c r="K22" s="4">
        <f>F22*Rates!$D$3</f>
        <v>470715</v>
      </c>
      <c r="L22" s="4">
        <f>G22*Rates!$D$4</f>
        <v>29620</v>
      </c>
      <c r="M22" s="4">
        <f>I22*Rates!$D$5</f>
        <v>140821.55999999997</v>
      </c>
      <c r="N22" s="4">
        <f t="shared" si="0"/>
        <v>679498.96</v>
      </c>
      <c r="O22" s="5">
        <v>19.46</v>
      </c>
      <c r="P22" s="5">
        <v>3.32</v>
      </c>
      <c r="Q22" s="5">
        <v>0</v>
      </c>
      <c r="R22" s="5">
        <v>0</v>
      </c>
      <c r="S22" s="5">
        <v>0.9</v>
      </c>
      <c r="T22" s="5">
        <v>0</v>
      </c>
      <c r="U22" s="5">
        <v>0</v>
      </c>
      <c r="V22" s="4">
        <f>P22*Rates!$D$22+Q22*Rates!$D$23+R22*Rates!$D$24+S22*Rates!$D$25+T22*Rates!$D$26</f>
        <v>845944.78</v>
      </c>
      <c r="W22" s="5">
        <f t="shared" si="1"/>
        <v>1525443.74</v>
      </c>
    </row>
    <row r="23" spans="1:23" x14ac:dyDescent="0.25">
      <c r="A23" s="3" t="s">
        <v>140</v>
      </c>
      <c r="B23" s="3" t="s">
        <v>119</v>
      </c>
      <c r="C23" s="3" t="s">
        <v>24</v>
      </c>
      <c r="D23" s="4">
        <v>6807.8</v>
      </c>
      <c r="E23" s="4">
        <v>226048</v>
      </c>
      <c r="F23" s="4">
        <v>420156</v>
      </c>
      <c r="G23" s="4">
        <v>68617</v>
      </c>
      <c r="H23" s="4">
        <v>61372</v>
      </c>
      <c r="I23" s="4">
        <f>H23*Rates!$D$30</f>
        <v>18411.599999999999</v>
      </c>
      <c r="J23" s="4">
        <f>E23*Rates!$D$2</f>
        <v>67814.399999999994</v>
      </c>
      <c r="K23" s="4">
        <f>F23*Rates!$D$3</f>
        <v>882327.60000000009</v>
      </c>
      <c r="L23" s="4">
        <f>G23*Rates!$D$4</f>
        <v>274468</v>
      </c>
      <c r="M23" s="4">
        <f>I23*Rates!$D$5</f>
        <v>243033.11999999997</v>
      </c>
      <c r="N23" s="4">
        <f t="shared" si="0"/>
        <v>1467643.1199999999</v>
      </c>
      <c r="O23" s="5">
        <v>33.4</v>
      </c>
      <c r="P23" s="5">
        <v>6.18</v>
      </c>
      <c r="Q23" s="5">
        <v>0</v>
      </c>
      <c r="R23" s="5">
        <v>0</v>
      </c>
      <c r="S23" s="5">
        <v>3.72</v>
      </c>
      <c r="T23" s="5">
        <v>0</v>
      </c>
      <c r="U23" s="5">
        <v>0.08</v>
      </c>
      <c r="V23" s="4">
        <f>P23*Rates!$D$22+Q23*Rates!$D$23+R23*Rates!$D$24+S23*Rates!$D$25+T23*Rates!$D$26</f>
        <v>3118012.8600000003</v>
      </c>
      <c r="W23" s="5">
        <f t="shared" si="1"/>
        <v>4585655.9800000004</v>
      </c>
    </row>
    <row r="24" spans="1:23" x14ac:dyDescent="0.25">
      <c r="A24" s="3" t="s">
        <v>141</v>
      </c>
      <c r="B24" s="3" t="s">
        <v>119</v>
      </c>
      <c r="C24" s="3" t="s">
        <v>24</v>
      </c>
      <c r="D24" s="4">
        <v>6425.5</v>
      </c>
      <c r="E24" s="4">
        <v>239308</v>
      </c>
      <c r="F24" s="4">
        <v>391780</v>
      </c>
      <c r="G24" s="4">
        <v>43973</v>
      </c>
      <c r="H24" s="4">
        <v>57926</v>
      </c>
      <c r="I24" s="4">
        <f>H24*Rates!$D$30</f>
        <v>17377.8</v>
      </c>
      <c r="J24" s="4">
        <f>E24*Rates!$D$2</f>
        <v>71792.399999999994</v>
      </c>
      <c r="K24" s="4">
        <f>F24*Rates!$D$3</f>
        <v>822738</v>
      </c>
      <c r="L24" s="4">
        <f>G24*Rates!$D$4</f>
        <v>175892</v>
      </c>
      <c r="M24" s="4">
        <f>I24*Rates!$D$5</f>
        <v>229386.96</v>
      </c>
      <c r="N24" s="4">
        <f t="shared" si="0"/>
        <v>1299809.3599999999</v>
      </c>
      <c r="O24" s="5">
        <v>33.71</v>
      </c>
      <c r="P24" s="5">
        <v>8.08</v>
      </c>
      <c r="Q24" s="5">
        <v>0.08</v>
      </c>
      <c r="R24" s="5">
        <v>0</v>
      </c>
      <c r="S24" s="5">
        <v>7.69</v>
      </c>
      <c r="T24" s="5">
        <v>0</v>
      </c>
      <c r="U24" s="5">
        <v>0.64</v>
      </c>
      <c r="V24" s="4">
        <f>P24*Rates!$D$22+Q24*Rates!$D$23+R24*Rates!$D$24+S24*Rates!$D$25+T24*Rates!$D$26</f>
        <v>6328868.0500000007</v>
      </c>
      <c r="W24" s="5">
        <f t="shared" si="1"/>
        <v>7628677.4100000001</v>
      </c>
    </row>
    <row r="25" spans="1:23" x14ac:dyDescent="0.25">
      <c r="A25" s="3" t="s">
        <v>142</v>
      </c>
      <c r="B25" s="3" t="s">
        <v>119</v>
      </c>
      <c r="C25" s="3" t="s">
        <v>24</v>
      </c>
      <c r="D25" s="4">
        <v>5108.5</v>
      </c>
      <c r="E25" s="4">
        <v>256864</v>
      </c>
      <c r="F25" s="4">
        <v>417888</v>
      </c>
      <c r="G25" s="4">
        <v>20764</v>
      </c>
      <c r="H25" s="4">
        <v>46053</v>
      </c>
      <c r="I25" s="4">
        <f>H25*Rates!$D$30</f>
        <v>13815.9</v>
      </c>
      <c r="J25" s="4">
        <f>E25*Rates!$D$2</f>
        <v>77059.199999999997</v>
      </c>
      <c r="K25" s="4">
        <f>F25*Rates!$D$3</f>
        <v>877564.8</v>
      </c>
      <c r="L25" s="4">
        <f>G25*Rates!$D$4</f>
        <v>83056</v>
      </c>
      <c r="M25" s="4">
        <f>I25*Rates!$D$5</f>
        <v>182369.87999999998</v>
      </c>
      <c r="N25" s="4">
        <f t="shared" si="0"/>
        <v>1220049.8799999999</v>
      </c>
      <c r="O25" s="5">
        <v>34.15</v>
      </c>
      <c r="P25" s="5">
        <v>0.63</v>
      </c>
      <c r="Q25" s="5">
        <v>0</v>
      </c>
      <c r="R25" s="5">
        <v>0</v>
      </c>
      <c r="S25" s="5">
        <v>0.34</v>
      </c>
      <c r="T25" s="5">
        <v>0</v>
      </c>
      <c r="U25" s="5">
        <v>0</v>
      </c>
      <c r="V25" s="4">
        <f>P25*Rates!$D$22+Q25*Rates!$D$23+R25*Rates!$D$24+S25*Rates!$D$25+T25*Rates!$D$26</f>
        <v>288250.05</v>
      </c>
      <c r="W25" s="5">
        <f t="shared" si="1"/>
        <v>1508299.93</v>
      </c>
    </row>
    <row r="26" spans="1:23" x14ac:dyDescent="0.25">
      <c r="A26" s="3" t="s">
        <v>143</v>
      </c>
      <c r="B26" s="3" t="s">
        <v>119</v>
      </c>
      <c r="C26" s="3" t="s">
        <v>24</v>
      </c>
      <c r="D26" s="4">
        <v>3019.4</v>
      </c>
      <c r="E26" s="4">
        <v>156160</v>
      </c>
      <c r="F26" s="4">
        <v>244545</v>
      </c>
      <c r="G26" s="4">
        <v>22809</v>
      </c>
      <c r="H26" s="4">
        <v>27220</v>
      </c>
      <c r="I26" s="4">
        <f>H26*Rates!$D$30</f>
        <v>8166</v>
      </c>
      <c r="J26" s="4">
        <f>E26*Rates!$D$2</f>
        <v>46848</v>
      </c>
      <c r="K26" s="4">
        <f>F26*Rates!$D$3</f>
        <v>513544.5</v>
      </c>
      <c r="L26" s="4">
        <f>G26*Rates!$D$4</f>
        <v>91236</v>
      </c>
      <c r="M26" s="4">
        <f>I26*Rates!$D$5</f>
        <v>107791.2</v>
      </c>
      <c r="N26" s="4">
        <f t="shared" si="0"/>
        <v>759419.7</v>
      </c>
      <c r="O26" s="5">
        <v>20.53</v>
      </c>
      <c r="P26" s="5">
        <v>0</v>
      </c>
      <c r="Q26" s="5">
        <v>0</v>
      </c>
      <c r="R26" s="5">
        <v>0</v>
      </c>
      <c r="S26" s="5">
        <v>1.22</v>
      </c>
      <c r="T26" s="5">
        <v>0</v>
      </c>
      <c r="U26" s="5">
        <v>0.11</v>
      </c>
      <c r="V26" s="4">
        <f>P26*Rates!$D$22+Q26*Rates!$D$23+R26*Rates!$D$24+S26*Rates!$D$25+T26*Rates!$D$26</f>
        <v>920852.34</v>
      </c>
      <c r="W26" s="5">
        <f t="shared" si="1"/>
        <v>1680272.04</v>
      </c>
    </row>
    <row r="27" spans="1:23" x14ac:dyDescent="0.25">
      <c r="A27" s="3" t="s">
        <v>144</v>
      </c>
      <c r="B27" s="3" t="s">
        <v>119</v>
      </c>
      <c r="C27" s="3" t="s">
        <v>24</v>
      </c>
      <c r="D27" s="4">
        <v>1812</v>
      </c>
      <c r="E27" s="4">
        <v>49424</v>
      </c>
      <c r="F27" s="4">
        <v>39463</v>
      </c>
      <c r="G27" s="4">
        <v>22281</v>
      </c>
      <c r="H27" s="4">
        <v>16335</v>
      </c>
      <c r="I27" s="4">
        <f>H27*Rates!$D$30</f>
        <v>4900.5</v>
      </c>
      <c r="J27" s="4">
        <f>E27*Rates!$D$2</f>
        <v>14827.199999999999</v>
      </c>
      <c r="K27" s="4">
        <f>F27*Rates!$D$3</f>
        <v>82872.3</v>
      </c>
      <c r="L27" s="4">
        <f>G27*Rates!$D$4</f>
        <v>89124</v>
      </c>
      <c r="M27" s="4">
        <f>I27*Rates!$D$5</f>
        <v>64686.6</v>
      </c>
      <c r="N27" s="4">
        <f t="shared" si="0"/>
        <v>251510.1</v>
      </c>
      <c r="O27" s="5">
        <v>7.43</v>
      </c>
      <c r="P27" s="5">
        <v>3.13</v>
      </c>
      <c r="Q27" s="5">
        <v>0</v>
      </c>
      <c r="R27" s="5">
        <v>0</v>
      </c>
      <c r="S27" s="5">
        <v>0.51</v>
      </c>
      <c r="T27" s="5">
        <v>0</v>
      </c>
      <c r="U27" s="5">
        <v>0</v>
      </c>
      <c r="V27" s="4">
        <f>P27*Rates!$D$22+Q27*Rates!$D$23+R27*Rates!$D$24+S27*Rates!$D$25+T27*Rates!$D$26</f>
        <v>542038.04</v>
      </c>
      <c r="W27" s="5">
        <f t="shared" si="1"/>
        <v>793548.14</v>
      </c>
    </row>
    <row r="28" spans="1:23" x14ac:dyDescent="0.25">
      <c r="A28" s="3" t="s">
        <v>145</v>
      </c>
      <c r="B28" s="3" t="s">
        <v>119</v>
      </c>
      <c r="C28" s="3" t="s">
        <v>24</v>
      </c>
      <c r="D28" s="4">
        <v>3755.4</v>
      </c>
      <c r="E28" s="4">
        <v>148412</v>
      </c>
      <c r="F28" s="4">
        <v>253599</v>
      </c>
      <c r="G28" s="4">
        <v>8819</v>
      </c>
      <c r="H28" s="4">
        <v>33855</v>
      </c>
      <c r="I28" s="4">
        <f>H28*Rates!$D$30</f>
        <v>10156.5</v>
      </c>
      <c r="J28" s="4">
        <f>E28*Rates!$D$2</f>
        <v>44523.6</v>
      </c>
      <c r="K28" s="4">
        <f>F28*Rates!$D$3</f>
        <v>532557.9</v>
      </c>
      <c r="L28" s="4">
        <f>G28*Rates!$D$4</f>
        <v>35276</v>
      </c>
      <c r="M28" s="4">
        <f>I28*Rates!$D$5</f>
        <v>134065.79999999999</v>
      </c>
      <c r="N28" s="4">
        <f t="shared" si="0"/>
        <v>746423.3</v>
      </c>
      <c r="O28" s="5">
        <v>21.09</v>
      </c>
      <c r="P28" s="5">
        <v>1.05</v>
      </c>
      <c r="Q28" s="5">
        <v>0</v>
      </c>
      <c r="R28" s="5">
        <v>0</v>
      </c>
      <c r="S28" s="5">
        <v>0.05</v>
      </c>
      <c r="T28" s="5">
        <v>0</v>
      </c>
      <c r="U28" s="5">
        <v>0</v>
      </c>
      <c r="V28" s="4">
        <f>P28*Rates!$D$22+Q28*Rates!$D$23+R28*Rates!$D$24+S28*Rates!$D$25+T28*Rates!$D$26</f>
        <v>90438.3</v>
      </c>
      <c r="W28" s="5">
        <f t="shared" si="1"/>
        <v>836861.60000000009</v>
      </c>
    </row>
    <row r="29" spans="1:23" x14ac:dyDescent="0.25">
      <c r="A29" s="3" t="s">
        <v>146</v>
      </c>
      <c r="B29" s="3" t="s">
        <v>119</v>
      </c>
      <c r="C29" s="3" t="s">
        <v>24</v>
      </c>
      <c r="D29" s="4">
        <v>1088.9000000000001</v>
      </c>
      <c r="E29" s="4">
        <v>26852</v>
      </c>
      <c r="F29" s="4">
        <v>39366</v>
      </c>
      <c r="G29" s="4">
        <v>3026</v>
      </c>
      <c r="H29" s="4">
        <v>9817</v>
      </c>
      <c r="I29" s="4">
        <f>H29*Rates!$D$30</f>
        <v>2945.1</v>
      </c>
      <c r="J29" s="4">
        <f>E29*Rates!$D$2</f>
        <v>8055.5999999999995</v>
      </c>
      <c r="K29" s="4">
        <f>F29*Rates!$D$3</f>
        <v>82668.600000000006</v>
      </c>
      <c r="L29" s="4">
        <f>G29*Rates!$D$4</f>
        <v>12104</v>
      </c>
      <c r="M29" s="4">
        <f>I29*Rates!$D$5</f>
        <v>38875.32</v>
      </c>
      <c r="N29" s="4">
        <f t="shared" si="0"/>
        <v>141703.52000000002</v>
      </c>
      <c r="O29" s="5">
        <v>4.63</v>
      </c>
      <c r="P29" s="5">
        <v>0</v>
      </c>
      <c r="Q29" s="5">
        <v>0.08</v>
      </c>
      <c r="R29" s="5">
        <v>0</v>
      </c>
      <c r="S29" s="5">
        <v>0.44</v>
      </c>
      <c r="T29" s="5">
        <v>0</v>
      </c>
      <c r="U29" s="5">
        <v>0.2</v>
      </c>
      <c r="V29" s="4">
        <f>P29*Rates!$D$22+Q29*Rates!$D$23+R29*Rates!$D$24+S29*Rates!$D$25+T29*Rates!$D$26</f>
        <v>451062.68</v>
      </c>
      <c r="W29" s="5">
        <f t="shared" si="1"/>
        <v>592766.19999999995</v>
      </c>
    </row>
    <row r="30" spans="1:23" x14ac:dyDescent="0.25">
      <c r="A30" s="3" t="s">
        <v>147</v>
      </c>
      <c r="B30" s="3" t="s">
        <v>117</v>
      </c>
      <c r="C30" s="3" t="s">
        <v>25</v>
      </c>
      <c r="D30" s="4">
        <v>17552.8</v>
      </c>
      <c r="E30" s="4">
        <v>2009096</v>
      </c>
      <c r="F30" s="4">
        <v>5241615</v>
      </c>
      <c r="G30" s="4">
        <v>44994</v>
      </c>
      <c r="H30" s="4">
        <v>158238</v>
      </c>
      <c r="I30" s="4">
        <f>H30*Rates!$D$30</f>
        <v>47471.4</v>
      </c>
      <c r="J30" s="4">
        <f>E30*Rates!$D$2</f>
        <v>602728.79999999993</v>
      </c>
      <c r="K30" s="4">
        <f>F30*Rates!$D$3</f>
        <v>11007391.5</v>
      </c>
      <c r="L30" s="4">
        <f>G30*Rates!$D$4</f>
        <v>179976</v>
      </c>
      <c r="M30" s="4">
        <f>I30*Rates!$D$5</f>
        <v>626622.48</v>
      </c>
      <c r="N30" s="4">
        <f t="shared" si="0"/>
        <v>12416718.780000001</v>
      </c>
      <c r="O30" s="5">
        <v>230.45</v>
      </c>
      <c r="P30" s="5">
        <v>26.1</v>
      </c>
      <c r="Q30" s="5">
        <v>0.9</v>
      </c>
      <c r="R30" s="5">
        <v>0</v>
      </c>
      <c r="S30" s="5">
        <v>18.11</v>
      </c>
      <c r="T30" s="5">
        <v>0</v>
      </c>
      <c r="U30" s="5">
        <v>0.9</v>
      </c>
      <c r="V30" s="4">
        <f>P30*Rates!$D$22+Q30*Rates!$D$23+R30*Rates!$D$24+S30*Rates!$D$25+T30*Rates!$D$26</f>
        <v>16317516.57</v>
      </c>
      <c r="W30" s="5">
        <f t="shared" si="1"/>
        <v>28734235.350000001</v>
      </c>
    </row>
    <row r="31" spans="1:23" x14ac:dyDescent="0.25">
      <c r="A31" s="3" t="s">
        <v>148</v>
      </c>
      <c r="B31" s="3" t="s">
        <v>127</v>
      </c>
      <c r="C31" s="3" t="s">
        <v>25</v>
      </c>
      <c r="D31" s="4">
        <v>6142.3</v>
      </c>
      <c r="E31" s="4">
        <v>584980</v>
      </c>
      <c r="F31" s="4">
        <v>1002187</v>
      </c>
      <c r="G31" s="4">
        <v>131147</v>
      </c>
      <c r="H31" s="4">
        <v>55373</v>
      </c>
      <c r="I31" s="4">
        <f>H31*Rates!$D$30</f>
        <v>16611.899999999998</v>
      </c>
      <c r="J31" s="4">
        <f>E31*Rates!$D$2</f>
        <v>175494</v>
      </c>
      <c r="K31" s="4">
        <f>F31*Rates!$D$3</f>
        <v>2104592.7000000002</v>
      </c>
      <c r="L31" s="4">
        <f>G31*Rates!$D$4</f>
        <v>524588</v>
      </c>
      <c r="M31" s="4">
        <f>I31*Rates!$D$5</f>
        <v>219277.07999999996</v>
      </c>
      <c r="N31" s="4">
        <f t="shared" si="0"/>
        <v>3023951.7800000003</v>
      </c>
      <c r="O31" s="5">
        <v>66.72</v>
      </c>
      <c r="P31" s="5">
        <v>20.100000000000001</v>
      </c>
      <c r="Q31" s="5">
        <v>0.01</v>
      </c>
      <c r="R31" s="5">
        <v>0</v>
      </c>
      <c r="S31" s="5">
        <v>8.07</v>
      </c>
      <c r="T31" s="5">
        <v>0</v>
      </c>
      <c r="U31" s="5">
        <v>0.4</v>
      </c>
      <c r="V31" s="4">
        <f>P31*Rates!$D$22+Q31*Rates!$D$23+R31*Rates!$D$24+S31*Rates!$D$25+T31*Rates!$D$26</f>
        <v>7114879.6900000004</v>
      </c>
      <c r="W31" s="5">
        <f t="shared" si="1"/>
        <v>10138831.470000001</v>
      </c>
    </row>
    <row r="32" spans="1:23" x14ac:dyDescent="0.25">
      <c r="A32" s="3" t="s">
        <v>149</v>
      </c>
      <c r="B32" s="3" t="s">
        <v>119</v>
      </c>
      <c r="C32" s="3" t="s">
        <v>25</v>
      </c>
      <c r="D32" s="4">
        <v>6866.4</v>
      </c>
      <c r="E32" s="4">
        <v>396988</v>
      </c>
      <c r="F32" s="4">
        <v>801510</v>
      </c>
      <c r="G32" s="4">
        <v>12437</v>
      </c>
      <c r="H32" s="4">
        <v>61901</v>
      </c>
      <c r="I32" s="4">
        <f>H32*Rates!$D$30</f>
        <v>18570.3</v>
      </c>
      <c r="J32" s="4">
        <f>E32*Rates!$D$2</f>
        <v>119096.4</v>
      </c>
      <c r="K32" s="4">
        <f>F32*Rates!$D$3</f>
        <v>1683171</v>
      </c>
      <c r="L32" s="4">
        <f>G32*Rates!$D$4</f>
        <v>49748</v>
      </c>
      <c r="M32" s="4">
        <f>I32*Rates!$D$5</f>
        <v>245127.95999999996</v>
      </c>
      <c r="N32" s="4">
        <f t="shared" si="0"/>
        <v>2097143.3599999999</v>
      </c>
      <c r="O32" s="5">
        <v>51.94</v>
      </c>
      <c r="P32" s="5">
        <v>0</v>
      </c>
      <c r="Q32" s="5">
        <v>0</v>
      </c>
      <c r="R32" s="5">
        <v>0</v>
      </c>
      <c r="S32" s="5">
        <v>0.19</v>
      </c>
      <c r="T32" s="5">
        <v>0</v>
      </c>
      <c r="U32" s="5">
        <v>0</v>
      </c>
      <c r="V32" s="4">
        <f>P32*Rates!$D$22+Q32*Rates!$D$23+R32*Rates!$D$24+S32*Rates!$D$25+T32*Rates!$D$26</f>
        <v>143411.43</v>
      </c>
      <c r="W32" s="5">
        <f t="shared" si="1"/>
        <v>2240554.79</v>
      </c>
    </row>
    <row r="33" spans="1:23" x14ac:dyDescent="0.25">
      <c r="A33" s="3" t="s">
        <v>150</v>
      </c>
      <c r="B33" s="3" t="s">
        <v>119</v>
      </c>
      <c r="C33" s="3" t="s">
        <v>25</v>
      </c>
      <c r="D33" s="4">
        <v>3104.4</v>
      </c>
      <c r="E33" s="4">
        <v>102312</v>
      </c>
      <c r="F33" s="4">
        <v>63983</v>
      </c>
      <c r="G33" s="4">
        <v>46321</v>
      </c>
      <c r="H33" s="4">
        <v>27987</v>
      </c>
      <c r="I33" s="4">
        <f>H33*Rates!$D$30</f>
        <v>8396.1</v>
      </c>
      <c r="J33" s="4">
        <f>E33*Rates!$D$2</f>
        <v>30693.599999999999</v>
      </c>
      <c r="K33" s="4">
        <f>F33*Rates!$D$3</f>
        <v>134364.30000000002</v>
      </c>
      <c r="L33" s="4">
        <f>G33*Rates!$D$4</f>
        <v>185284</v>
      </c>
      <c r="M33" s="4">
        <f>I33*Rates!$D$5</f>
        <v>110828.52</v>
      </c>
      <c r="N33" s="4">
        <f t="shared" si="0"/>
        <v>461170.42000000004</v>
      </c>
      <c r="O33" s="5">
        <v>14.28</v>
      </c>
      <c r="P33" s="5">
        <v>1.06</v>
      </c>
      <c r="Q33" s="5">
        <v>0</v>
      </c>
      <c r="R33" s="5">
        <v>0</v>
      </c>
      <c r="S33" s="5">
        <v>0.63</v>
      </c>
      <c r="T33" s="5">
        <v>0</v>
      </c>
      <c r="U33" s="5">
        <v>0.04</v>
      </c>
      <c r="V33" s="4">
        <f>P33*Rates!$D$22+Q33*Rates!$D$23+R33*Rates!$D$24+S33*Rates!$D$25+T33*Rates!$D$26</f>
        <v>528722.44999999995</v>
      </c>
      <c r="W33" s="5">
        <f t="shared" si="1"/>
        <v>989892.87</v>
      </c>
    </row>
    <row r="34" spans="1:23" x14ac:dyDescent="0.25">
      <c r="A34" s="3" t="s">
        <v>151</v>
      </c>
      <c r="B34" s="3" t="s">
        <v>117</v>
      </c>
      <c r="C34" s="3" t="s">
        <v>26</v>
      </c>
      <c r="D34" s="4">
        <v>12466.6</v>
      </c>
      <c r="E34" s="4">
        <v>1597236</v>
      </c>
      <c r="F34" s="4">
        <v>3062187</v>
      </c>
      <c r="G34" s="4">
        <v>192295</v>
      </c>
      <c r="H34" s="4">
        <v>112387</v>
      </c>
      <c r="I34" s="4">
        <f>H34*Rates!$D$30</f>
        <v>33716.1</v>
      </c>
      <c r="J34" s="4">
        <f>E34*Rates!$D$2</f>
        <v>479170.8</v>
      </c>
      <c r="K34" s="4">
        <f>F34*Rates!$D$3</f>
        <v>6430592.7000000002</v>
      </c>
      <c r="L34" s="4">
        <f>G34*Rates!$D$4</f>
        <v>769180</v>
      </c>
      <c r="M34" s="4">
        <f>I34*Rates!$D$5</f>
        <v>445052.51999999996</v>
      </c>
      <c r="N34" s="4">
        <f t="shared" si="0"/>
        <v>8123996.0199999996</v>
      </c>
      <c r="O34" s="5">
        <v>179.08</v>
      </c>
      <c r="P34" s="5">
        <v>0.23</v>
      </c>
      <c r="Q34" s="5">
        <v>0</v>
      </c>
      <c r="R34" s="5">
        <v>0</v>
      </c>
      <c r="S34" s="5">
        <v>9.66</v>
      </c>
      <c r="T34" s="5">
        <v>0</v>
      </c>
      <c r="U34" s="5">
        <v>5.71</v>
      </c>
      <c r="V34" s="4">
        <f>P34*Rates!$D$22+Q34*Rates!$D$23+R34*Rates!$D$24+S34*Rates!$D$25+T34*Rates!$D$26</f>
        <v>7302882.4900000002</v>
      </c>
      <c r="W34" s="5">
        <f t="shared" si="1"/>
        <v>15426878.51</v>
      </c>
    </row>
    <row r="35" spans="1:23" x14ac:dyDescent="0.25">
      <c r="A35" s="3" t="s">
        <v>152</v>
      </c>
      <c r="B35" s="3" t="s">
        <v>117</v>
      </c>
      <c r="C35" s="3" t="s">
        <v>26</v>
      </c>
      <c r="D35" s="4">
        <v>9780.6</v>
      </c>
      <c r="E35" s="4">
        <v>2463400</v>
      </c>
      <c r="F35" s="4">
        <v>6287973</v>
      </c>
      <c r="G35" s="4">
        <v>45019</v>
      </c>
      <c r="H35" s="4">
        <v>88172</v>
      </c>
      <c r="I35" s="4">
        <f>H35*Rates!$D$30</f>
        <v>26451.599999999999</v>
      </c>
      <c r="J35" s="4">
        <f>E35*Rates!$D$2</f>
        <v>739020</v>
      </c>
      <c r="K35" s="4">
        <f>F35*Rates!$D$3</f>
        <v>13204743.300000001</v>
      </c>
      <c r="L35" s="4">
        <f>G35*Rates!$D$4</f>
        <v>180076</v>
      </c>
      <c r="M35" s="4">
        <f>I35*Rates!$D$5</f>
        <v>349161.11999999994</v>
      </c>
      <c r="N35" s="4">
        <f t="shared" si="0"/>
        <v>14473000.42</v>
      </c>
      <c r="O35" s="5">
        <v>260.41000000000003</v>
      </c>
      <c r="P35" s="5">
        <v>53.15</v>
      </c>
      <c r="Q35" s="5">
        <v>3.44</v>
      </c>
      <c r="R35" s="5">
        <v>0</v>
      </c>
      <c r="S35" s="5">
        <v>23.74</v>
      </c>
      <c r="T35" s="5">
        <v>0</v>
      </c>
      <c r="U35" s="5">
        <v>24.56</v>
      </c>
      <c r="V35" s="4">
        <f>P35*Rates!$D$22+Q35*Rates!$D$23+R35*Rates!$D$24+S35*Rates!$D$25+T35*Rates!$D$26</f>
        <v>25701362.129999995</v>
      </c>
      <c r="W35" s="5">
        <f t="shared" si="1"/>
        <v>40174362.549999997</v>
      </c>
    </row>
    <row r="36" spans="1:23" x14ac:dyDescent="0.25">
      <c r="A36" s="3" t="s">
        <v>153</v>
      </c>
      <c r="B36" s="3" t="s">
        <v>127</v>
      </c>
      <c r="C36" s="3" t="s">
        <v>26</v>
      </c>
      <c r="D36" s="4">
        <v>6472.9</v>
      </c>
      <c r="E36" s="4">
        <v>468076</v>
      </c>
      <c r="F36" s="4">
        <v>1122683</v>
      </c>
      <c r="G36" s="4">
        <v>12105</v>
      </c>
      <c r="H36" s="4">
        <v>58354</v>
      </c>
      <c r="I36" s="4">
        <f>H36*Rates!$D$30</f>
        <v>17506.2</v>
      </c>
      <c r="J36" s="4">
        <f>E36*Rates!$D$2</f>
        <v>140422.79999999999</v>
      </c>
      <c r="K36" s="4">
        <f>F36*Rates!$D$3</f>
        <v>2357634.3000000003</v>
      </c>
      <c r="L36" s="4">
        <f>G36*Rates!$D$4</f>
        <v>48420</v>
      </c>
      <c r="M36" s="4">
        <f>I36*Rates!$D$5</f>
        <v>231081.84</v>
      </c>
      <c r="N36" s="4">
        <f t="shared" si="0"/>
        <v>2777558.94</v>
      </c>
      <c r="O36" s="5">
        <v>57.38</v>
      </c>
      <c r="P36" s="5">
        <v>14.09</v>
      </c>
      <c r="Q36" s="5">
        <v>0</v>
      </c>
      <c r="R36" s="5">
        <v>0</v>
      </c>
      <c r="S36" s="5">
        <v>2.98</v>
      </c>
      <c r="T36" s="5">
        <v>0</v>
      </c>
      <c r="U36" s="5">
        <v>0.12</v>
      </c>
      <c r="V36" s="4">
        <f>P36*Rates!$D$22+Q36*Rates!$D$23+R36*Rates!$D$24+S36*Rates!$D$25+T36*Rates!$D$26</f>
        <v>2956458.0700000003</v>
      </c>
      <c r="W36" s="5">
        <f t="shared" si="1"/>
        <v>5734017.0099999998</v>
      </c>
    </row>
    <row r="37" spans="1:23" x14ac:dyDescent="0.25">
      <c r="A37" s="3" t="s">
        <v>154</v>
      </c>
      <c r="B37" s="3" t="s">
        <v>119</v>
      </c>
      <c r="C37" s="3" t="s">
        <v>26</v>
      </c>
      <c r="D37" s="4">
        <v>1921.2</v>
      </c>
      <c r="E37" s="4">
        <v>46480</v>
      </c>
      <c r="F37" s="4">
        <v>60593</v>
      </c>
      <c r="G37" s="4">
        <v>5082</v>
      </c>
      <c r="H37" s="4">
        <v>17320</v>
      </c>
      <c r="I37" s="4">
        <f>H37*Rates!$D$30</f>
        <v>5196</v>
      </c>
      <c r="J37" s="4">
        <f>E37*Rates!$D$2</f>
        <v>13944</v>
      </c>
      <c r="K37" s="4">
        <f>F37*Rates!$D$3</f>
        <v>127245.3</v>
      </c>
      <c r="L37" s="4">
        <f>G37*Rates!$D$4</f>
        <v>20328</v>
      </c>
      <c r="M37" s="4">
        <f>I37*Rates!$D$5</f>
        <v>68587.199999999997</v>
      </c>
      <c r="N37" s="4">
        <f t="shared" si="0"/>
        <v>230104.5</v>
      </c>
      <c r="O37" s="5">
        <v>7.91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4">
        <f>P37*Rates!$D$22+Q37*Rates!$D$23+R37*Rates!$D$24+S37*Rates!$D$25+T37*Rates!$D$26</f>
        <v>0</v>
      </c>
      <c r="W37" s="5">
        <f t="shared" si="1"/>
        <v>230104.5</v>
      </c>
    </row>
    <row r="38" spans="1:23" x14ac:dyDescent="0.25">
      <c r="A38" s="3" t="s">
        <v>155</v>
      </c>
      <c r="B38" s="3" t="s">
        <v>119</v>
      </c>
      <c r="C38" s="3" t="s">
        <v>26</v>
      </c>
      <c r="D38" s="4">
        <v>2773.6</v>
      </c>
      <c r="E38" s="4">
        <v>123864</v>
      </c>
      <c r="F38" s="4">
        <v>275133</v>
      </c>
      <c r="G38" s="4">
        <v>5950</v>
      </c>
      <c r="H38" s="4">
        <v>25004</v>
      </c>
      <c r="I38" s="4">
        <f>H38*Rates!$D$30</f>
        <v>7501.2</v>
      </c>
      <c r="J38" s="4">
        <f>E38*Rates!$D$2</f>
        <v>37159.199999999997</v>
      </c>
      <c r="K38" s="4">
        <f>F38*Rates!$D$3</f>
        <v>577779.30000000005</v>
      </c>
      <c r="L38" s="4">
        <f>G38*Rates!$D$4</f>
        <v>23800</v>
      </c>
      <c r="M38" s="4">
        <f>I38*Rates!$D$5</f>
        <v>99015.84</v>
      </c>
      <c r="N38" s="4">
        <f t="shared" si="0"/>
        <v>737754.34</v>
      </c>
      <c r="O38" s="5">
        <v>16.66</v>
      </c>
      <c r="P38" s="5">
        <v>5.51</v>
      </c>
      <c r="Q38" s="5">
        <v>0</v>
      </c>
      <c r="R38" s="5">
        <v>0</v>
      </c>
      <c r="S38" s="5">
        <v>5.4</v>
      </c>
      <c r="T38" s="5">
        <v>0</v>
      </c>
      <c r="U38" s="5">
        <v>0.03</v>
      </c>
      <c r="V38" s="4">
        <f>P38*Rates!$D$22+Q38*Rates!$D$23+R38*Rates!$D$24+S38*Rates!$D$25+T38*Rates!$D$26</f>
        <v>4352445.1900000004</v>
      </c>
      <c r="W38" s="5">
        <f t="shared" si="1"/>
        <v>5090199.53</v>
      </c>
    </row>
    <row r="39" spans="1:23" x14ac:dyDescent="0.25">
      <c r="A39" s="6" t="s">
        <v>19</v>
      </c>
      <c r="B39" s="6"/>
      <c r="C39" s="6"/>
      <c r="D39" s="7">
        <f t="shared" ref="D39:W39" si="2">SUM(D2:D38)</f>
        <v>221345.39999999997</v>
      </c>
      <c r="E39" s="7">
        <f t="shared" si="2"/>
        <v>17519052</v>
      </c>
      <c r="F39" s="7">
        <f t="shared" si="2"/>
        <v>34865563</v>
      </c>
      <c r="G39" s="7">
        <f t="shared" si="2"/>
        <v>1754305</v>
      </c>
      <c r="H39" s="7">
        <f t="shared" si="2"/>
        <v>1999197</v>
      </c>
      <c r="I39" s="7">
        <f t="shared" si="2"/>
        <v>599759.09999999986</v>
      </c>
      <c r="J39" s="7">
        <f t="shared" si="2"/>
        <v>5255715.6000000006</v>
      </c>
      <c r="K39" s="7">
        <f t="shared" si="2"/>
        <v>73217682.299999997</v>
      </c>
      <c r="L39" s="7">
        <f t="shared" si="2"/>
        <v>7017220</v>
      </c>
      <c r="M39" s="7">
        <f t="shared" si="2"/>
        <v>7916820.1199999982</v>
      </c>
      <c r="N39" s="7">
        <f t="shared" si="2"/>
        <v>93407438.020000026</v>
      </c>
      <c r="O39" s="8">
        <f t="shared" si="2"/>
        <v>2092.63</v>
      </c>
      <c r="P39" s="8">
        <f t="shared" si="2"/>
        <v>290.31999999999994</v>
      </c>
      <c r="Q39" s="8">
        <f t="shared" si="2"/>
        <v>4.5600000000000005</v>
      </c>
      <c r="R39" s="8">
        <f t="shared" si="2"/>
        <v>0</v>
      </c>
      <c r="S39" s="8">
        <f t="shared" si="2"/>
        <v>194.01999999999998</v>
      </c>
      <c r="T39" s="8">
        <f t="shared" si="2"/>
        <v>0</v>
      </c>
      <c r="U39" s="8">
        <f t="shared" si="2"/>
        <v>53.879999999999995</v>
      </c>
      <c r="V39" s="7">
        <f t="shared" si="2"/>
        <v>167796848.42000002</v>
      </c>
      <c r="W39" s="8">
        <f t="shared" si="2"/>
        <v>261204286.43999991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8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3" customWidth="1"/>
    <col min="2" max="2" width="10" customWidth="1"/>
    <col min="3" max="3" width="14" customWidth="1"/>
    <col min="4" max="4" width="10" customWidth="1"/>
    <col min="5" max="5" width="9" customWidth="1"/>
    <col min="6" max="6" width="11" customWidth="1"/>
    <col min="7" max="10" width="12" customWidth="1"/>
    <col min="11" max="14" width="13" customWidth="1"/>
    <col min="15" max="15" width="14" customWidth="1"/>
  </cols>
  <sheetData>
    <row r="1" spans="1:15" ht="39.950000000000003" customHeight="1" x14ac:dyDescent="0.25">
      <c r="A1" s="2" t="s">
        <v>156</v>
      </c>
      <c r="B1" s="2" t="s">
        <v>94</v>
      </c>
      <c r="C1" s="2" t="s">
        <v>95</v>
      </c>
      <c r="D1" s="2" t="s">
        <v>96</v>
      </c>
      <c r="E1" s="2" t="s">
        <v>157</v>
      </c>
      <c r="F1" s="2" t="s">
        <v>158</v>
      </c>
      <c r="G1" s="2" t="s">
        <v>97</v>
      </c>
      <c r="H1" s="2" t="s">
        <v>98</v>
      </c>
      <c r="I1" s="2" t="s">
        <v>99</v>
      </c>
      <c r="J1" s="2" t="s">
        <v>101</v>
      </c>
      <c r="K1" s="2" t="s">
        <v>102</v>
      </c>
      <c r="L1" s="2" t="s">
        <v>103</v>
      </c>
      <c r="M1" s="2" t="s">
        <v>104</v>
      </c>
      <c r="N1" s="2" t="s">
        <v>105</v>
      </c>
      <c r="O1" s="2" t="s">
        <v>159</v>
      </c>
    </row>
    <row r="2" spans="1:15" x14ac:dyDescent="0.25">
      <c r="A2" s="3" t="s">
        <v>160</v>
      </c>
      <c r="B2" s="3" t="s">
        <v>161</v>
      </c>
      <c r="C2" s="3" t="s">
        <v>23</v>
      </c>
      <c r="D2" s="4">
        <v>4416.1000000000004</v>
      </c>
      <c r="E2" s="13">
        <v>2.1</v>
      </c>
      <c r="F2" s="4">
        <f>Rates!$D$32+3*E2+3</f>
        <v>13.3</v>
      </c>
      <c r="G2" s="4">
        <f t="shared" ref="G2:G37" si="0">F2*D2</f>
        <v>58734.130000000005</v>
      </c>
      <c r="H2" s="4">
        <f>Rates!$D$33*F2*D2</f>
        <v>23493.652000000002</v>
      </c>
      <c r="I2" s="4">
        <f>(E2*(Rates!$D$32+1.5*E2)+Rates!$D$33*F2)*D2</f>
        <v>89801.393500000006</v>
      </c>
      <c r="J2" s="4">
        <f t="shared" ref="J2:J37" si="1">(0.525+0.2)*1.803*E2*D2</f>
        <v>12122.492586750004</v>
      </c>
      <c r="K2" s="4">
        <f>G2*Rates!$D$2</f>
        <v>17620.239000000001</v>
      </c>
      <c r="L2" s="4">
        <f>H2*Rates!$D$3</f>
        <v>49336.669200000004</v>
      </c>
      <c r="M2" s="4">
        <f>I2*Rates!$D$4</f>
        <v>359205.57400000002</v>
      </c>
      <c r="N2" s="4">
        <f>J2*Rates!$D$5</f>
        <v>160016.90214510006</v>
      </c>
      <c r="O2" s="4">
        <f t="shared" ref="O2:O37" si="2">SUM(K2:N2)</f>
        <v>586179.38434510003</v>
      </c>
    </row>
    <row r="3" spans="1:15" x14ac:dyDescent="0.25">
      <c r="A3" s="3" t="s">
        <v>162</v>
      </c>
      <c r="B3" s="3" t="s">
        <v>161</v>
      </c>
      <c r="C3" s="3" t="s">
        <v>23</v>
      </c>
      <c r="D3" s="4">
        <v>2519.4</v>
      </c>
      <c r="E3" s="13">
        <v>1.8</v>
      </c>
      <c r="F3" s="4">
        <f>Rates!$D$32+3*E3+3</f>
        <v>12.4</v>
      </c>
      <c r="G3" s="4">
        <f t="shared" si="0"/>
        <v>31240.560000000001</v>
      </c>
      <c r="H3" s="4">
        <f>Rates!$D$33*F3*D3</f>
        <v>12496.224000000002</v>
      </c>
      <c r="I3" s="4">
        <f>(E3*(Rates!$D$32+1.5*E3)+Rates!$D$33*F3)*D3</f>
        <v>42880.188000000009</v>
      </c>
      <c r="J3" s="4">
        <f t="shared" si="1"/>
        <v>5927.9340510000011</v>
      </c>
      <c r="K3" s="4">
        <f>G3*Rates!$D$2</f>
        <v>9372.1679999999997</v>
      </c>
      <c r="L3" s="4">
        <f>H3*Rates!$D$3</f>
        <v>26242.070400000004</v>
      </c>
      <c r="M3" s="4">
        <f>I3*Rates!$D$4</f>
        <v>171520.75200000004</v>
      </c>
      <c r="N3" s="4">
        <f>J3*Rates!$D$5</f>
        <v>78248.729473200015</v>
      </c>
      <c r="O3" s="4">
        <f t="shared" si="2"/>
        <v>285383.71987320005</v>
      </c>
    </row>
    <row r="4" spans="1:15" x14ac:dyDescent="0.25">
      <c r="A4" s="3" t="s">
        <v>163</v>
      </c>
      <c r="B4" s="3" t="s">
        <v>161</v>
      </c>
      <c r="C4" s="3" t="s">
        <v>23</v>
      </c>
      <c r="D4" s="4">
        <v>381.5</v>
      </c>
      <c r="E4" s="13">
        <v>4.5</v>
      </c>
      <c r="F4" s="4">
        <f>Rates!$D$32+3*E4+3</f>
        <v>20.5</v>
      </c>
      <c r="G4" s="4">
        <f t="shared" si="0"/>
        <v>7820.75</v>
      </c>
      <c r="H4" s="4">
        <f>Rates!$D$33*F4*D4</f>
        <v>3128.3</v>
      </c>
      <c r="I4" s="4">
        <f>(E4*(Rates!$D$32+1.5*E4)+Rates!$D$33*F4)*D4</f>
        <v>21583.362499999999</v>
      </c>
      <c r="J4" s="4">
        <f t="shared" si="1"/>
        <v>2244.0926812500006</v>
      </c>
      <c r="K4" s="4">
        <f>G4*Rates!$D$2</f>
        <v>2346.2249999999999</v>
      </c>
      <c r="L4" s="4">
        <f>H4*Rates!$D$3</f>
        <v>6569.43</v>
      </c>
      <c r="M4" s="4">
        <f>I4*Rates!$D$4</f>
        <v>86333.45</v>
      </c>
      <c r="N4" s="4">
        <f>J4*Rates!$D$5</f>
        <v>29622.023392500007</v>
      </c>
      <c r="O4" s="4">
        <f t="shared" si="2"/>
        <v>124871.1283925</v>
      </c>
    </row>
    <row r="5" spans="1:15" x14ac:dyDescent="0.25">
      <c r="A5" s="3" t="s">
        <v>164</v>
      </c>
      <c r="B5" s="3" t="s">
        <v>161</v>
      </c>
      <c r="C5" s="3" t="s">
        <v>24</v>
      </c>
      <c r="D5" s="4">
        <v>2319.9</v>
      </c>
      <c r="E5" s="13">
        <v>2.2000000000000002</v>
      </c>
      <c r="F5" s="4">
        <f>Rates!$D$32+3*E5+3</f>
        <v>13.600000000000001</v>
      </c>
      <c r="G5" s="4">
        <f t="shared" si="0"/>
        <v>31550.640000000003</v>
      </c>
      <c r="H5" s="4">
        <f>Rates!$D$33*F5*D5</f>
        <v>12620.256000000003</v>
      </c>
      <c r="I5" s="4">
        <f>(E5*(Rates!$D$32+1.5*E5)+Rates!$D$33*F5)*D5</f>
        <v>49877.850000000013</v>
      </c>
      <c r="J5" s="4">
        <f t="shared" si="1"/>
        <v>6671.5336215000016</v>
      </c>
      <c r="K5" s="4">
        <f>G5*Rates!$D$2</f>
        <v>9465.1920000000009</v>
      </c>
      <c r="L5" s="4">
        <f>H5*Rates!$D$3</f>
        <v>26502.537600000007</v>
      </c>
      <c r="M5" s="4">
        <f>I5*Rates!$D$4</f>
        <v>199511.40000000005</v>
      </c>
      <c r="N5" s="4">
        <f>J5*Rates!$D$5</f>
        <v>88064.243803800011</v>
      </c>
      <c r="O5" s="4">
        <f t="shared" si="2"/>
        <v>323543.37340380007</v>
      </c>
    </row>
    <row r="6" spans="1:15" x14ac:dyDescent="0.25">
      <c r="A6" s="3" t="s">
        <v>165</v>
      </c>
      <c r="B6" s="3" t="s">
        <v>161</v>
      </c>
      <c r="C6" s="3" t="s">
        <v>24</v>
      </c>
      <c r="D6" s="4">
        <v>2466</v>
      </c>
      <c r="E6" s="13">
        <v>2.2000000000000002</v>
      </c>
      <c r="F6" s="4">
        <f>Rates!$D$32+3*E6+3</f>
        <v>13.600000000000001</v>
      </c>
      <c r="G6" s="4">
        <f t="shared" si="0"/>
        <v>33537.600000000006</v>
      </c>
      <c r="H6" s="4">
        <f>Rates!$D$33*F6*D6</f>
        <v>13415.040000000003</v>
      </c>
      <c r="I6" s="4">
        <f>(E6*(Rates!$D$32+1.5*E6)+Rates!$D$33*F6)*D6</f>
        <v>53019.000000000007</v>
      </c>
      <c r="J6" s="4">
        <f t="shared" si="1"/>
        <v>7091.6858100000009</v>
      </c>
      <c r="K6" s="4">
        <f>G6*Rates!$D$2</f>
        <v>10061.280000000001</v>
      </c>
      <c r="L6" s="4">
        <f>H6*Rates!$D$3</f>
        <v>28171.584000000006</v>
      </c>
      <c r="M6" s="4">
        <f>I6*Rates!$D$4</f>
        <v>212076.00000000003</v>
      </c>
      <c r="N6" s="4">
        <f>J6*Rates!$D$5</f>
        <v>93610.252692000009</v>
      </c>
      <c r="O6" s="4">
        <f t="shared" si="2"/>
        <v>343919.11669200007</v>
      </c>
    </row>
    <row r="7" spans="1:15" x14ac:dyDescent="0.25">
      <c r="A7" s="3" t="s">
        <v>166</v>
      </c>
      <c r="B7" s="3" t="s">
        <v>161</v>
      </c>
      <c r="C7" s="3" t="s">
        <v>24</v>
      </c>
      <c r="D7" s="4">
        <v>1383.7</v>
      </c>
      <c r="E7" s="13">
        <v>1.6</v>
      </c>
      <c r="F7" s="4">
        <f>Rates!$D$32+3*E7+3</f>
        <v>11.8</v>
      </c>
      <c r="G7" s="4">
        <f t="shared" si="0"/>
        <v>16327.660000000002</v>
      </c>
      <c r="H7" s="4">
        <f>Rates!$D$33*F7*D7</f>
        <v>6531.0640000000012</v>
      </c>
      <c r="I7" s="4">
        <f>(E7*(Rates!$D$32+1.5*E7)+Rates!$D$33*F7)*D7</f>
        <v>20700.152000000006</v>
      </c>
      <c r="J7" s="4">
        <f t="shared" si="1"/>
        <v>2893.9808760000005</v>
      </c>
      <c r="K7" s="4">
        <f>G7*Rates!$D$2</f>
        <v>4898.2980000000007</v>
      </c>
      <c r="L7" s="4">
        <f>H7*Rates!$D$3</f>
        <v>13715.234400000003</v>
      </c>
      <c r="M7" s="4">
        <f>I7*Rates!$D$4</f>
        <v>82800.608000000022</v>
      </c>
      <c r="N7" s="4">
        <f>J7*Rates!$D$5</f>
        <v>38200.547563200002</v>
      </c>
      <c r="O7" s="4">
        <f t="shared" si="2"/>
        <v>139614.68796320003</v>
      </c>
    </row>
    <row r="8" spans="1:15" x14ac:dyDescent="0.25">
      <c r="A8" s="3" t="s">
        <v>167</v>
      </c>
      <c r="B8" s="3" t="s">
        <v>161</v>
      </c>
      <c r="C8" s="3" t="s">
        <v>24</v>
      </c>
      <c r="D8" s="4">
        <v>7064</v>
      </c>
      <c r="E8" s="13">
        <v>1.9</v>
      </c>
      <c r="F8" s="4">
        <f>Rates!$D$32+3*E8+3</f>
        <v>12.7</v>
      </c>
      <c r="G8" s="4">
        <f t="shared" si="0"/>
        <v>89712.799999999988</v>
      </c>
      <c r="H8" s="4">
        <f>Rates!$D$33*F8*D8</f>
        <v>35885.120000000003</v>
      </c>
      <c r="I8" s="4">
        <f>(E8*(Rates!$D$32+1.5*E8)+Rates!$D$33*F8)*D8</f>
        <v>127823.07999999999</v>
      </c>
      <c r="J8" s="4">
        <f t="shared" si="1"/>
        <v>17544.379980000002</v>
      </c>
      <c r="K8" s="4">
        <f>G8*Rates!$D$2</f>
        <v>26913.839999999997</v>
      </c>
      <c r="L8" s="4">
        <f>H8*Rates!$D$3</f>
        <v>75358.752000000008</v>
      </c>
      <c r="M8" s="4">
        <f>I8*Rates!$D$4</f>
        <v>511292.31999999995</v>
      </c>
      <c r="N8" s="4">
        <f>J8*Rates!$D$5</f>
        <v>231585.81573600002</v>
      </c>
      <c r="O8" s="4">
        <f t="shared" si="2"/>
        <v>845150.72773599997</v>
      </c>
    </row>
    <row r="9" spans="1:15" x14ac:dyDescent="0.25">
      <c r="A9" s="3" t="s">
        <v>168</v>
      </c>
      <c r="B9" s="3" t="s">
        <v>161</v>
      </c>
      <c r="C9" s="3" t="s">
        <v>24</v>
      </c>
      <c r="D9" s="4">
        <v>548.1</v>
      </c>
      <c r="E9" s="13">
        <v>1.9</v>
      </c>
      <c r="F9" s="4">
        <f>Rates!$D$32+3*E9+3</f>
        <v>12.7</v>
      </c>
      <c r="G9" s="4">
        <f t="shared" si="0"/>
        <v>6960.87</v>
      </c>
      <c r="H9" s="4">
        <f>Rates!$D$33*F9*D9</f>
        <v>2784.348</v>
      </c>
      <c r="I9" s="4">
        <f>(E9*(Rates!$D$32+1.5*E9)+Rates!$D$33*F9)*D9</f>
        <v>9917.8694999999989</v>
      </c>
      <c r="J9" s="4">
        <f t="shared" si="1"/>
        <v>1361.27897325</v>
      </c>
      <c r="K9" s="4">
        <f>G9*Rates!$D$2</f>
        <v>2088.261</v>
      </c>
      <c r="L9" s="4">
        <f>H9*Rates!$D$3</f>
        <v>5847.1307999999999</v>
      </c>
      <c r="M9" s="4">
        <f>I9*Rates!$D$4</f>
        <v>39671.477999999996</v>
      </c>
      <c r="N9" s="4">
        <f>J9*Rates!$D$5</f>
        <v>17968.882446899999</v>
      </c>
      <c r="O9" s="4">
        <f t="shared" si="2"/>
        <v>65575.752246899996</v>
      </c>
    </row>
    <row r="10" spans="1:15" x14ac:dyDescent="0.25">
      <c r="A10" s="3" t="s">
        <v>169</v>
      </c>
      <c r="B10" s="3" t="s">
        <v>161</v>
      </c>
      <c r="C10" s="3" t="s">
        <v>24</v>
      </c>
      <c r="D10" s="4">
        <v>2131.4</v>
      </c>
      <c r="E10" s="13">
        <v>2</v>
      </c>
      <c r="F10" s="4">
        <f>Rates!$D$32+3*E10+3</f>
        <v>13</v>
      </c>
      <c r="G10" s="4">
        <f t="shared" si="0"/>
        <v>27708.2</v>
      </c>
      <c r="H10" s="4">
        <f>Rates!$D$33*F10*D10</f>
        <v>11083.28</v>
      </c>
      <c r="I10" s="4">
        <f>(E10*(Rates!$D$32+1.5*E10)+Rates!$D$33*F10)*D10</f>
        <v>40922.879999999997</v>
      </c>
      <c r="J10" s="4">
        <f t="shared" si="1"/>
        <v>5572.2255900000009</v>
      </c>
      <c r="K10" s="4">
        <f>G10*Rates!$D$2</f>
        <v>8312.4599999999991</v>
      </c>
      <c r="L10" s="4">
        <f>H10*Rates!$D$3</f>
        <v>23274.888000000003</v>
      </c>
      <c r="M10" s="4">
        <f>I10*Rates!$D$4</f>
        <v>163691.51999999999</v>
      </c>
      <c r="N10" s="4">
        <f>J10*Rates!$D$5</f>
        <v>73553.377788000013</v>
      </c>
      <c r="O10" s="4">
        <f t="shared" si="2"/>
        <v>268832.245788</v>
      </c>
    </row>
    <row r="11" spans="1:15" x14ac:dyDescent="0.25">
      <c r="A11" s="3" t="s">
        <v>170</v>
      </c>
      <c r="B11" s="3" t="s">
        <v>161</v>
      </c>
      <c r="C11" s="3" t="s">
        <v>24</v>
      </c>
      <c r="D11" s="4">
        <v>8370.1</v>
      </c>
      <c r="E11" s="13">
        <v>2</v>
      </c>
      <c r="F11" s="4">
        <f>Rates!$D$32+3*E11+3</f>
        <v>13</v>
      </c>
      <c r="G11" s="4">
        <f t="shared" si="0"/>
        <v>108811.3</v>
      </c>
      <c r="H11" s="4">
        <f>Rates!$D$33*F11*D11</f>
        <v>43524.520000000004</v>
      </c>
      <c r="I11" s="4">
        <f>(E11*(Rates!$D$32+1.5*E11)+Rates!$D$33*F11)*D11</f>
        <v>160705.92000000001</v>
      </c>
      <c r="J11" s="4">
        <f t="shared" si="1"/>
        <v>21882.370935000003</v>
      </c>
      <c r="K11" s="4">
        <f>G11*Rates!$D$2</f>
        <v>32643.39</v>
      </c>
      <c r="L11" s="4">
        <f>H11*Rates!$D$3</f>
        <v>91401.492000000013</v>
      </c>
      <c r="M11" s="4">
        <f>I11*Rates!$D$4</f>
        <v>642823.68000000005</v>
      </c>
      <c r="N11" s="4">
        <f>J11*Rates!$D$5</f>
        <v>288847.29634200002</v>
      </c>
      <c r="O11" s="4">
        <f t="shared" si="2"/>
        <v>1055715.8583420001</v>
      </c>
    </row>
    <row r="12" spans="1:15" x14ac:dyDescent="0.25">
      <c r="A12" s="3" t="s">
        <v>171</v>
      </c>
      <c r="B12" s="3" t="s">
        <v>161</v>
      </c>
      <c r="C12" s="3" t="s">
        <v>24</v>
      </c>
      <c r="D12" s="4">
        <v>838</v>
      </c>
      <c r="E12" s="13">
        <v>1.8</v>
      </c>
      <c r="F12" s="4">
        <f>Rates!$D$32+3*E12+3</f>
        <v>12.4</v>
      </c>
      <c r="G12" s="4">
        <f t="shared" si="0"/>
        <v>10391.200000000001</v>
      </c>
      <c r="H12" s="4">
        <f>Rates!$D$33*F12*D12</f>
        <v>4156.4800000000005</v>
      </c>
      <c r="I12" s="4">
        <f>(E12*(Rates!$D$32+1.5*E12)+Rates!$D$33*F12)*D12</f>
        <v>14262.760000000002</v>
      </c>
      <c r="J12" s="4">
        <f t="shared" si="1"/>
        <v>1971.7427700000003</v>
      </c>
      <c r="K12" s="4">
        <f>G12*Rates!$D$2</f>
        <v>3117.36</v>
      </c>
      <c r="L12" s="4">
        <f>H12*Rates!$D$3</f>
        <v>8728.608000000002</v>
      </c>
      <c r="M12" s="4">
        <f>I12*Rates!$D$4</f>
        <v>57051.040000000008</v>
      </c>
      <c r="N12" s="4">
        <f>J12*Rates!$D$5</f>
        <v>26027.004564000003</v>
      </c>
      <c r="O12" s="4">
        <f t="shared" si="2"/>
        <v>94924.012564000019</v>
      </c>
    </row>
    <row r="13" spans="1:15" x14ac:dyDescent="0.25">
      <c r="A13" s="3" t="s">
        <v>172</v>
      </c>
      <c r="B13" s="3" t="s">
        <v>161</v>
      </c>
      <c r="C13" s="3" t="s">
        <v>24</v>
      </c>
      <c r="D13" s="4">
        <v>1062.9000000000001</v>
      </c>
      <c r="E13" s="13">
        <v>1.8</v>
      </c>
      <c r="F13" s="4">
        <f>Rates!$D$32+3*E13+3</f>
        <v>12.4</v>
      </c>
      <c r="G13" s="4">
        <f t="shared" si="0"/>
        <v>13179.960000000001</v>
      </c>
      <c r="H13" s="4">
        <f>Rates!$D$33*F13*D13</f>
        <v>5271.9840000000013</v>
      </c>
      <c r="I13" s="4">
        <f>(E13*(Rates!$D$32+1.5*E13)+Rates!$D$33*F13)*D13</f>
        <v>18090.558000000005</v>
      </c>
      <c r="J13" s="4">
        <f t="shared" si="1"/>
        <v>2500.9133535000005</v>
      </c>
      <c r="K13" s="4">
        <f>G13*Rates!$D$2</f>
        <v>3953.9880000000003</v>
      </c>
      <c r="L13" s="4">
        <f>H13*Rates!$D$3</f>
        <v>11071.166400000004</v>
      </c>
      <c r="M13" s="4">
        <f>I13*Rates!$D$4</f>
        <v>72362.232000000018</v>
      </c>
      <c r="N13" s="4">
        <f>J13*Rates!$D$5</f>
        <v>33012.056266200008</v>
      </c>
      <c r="O13" s="4">
        <f t="shared" si="2"/>
        <v>120399.44266620002</v>
      </c>
    </row>
    <row r="14" spans="1:15" x14ac:dyDescent="0.25">
      <c r="A14" s="3" t="s">
        <v>173</v>
      </c>
      <c r="B14" s="3" t="s">
        <v>174</v>
      </c>
      <c r="C14" s="3" t="s">
        <v>24</v>
      </c>
      <c r="D14" s="4">
        <v>638.5</v>
      </c>
      <c r="E14" s="13">
        <v>3.1</v>
      </c>
      <c r="F14" s="4">
        <f>Rates!$D$32+3*E14+3</f>
        <v>16.3</v>
      </c>
      <c r="G14" s="4">
        <f t="shared" si="0"/>
        <v>10407.550000000001</v>
      </c>
      <c r="H14" s="4">
        <f>Rates!$D$33*F14*D14</f>
        <v>4163.0200000000004</v>
      </c>
      <c r="I14" s="4">
        <f>(E14*(Rates!$D$32+1.5*E14)+Rates!$D$33*F14)*D14</f>
        <v>21284.397499999999</v>
      </c>
      <c r="J14" s="4">
        <f t="shared" si="1"/>
        <v>2587.3568362500005</v>
      </c>
      <c r="K14" s="4">
        <f>G14*Rates!$D$2</f>
        <v>3122.2650000000003</v>
      </c>
      <c r="L14" s="4">
        <f>H14*Rates!$D$3</f>
        <v>8742.3420000000006</v>
      </c>
      <c r="M14" s="4">
        <f>I14*Rates!$D$4</f>
        <v>85137.59</v>
      </c>
      <c r="N14" s="4">
        <f>J14*Rates!$D$5</f>
        <v>34153.110238500005</v>
      </c>
      <c r="O14" s="4">
        <f t="shared" si="2"/>
        <v>131155.30723850001</v>
      </c>
    </row>
    <row r="15" spans="1:15" x14ac:dyDescent="0.25">
      <c r="A15" s="3" t="s">
        <v>175</v>
      </c>
      <c r="B15" s="3" t="s">
        <v>174</v>
      </c>
      <c r="C15" s="3" t="s">
        <v>24</v>
      </c>
      <c r="D15" s="4">
        <v>786.6</v>
      </c>
      <c r="E15" s="13">
        <v>2</v>
      </c>
      <c r="F15" s="4">
        <f>Rates!$D$32+3*E15+3</f>
        <v>13</v>
      </c>
      <c r="G15" s="4">
        <f t="shared" si="0"/>
        <v>10225.800000000001</v>
      </c>
      <c r="H15" s="4">
        <f>Rates!$D$33*F15*D15</f>
        <v>4090.32</v>
      </c>
      <c r="I15" s="4">
        <f>(E15*(Rates!$D$32+1.5*E15)+Rates!$D$33*F15)*D15</f>
        <v>15102.72</v>
      </c>
      <c r="J15" s="4">
        <f t="shared" si="1"/>
        <v>2056.4477100000004</v>
      </c>
      <c r="K15" s="4">
        <f>G15*Rates!$D$2</f>
        <v>3067.7400000000002</v>
      </c>
      <c r="L15" s="4">
        <f>H15*Rates!$D$3</f>
        <v>8589.6720000000005</v>
      </c>
      <c r="M15" s="4">
        <f>I15*Rates!$D$4</f>
        <v>60410.879999999997</v>
      </c>
      <c r="N15" s="4">
        <f>J15*Rates!$D$5</f>
        <v>27145.109772000003</v>
      </c>
      <c r="O15" s="4">
        <f t="shared" si="2"/>
        <v>99213.401772000012</v>
      </c>
    </row>
    <row r="16" spans="1:15" x14ac:dyDescent="0.25">
      <c r="A16" s="3" t="s">
        <v>176</v>
      </c>
      <c r="B16" s="3" t="s">
        <v>174</v>
      </c>
      <c r="C16" s="3" t="s">
        <v>24</v>
      </c>
      <c r="D16" s="4">
        <v>193.9</v>
      </c>
      <c r="E16" s="13">
        <v>2.1</v>
      </c>
      <c r="F16" s="4">
        <f>Rates!$D$32+3*E16+3</f>
        <v>13.3</v>
      </c>
      <c r="G16" s="4">
        <f t="shared" si="0"/>
        <v>2578.8700000000003</v>
      </c>
      <c r="H16" s="4">
        <f>Rates!$D$33*F16*D16</f>
        <v>1031.548</v>
      </c>
      <c r="I16" s="4">
        <f>(E16*(Rates!$D$32+1.5*E16)+Rates!$D$33*F16)*D16</f>
        <v>3942.9565000000002</v>
      </c>
      <c r="J16" s="4">
        <f t="shared" si="1"/>
        <v>532.26858825000011</v>
      </c>
      <c r="K16" s="4">
        <f>G16*Rates!$D$2</f>
        <v>773.66100000000006</v>
      </c>
      <c r="L16" s="4">
        <f>H16*Rates!$D$3</f>
        <v>2166.2508000000003</v>
      </c>
      <c r="M16" s="4">
        <f>I16*Rates!$D$4</f>
        <v>15771.826000000001</v>
      </c>
      <c r="N16" s="4">
        <f>J16*Rates!$D$5</f>
        <v>7025.9453649000006</v>
      </c>
      <c r="O16" s="4">
        <f t="shared" si="2"/>
        <v>25737.683164900001</v>
      </c>
    </row>
    <row r="17" spans="1:15" x14ac:dyDescent="0.25">
      <c r="A17" s="3" t="s">
        <v>177</v>
      </c>
      <c r="B17" s="3" t="s">
        <v>174</v>
      </c>
      <c r="C17" s="3" t="s">
        <v>24</v>
      </c>
      <c r="D17" s="4">
        <v>758</v>
      </c>
      <c r="E17" s="13">
        <v>1.9</v>
      </c>
      <c r="F17" s="4">
        <f>Rates!$D$32+3*E17+3</f>
        <v>12.7</v>
      </c>
      <c r="G17" s="4">
        <f t="shared" si="0"/>
        <v>9626.6</v>
      </c>
      <c r="H17" s="4">
        <f>Rates!$D$33*F17*D17</f>
        <v>3850.64</v>
      </c>
      <c r="I17" s="4">
        <f>(E17*(Rates!$D$32+1.5*E17)+Rates!$D$33*F17)*D17</f>
        <v>13716.009999999998</v>
      </c>
      <c r="J17" s="4">
        <f t="shared" si="1"/>
        <v>1882.593435</v>
      </c>
      <c r="K17" s="4">
        <f>G17*Rates!$D$2</f>
        <v>2887.98</v>
      </c>
      <c r="L17" s="4">
        <f>H17*Rates!$D$3</f>
        <v>8086.3440000000001</v>
      </c>
      <c r="M17" s="4">
        <f>I17*Rates!$D$4</f>
        <v>54864.039999999994</v>
      </c>
      <c r="N17" s="4">
        <f>J17*Rates!$D$5</f>
        <v>24850.233342</v>
      </c>
      <c r="O17" s="4">
        <f t="shared" si="2"/>
        <v>90688.597341999994</v>
      </c>
    </row>
    <row r="18" spans="1:15" x14ac:dyDescent="0.25">
      <c r="A18" s="3" t="s">
        <v>178</v>
      </c>
      <c r="B18" s="3" t="s">
        <v>174</v>
      </c>
      <c r="C18" s="3" t="s">
        <v>24</v>
      </c>
      <c r="D18" s="4">
        <v>469.9</v>
      </c>
      <c r="E18" s="13">
        <v>1.8</v>
      </c>
      <c r="F18" s="4">
        <f>Rates!$D$32+3*E18+3</f>
        <v>12.4</v>
      </c>
      <c r="G18" s="4">
        <f t="shared" si="0"/>
        <v>5826.76</v>
      </c>
      <c r="H18" s="4">
        <f>Rates!$D$33*F18*D18</f>
        <v>2330.7040000000002</v>
      </c>
      <c r="I18" s="4">
        <f>(E18*(Rates!$D$32+1.5*E18)+Rates!$D$33*F18)*D18</f>
        <v>7997.6980000000012</v>
      </c>
      <c r="J18" s="4">
        <f t="shared" si="1"/>
        <v>1105.6347585000001</v>
      </c>
      <c r="K18" s="4">
        <f>G18*Rates!$D$2</f>
        <v>1748.028</v>
      </c>
      <c r="L18" s="4">
        <f>H18*Rates!$D$3</f>
        <v>4894.4784000000009</v>
      </c>
      <c r="M18" s="4">
        <f>I18*Rates!$D$4</f>
        <v>31990.792000000005</v>
      </c>
      <c r="N18" s="4">
        <f>J18*Rates!$D$5</f>
        <v>14594.378812200001</v>
      </c>
      <c r="O18" s="4">
        <f t="shared" si="2"/>
        <v>53227.677212200011</v>
      </c>
    </row>
    <row r="19" spans="1:15" x14ac:dyDescent="0.25">
      <c r="A19" s="3" t="s">
        <v>179</v>
      </c>
      <c r="B19" s="3" t="s">
        <v>180</v>
      </c>
      <c r="C19" s="3" t="s">
        <v>24</v>
      </c>
      <c r="D19" s="4">
        <v>1058.3</v>
      </c>
      <c r="E19" s="13">
        <v>1.6</v>
      </c>
      <c r="F19" s="4">
        <f>Rates!$D$32+3*E19+3</f>
        <v>11.8</v>
      </c>
      <c r="G19" s="4">
        <f t="shared" si="0"/>
        <v>12487.94</v>
      </c>
      <c r="H19" s="4">
        <f>Rates!$D$33*F19*D19</f>
        <v>4995.1760000000004</v>
      </c>
      <c r="I19" s="4">
        <f>(E19*(Rates!$D$32+1.5*E19)+Rates!$D$33*F19)*D19</f>
        <v>15832.168000000001</v>
      </c>
      <c r="J19" s="4">
        <f t="shared" si="1"/>
        <v>2213.4132840000002</v>
      </c>
      <c r="K19" s="4">
        <f>G19*Rates!$D$2</f>
        <v>3746.3820000000001</v>
      </c>
      <c r="L19" s="4">
        <f>H19*Rates!$D$3</f>
        <v>10489.869600000002</v>
      </c>
      <c r="M19" s="4">
        <f>I19*Rates!$D$4</f>
        <v>63328.672000000006</v>
      </c>
      <c r="N19" s="4">
        <f>J19*Rates!$D$5</f>
        <v>29217.055348800001</v>
      </c>
      <c r="O19" s="4">
        <f t="shared" si="2"/>
        <v>106781.97894880001</v>
      </c>
    </row>
    <row r="20" spans="1:15" x14ac:dyDescent="0.25">
      <c r="A20" s="3" t="s">
        <v>181</v>
      </c>
      <c r="B20" s="3" t="s">
        <v>180</v>
      </c>
      <c r="C20" s="3" t="s">
        <v>24</v>
      </c>
      <c r="D20" s="4">
        <v>47.3</v>
      </c>
      <c r="E20" s="13">
        <v>2.9</v>
      </c>
      <c r="F20" s="4">
        <f>Rates!$D$32+3*E20+3</f>
        <v>15.7</v>
      </c>
      <c r="G20" s="4">
        <f t="shared" si="0"/>
        <v>742.6099999999999</v>
      </c>
      <c r="H20" s="4">
        <f>Rates!$D$33*F20*D20</f>
        <v>297.04399999999998</v>
      </c>
      <c r="I20" s="4">
        <f>(E20*(Rates!$D$32+1.5*E20)+Rates!$D$33*F20)*D20</f>
        <v>1442.4134999999999</v>
      </c>
      <c r="J20" s="4">
        <f t="shared" si="1"/>
        <v>179.30519475000003</v>
      </c>
      <c r="K20" s="4">
        <f>G20*Rates!$D$2</f>
        <v>222.78299999999996</v>
      </c>
      <c r="L20" s="4">
        <f>H20*Rates!$D$3</f>
        <v>623.79240000000004</v>
      </c>
      <c r="M20" s="4">
        <f>I20*Rates!$D$4</f>
        <v>5769.6539999999995</v>
      </c>
      <c r="N20" s="4">
        <f>J20*Rates!$D$5</f>
        <v>2366.8285707</v>
      </c>
      <c r="O20" s="4">
        <f t="shared" si="2"/>
        <v>8983.0579706999997</v>
      </c>
    </row>
    <row r="21" spans="1:15" x14ac:dyDescent="0.25">
      <c r="A21" s="3" t="s">
        <v>182</v>
      </c>
      <c r="B21" s="3" t="s">
        <v>180</v>
      </c>
      <c r="C21" s="3" t="s">
        <v>24</v>
      </c>
      <c r="D21" s="4">
        <v>72.400000000000006</v>
      </c>
      <c r="E21" s="13">
        <v>3.6</v>
      </c>
      <c r="F21" s="4">
        <f>Rates!$D$32+3*E21+3</f>
        <v>17.8</v>
      </c>
      <c r="G21" s="4">
        <f t="shared" si="0"/>
        <v>1288.7200000000003</v>
      </c>
      <c r="H21" s="4">
        <f>Rates!$D$33*F21*D21</f>
        <v>515.48800000000006</v>
      </c>
      <c r="I21" s="4">
        <f>(E21*(Rates!$D$32+1.5*E21)+Rates!$D$33*F21)*D21</f>
        <v>2965.5040000000008</v>
      </c>
      <c r="J21" s="4">
        <f t="shared" si="1"/>
        <v>340.70209200000005</v>
      </c>
      <c r="K21" s="4">
        <f>G21*Rates!$D$2</f>
        <v>386.61600000000004</v>
      </c>
      <c r="L21" s="4">
        <f>H21*Rates!$D$3</f>
        <v>1082.5248000000001</v>
      </c>
      <c r="M21" s="4">
        <f>I21*Rates!$D$4</f>
        <v>11862.016000000003</v>
      </c>
      <c r="N21" s="4">
        <f>J21*Rates!$D$5</f>
        <v>4497.2676144000006</v>
      </c>
      <c r="O21" s="4">
        <f t="shared" si="2"/>
        <v>17828.424414400004</v>
      </c>
    </row>
    <row r="22" spans="1:15" x14ac:dyDescent="0.25">
      <c r="A22" s="3" t="s">
        <v>183</v>
      </c>
      <c r="B22" s="3" t="s">
        <v>180</v>
      </c>
      <c r="C22" s="3" t="s">
        <v>24</v>
      </c>
      <c r="D22" s="4">
        <v>1667.8</v>
      </c>
      <c r="E22" s="13">
        <v>1.7</v>
      </c>
      <c r="F22" s="4">
        <f>Rates!$D$32+3*E22+3</f>
        <v>12.1</v>
      </c>
      <c r="G22" s="4">
        <f t="shared" si="0"/>
        <v>20180.379999999997</v>
      </c>
      <c r="H22" s="4">
        <f>Rates!$D$33*F22*D22</f>
        <v>8072.1519999999991</v>
      </c>
      <c r="I22" s="4">
        <f>(E22*(Rates!$D$32+1.5*E22)+Rates!$D$33*F22)*D22</f>
        <v>26643.105</v>
      </c>
      <c r="J22" s="4">
        <f t="shared" si="1"/>
        <v>3706.1809905000009</v>
      </c>
      <c r="K22" s="4">
        <f>G22*Rates!$D$2</f>
        <v>6054.1139999999987</v>
      </c>
      <c r="L22" s="4">
        <f>H22*Rates!$D$3</f>
        <v>16951.519199999999</v>
      </c>
      <c r="M22" s="4">
        <f>I22*Rates!$D$4</f>
        <v>106572.42</v>
      </c>
      <c r="N22" s="4">
        <f>J22*Rates!$D$5</f>
        <v>48921.589074600008</v>
      </c>
      <c r="O22" s="4">
        <f t="shared" si="2"/>
        <v>178499.64227459999</v>
      </c>
    </row>
    <row r="23" spans="1:15" x14ac:dyDescent="0.25">
      <c r="A23" s="3" t="s">
        <v>184</v>
      </c>
      <c r="B23" s="3" t="s">
        <v>180</v>
      </c>
      <c r="C23" s="3" t="s">
        <v>24</v>
      </c>
      <c r="D23" s="4">
        <v>1068.9000000000001</v>
      </c>
      <c r="E23" s="13">
        <v>1.9</v>
      </c>
      <c r="F23" s="4">
        <f>Rates!$D$32+3*E23+3</f>
        <v>12.7</v>
      </c>
      <c r="G23" s="4">
        <f t="shared" si="0"/>
        <v>13575.03</v>
      </c>
      <c r="H23" s="4">
        <f>Rates!$D$33*F23*D23</f>
        <v>5430.0120000000006</v>
      </c>
      <c r="I23" s="4">
        <f>(E23*(Rates!$D$32+1.5*E23)+Rates!$D$33*F23)*D23</f>
        <v>19341.745500000001</v>
      </c>
      <c r="J23" s="4">
        <f t="shared" si="1"/>
        <v>2654.7547792500004</v>
      </c>
      <c r="K23" s="4">
        <f>G23*Rates!$D$2</f>
        <v>4072.509</v>
      </c>
      <c r="L23" s="4">
        <f>H23*Rates!$D$3</f>
        <v>11403.025200000002</v>
      </c>
      <c r="M23" s="4">
        <f>I23*Rates!$D$4</f>
        <v>77366.982000000004</v>
      </c>
      <c r="N23" s="4">
        <f>J23*Rates!$D$5</f>
        <v>35042.763086100007</v>
      </c>
      <c r="O23" s="4">
        <f t="shared" si="2"/>
        <v>127885.27928610002</v>
      </c>
    </row>
    <row r="24" spans="1:15" x14ac:dyDescent="0.25">
      <c r="A24" s="3" t="s">
        <v>185</v>
      </c>
      <c r="B24" s="3" t="s">
        <v>180</v>
      </c>
      <c r="C24" s="3" t="s">
        <v>24</v>
      </c>
      <c r="D24" s="4">
        <v>309.10000000000002</v>
      </c>
      <c r="E24" s="13">
        <v>2.4</v>
      </c>
      <c r="F24" s="4">
        <f>Rates!$D$32+3*E24+3</f>
        <v>14.2</v>
      </c>
      <c r="G24" s="4">
        <f t="shared" si="0"/>
        <v>4389.22</v>
      </c>
      <c r="H24" s="4">
        <f>Rates!$D$33*F24*D24</f>
        <v>1755.6880000000001</v>
      </c>
      <c r="I24" s="4">
        <f>(E24*(Rates!$D$32+1.5*E24)+Rates!$D$33*F24)*D24</f>
        <v>7393.6719999999996</v>
      </c>
      <c r="J24" s="4">
        <f t="shared" si="1"/>
        <v>969.71470200000022</v>
      </c>
      <c r="K24" s="4">
        <f>G24*Rates!$D$2</f>
        <v>1316.7660000000001</v>
      </c>
      <c r="L24" s="4">
        <f>H24*Rates!$D$3</f>
        <v>3686.9448000000002</v>
      </c>
      <c r="M24" s="4">
        <f>I24*Rates!$D$4</f>
        <v>29574.687999999998</v>
      </c>
      <c r="N24" s="4">
        <f>J24*Rates!$D$5</f>
        <v>12800.234066400002</v>
      </c>
      <c r="O24" s="4">
        <f t="shared" si="2"/>
        <v>47378.632866399996</v>
      </c>
    </row>
    <row r="25" spans="1:15" x14ac:dyDescent="0.25">
      <c r="A25" s="3" t="s">
        <v>186</v>
      </c>
      <c r="B25" s="3" t="s">
        <v>180</v>
      </c>
      <c r="C25" s="3" t="s">
        <v>24</v>
      </c>
      <c r="D25" s="4">
        <v>1920.3</v>
      </c>
      <c r="E25" s="13">
        <v>1.8</v>
      </c>
      <c r="F25" s="4">
        <f>Rates!$D$32+3*E25+3</f>
        <v>12.4</v>
      </c>
      <c r="G25" s="4">
        <f t="shared" si="0"/>
        <v>23811.72</v>
      </c>
      <c r="H25" s="4">
        <f>Rates!$D$33*F25*D25</f>
        <v>9524.6880000000019</v>
      </c>
      <c r="I25" s="4">
        <f>(E25*(Rates!$D$32+1.5*E25)+Rates!$D$33*F25)*D25</f>
        <v>32683.506000000005</v>
      </c>
      <c r="J25" s="4">
        <f t="shared" si="1"/>
        <v>4518.3026745000006</v>
      </c>
      <c r="K25" s="4">
        <f>G25*Rates!$D$2</f>
        <v>7143.5160000000005</v>
      </c>
      <c r="L25" s="4">
        <f>H25*Rates!$D$3</f>
        <v>20001.844800000006</v>
      </c>
      <c r="M25" s="4">
        <f>I25*Rates!$D$4</f>
        <v>130734.02400000002</v>
      </c>
      <c r="N25" s="4">
        <f>J25*Rates!$D$5</f>
        <v>59641.595303400005</v>
      </c>
      <c r="O25" s="4">
        <f t="shared" si="2"/>
        <v>217520.98010340004</v>
      </c>
    </row>
    <row r="26" spans="1:15" x14ac:dyDescent="0.25">
      <c r="A26" s="3" t="s">
        <v>187</v>
      </c>
      <c r="B26" s="3" t="s">
        <v>180</v>
      </c>
      <c r="C26" s="3" t="s">
        <v>24</v>
      </c>
      <c r="D26" s="4">
        <v>300</v>
      </c>
      <c r="E26" s="13">
        <v>2.1</v>
      </c>
      <c r="F26" s="4">
        <f>Rates!$D$32+3*E26+3</f>
        <v>13.3</v>
      </c>
      <c r="G26" s="4">
        <f t="shared" si="0"/>
        <v>3990</v>
      </c>
      <c r="H26" s="4">
        <f>Rates!$D$33*F26*D26</f>
        <v>1596</v>
      </c>
      <c r="I26" s="4">
        <f>(E26*(Rates!$D$32+1.5*E26)+Rates!$D$33*F26)*D26</f>
        <v>6100.5</v>
      </c>
      <c r="J26" s="4">
        <f t="shared" si="1"/>
        <v>823.52025000000015</v>
      </c>
      <c r="K26" s="4">
        <f>G26*Rates!$D$2</f>
        <v>1197</v>
      </c>
      <c r="L26" s="4">
        <f>H26*Rates!$D$3</f>
        <v>3351.6000000000004</v>
      </c>
      <c r="M26" s="4">
        <f>I26*Rates!$D$4</f>
        <v>24402</v>
      </c>
      <c r="N26" s="4">
        <f>J26*Rates!$D$5</f>
        <v>10870.467300000002</v>
      </c>
      <c r="O26" s="4">
        <f t="shared" si="2"/>
        <v>39821.067300000002</v>
      </c>
    </row>
    <row r="27" spans="1:15" x14ac:dyDescent="0.25">
      <c r="A27" s="3" t="s">
        <v>188</v>
      </c>
      <c r="B27" s="3" t="s">
        <v>180</v>
      </c>
      <c r="C27" s="3" t="s">
        <v>24</v>
      </c>
      <c r="D27" s="4">
        <v>352.9</v>
      </c>
      <c r="E27" s="13">
        <v>2.2000000000000002</v>
      </c>
      <c r="F27" s="4">
        <f>Rates!$D$32+3*E27+3</f>
        <v>13.600000000000001</v>
      </c>
      <c r="G27" s="4">
        <f t="shared" si="0"/>
        <v>4799.4400000000005</v>
      </c>
      <c r="H27" s="4">
        <f>Rates!$D$33*F27*D27</f>
        <v>1919.7760000000003</v>
      </c>
      <c r="I27" s="4">
        <f>(E27*(Rates!$D$32+1.5*E27)+Rates!$D$33*F27)*D27</f>
        <v>7587.35</v>
      </c>
      <c r="J27" s="4">
        <f t="shared" si="1"/>
        <v>1014.8645265000001</v>
      </c>
      <c r="K27" s="4">
        <f>G27*Rates!$D$2</f>
        <v>1439.8320000000001</v>
      </c>
      <c r="L27" s="4">
        <f>H27*Rates!$D$3</f>
        <v>4031.5296000000008</v>
      </c>
      <c r="M27" s="4">
        <f>I27*Rates!$D$4</f>
        <v>30349.4</v>
      </c>
      <c r="N27" s="4">
        <f>J27*Rates!$D$5</f>
        <v>13396.211749800001</v>
      </c>
      <c r="O27" s="4">
        <f t="shared" si="2"/>
        <v>49216.973349800006</v>
      </c>
    </row>
    <row r="28" spans="1:15" x14ac:dyDescent="0.25">
      <c r="A28" s="3" t="s">
        <v>189</v>
      </c>
      <c r="B28" s="3" t="s">
        <v>161</v>
      </c>
      <c r="C28" s="3" t="s">
        <v>25</v>
      </c>
      <c r="D28" s="4">
        <v>1712.8</v>
      </c>
      <c r="E28" s="13">
        <v>3.5</v>
      </c>
      <c r="F28" s="4">
        <f>Rates!$D$32+3*E28+3</f>
        <v>17.5</v>
      </c>
      <c r="G28" s="4">
        <f t="shared" si="0"/>
        <v>29974</v>
      </c>
      <c r="H28" s="4">
        <f>Rates!$D$33*F28*D28</f>
        <v>11989.6</v>
      </c>
      <c r="I28" s="4">
        <f>(E28*(Rates!$D$32+1.5*E28)+Rates!$D$33*F28)*D28</f>
        <v>67441.5</v>
      </c>
      <c r="J28" s="4">
        <f t="shared" si="1"/>
        <v>7836.2526900000003</v>
      </c>
      <c r="K28" s="4">
        <f>G28*Rates!$D$2</f>
        <v>8992.1999999999989</v>
      </c>
      <c r="L28" s="4">
        <f>H28*Rates!$D$3</f>
        <v>25178.160000000003</v>
      </c>
      <c r="M28" s="4">
        <f>I28*Rates!$D$4</f>
        <v>269766</v>
      </c>
      <c r="N28" s="4">
        <f>J28*Rates!$D$5</f>
        <v>103438.535508</v>
      </c>
      <c r="O28" s="4">
        <f t="shared" si="2"/>
        <v>407374.89550799999</v>
      </c>
    </row>
    <row r="29" spans="1:15" x14ac:dyDescent="0.25">
      <c r="A29" s="3" t="s">
        <v>190</v>
      </c>
      <c r="B29" s="3" t="s">
        <v>161</v>
      </c>
      <c r="C29" s="3" t="s">
        <v>25</v>
      </c>
      <c r="D29" s="4">
        <v>2771</v>
      </c>
      <c r="E29" s="13">
        <v>2.1</v>
      </c>
      <c r="F29" s="4">
        <f>Rates!$D$32+3*E29+3</f>
        <v>13.3</v>
      </c>
      <c r="G29" s="4">
        <f t="shared" si="0"/>
        <v>36854.300000000003</v>
      </c>
      <c r="H29" s="4">
        <f>Rates!$D$33*F29*D29</f>
        <v>14741.720000000001</v>
      </c>
      <c r="I29" s="4">
        <f>(E29*(Rates!$D$32+1.5*E29)+Rates!$D$33*F29)*D29</f>
        <v>56348.285000000003</v>
      </c>
      <c r="J29" s="4">
        <f t="shared" si="1"/>
        <v>7606.582042500002</v>
      </c>
      <c r="K29" s="4">
        <f>G29*Rates!$D$2</f>
        <v>11056.29</v>
      </c>
      <c r="L29" s="4">
        <f>H29*Rates!$D$3</f>
        <v>30957.612000000005</v>
      </c>
      <c r="M29" s="4">
        <f>I29*Rates!$D$4</f>
        <v>225393.14</v>
      </c>
      <c r="N29" s="4">
        <f>J29*Rates!$D$5</f>
        <v>100406.88296100002</v>
      </c>
      <c r="O29" s="4">
        <f t="shared" si="2"/>
        <v>367813.92496100004</v>
      </c>
    </row>
    <row r="30" spans="1:15" x14ac:dyDescent="0.25">
      <c r="A30" s="3" t="s">
        <v>191</v>
      </c>
      <c r="B30" s="3" t="s">
        <v>174</v>
      </c>
      <c r="C30" s="3" t="s">
        <v>25</v>
      </c>
      <c r="D30" s="4">
        <v>2734.3</v>
      </c>
      <c r="E30" s="13">
        <v>2.2000000000000002</v>
      </c>
      <c r="F30" s="4">
        <f>Rates!$D$32+3*E30+3</f>
        <v>13.600000000000001</v>
      </c>
      <c r="G30" s="4">
        <f t="shared" si="0"/>
        <v>37186.480000000003</v>
      </c>
      <c r="H30" s="4">
        <f>Rates!$D$33*F30*D30</f>
        <v>14874.592000000004</v>
      </c>
      <c r="I30" s="4">
        <f>(E30*(Rates!$D$32+1.5*E30)+Rates!$D$33*F30)*D30</f>
        <v>58787.450000000012</v>
      </c>
      <c r="J30" s="4">
        <f t="shared" si="1"/>
        <v>7863.2589255000021</v>
      </c>
      <c r="K30" s="4">
        <f>G30*Rates!$D$2</f>
        <v>11155.944000000001</v>
      </c>
      <c r="L30" s="4">
        <f>H30*Rates!$D$3</f>
        <v>31236.64320000001</v>
      </c>
      <c r="M30" s="4">
        <f>I30*Rates!$D$4</f>
        <v>235149.80000000005</v>
      </c>
      <c r="N30" s="4">
        <f>J30*Rates!$D$5</f>
        <v>103795.01781660003</v>
      </c>
      <c r="O30" s="4">
        <f t="shared" si="2"/>
        <v>381337.4050166001</v>
      </c>
    </row>
    <row r="31" spans="1:15" x14ac:dyDescent="0.25">
      <c r="A31" s="3" t="s">
        <v>192</v>
      </c>
      <c r="B31" s="3" t="s">
        <v>174</v>
      </c>
      <c r="C31" s="3" t="s">
        <v>25</v>
      </c>
      <c r="D31" s="4">
        <v>1336.9</v>
      </c>
      <c r="E31" s="13">
        <v>2.1</v>
      </c>
      <c r="F31" s="4">
        <f>Rates!$D$32+3*E31+3</f>
        <v>13.3</v>
      </c>
      <c r="G31" s="4">
        <f t="shared" si="0"/>
        <v>17780.77</v>
      </c>
      <c r="H31" s="4">
        <f>Rates!$D$33*F31*D31</f>
        <v>7112.3080000000009</v>
      </c>
      <c r="I31" s="4">
        <f>(E31*(Rates!$D$32+1.5*E31)+Rates!$D$33*F31)*D31</f>
        <v>27185.861500000003</v>
      </c>
      <c r="J31" s="4">
        <f t="shared" si="1"/>
        <v>3669.8807407500012</v>
      </c>
      <c r="K31" s="4">
        <f>G31*Rates!$D$2</f>
        <v>5334.2309999999998</v>
      </c>
      <c r="L31" s="4">
        <f>H31*Rates!$D$3</f>
        <v>14935.846800000003</v>
      </c>
      <c r="M31" s="4">
        <f>I31*Rates!$D$4</f>
        <v>108743.44600000001</v>
      </c>
      <c r="N31" s="4">
        <f>J31*Rates!$D$5</f>
        <v>48442.425777900011</v>
      </c>
      <c r="O31" s="4">
        <f t="shared" si="2"/>
        <v>177455.94957790003</v>
      </c>
    </row>
    <row r="32" spans="1:15" x14ac:dyDescent="0.25">
      <c r="A32" s="3" t="s">
        <v>193</v>
      </c>
      <c r="B32" s="3" t="s">
        <v>161</v>
      </c>
      <c r="C32" s="3" t="s">
        <v>26</v>
      </c>
      <c r="D32" s="4">
        <v>1948.2</v>
      </c>
      <c r="E32" s="13">
        <v>2.7</v>
      </c>
      <c r="F32" s="4">
        <f>Rates!$D$32+3*E32+3</f>
        <v>15.100000000000001</v>
      </c>
      <c r="G32" s="4">
        <f t="shared" si="0"/>
        <v>29417.820000000003</v>
      </c>
      <c r="H32" s="4">
        <f>Rates!$D$33*F32*D32</f>
        <v>11767.128000000002</v>
      </c>
      <c r="I32" s="4">
        <f>(E32*(Rates!$D$32+1.5*E32)+Rates!$D$33*F32)*D32</f>
        <v>54111.255000000012</v>
      </c>
      <c r="J32" s="4">
        <f t="shared" si="1"/>
        <v>6875.9235045000023</v>
      </c>
      <c r="K32" s="4">
        <f>G32*Rates!$D$2</f>
        <v>8825.3460000000014</v>
      </c>
      <c r="L32" s="4">
        <f>H32*Rates!$D$3</f>
        <v>24710.968800000006</v>
      </c>
      <c r="M32" s="4">
        <f>I32*Rates!$D$4</f>
        <v>216445.02000000005</v>
      </c>
      <c r="N32" s="4">
        <f>J32*Rates!$D$5</f>
        <v>90762.190259400028</v>
      </c>
      <c r="O32" s="4">
        <f t="shared" si="2"/>
        <v>340743.52505940013</v>
      </c>
    </row>
    <row r="33" spans="1:15" x14ac:dyDescent="0.25">
      <c r="A33" s="3" t="s">
        <v>194</v>
      </c>
      <c r="B33" s="3" t="s">
        <v>161</v>
      </c>
      <c r="C33" s="3" t="s">
        <v>26</v>
      </c>
      <c r="D33" s="4">
        <v>388.7</v>
      </c>
      <c r="E33" s="13">
        <v>3.3</v>
      </c>
      <c r="F33" s="4">
        <f>Rates!$D$32+3*E33+3</f>
        <v>16.899999999999999</v>
      </c>
      <c r="G33" s="4">
        <f t="shared" si="0"/>
        <v>6569.0299999999988</v>
      </c>
      <c r="H33" s="4">
        <f>Rates!$D$33*F33*D33</f>
        <v>2627.6119999999996</v>
      </c>
      <c r="I33" s="4">
        <f>(E33*(Rates!$D$32+1.5*E33)+Rates!$D$33*F33)*D33</f>
        <v>14107.866499999998</v>
      </c>
      <c r="J33" s="4">
        <f t="shared" si="1"/>
        <v>1676.7264442500002</v>
      </c>
      <c r="K33" s="4">
        <f>G33*Rates!$D$2</f>
        <v>1970.7089999999996</v>
      </c>
      <c r="L33" s="4">
        <f>H33*Rates!$D$3</f>
        <v>5517.9851999999992</v>
      </c>
      <c r="M33" s="4">
        <f>I33*Rates!$D$4</f>
        <v>56431.465999999993</v>
      </c>
      <c r="N33" s="4">
        <f>J33*Rates!$D$5</f>
        <v>22132.789064100001</v>
      </c>
      <c r="O33" s="4">
        <f t="shared" si="2"/>
        <v>86052.949264099996</v>
      </c>
    </row>
    <row r="34" spans="1:15" x14ac:dyDescent="0.25">
      <c r="A34" s="3" t="s">
        <v>195</v>
      </c>
      <c r="B34" s="3" t="s">
        <v>161</v>
      </c>
      <c r="C34" s="3" t="s">
        <v>26</v>
      </c>
      <c r="D34" s="4">
        <v>2780.1</v>
      </c>
      <c r="E34" s="13">
        <v>2.2999999999999998</v>
      </c>
      <c r="F34" s="4">
        <f>Rates!$D$32+3*E34+3</f>
        <v>13.899999999999999</v>
      </c>
      <c r="G34" s="4">
        <f t="shared" si="0"/>
        <v>38643.389999999992</v>
      </c>
      <c r="H34" s="4">
        <f>Rates!$D$33*F34*D34</f>
        <v>15457.355999999998</v>
      </c>
      <c r="I34" s="4">
        <f>(E34*(Rates!$D$32+1.5*E34)+Rates!$D$33*F34)*D34</f>
        <v>63094.369499999986</v>
      </c>
      <c r="J34" s="4">
        <f t="shared" si="1"/>
        <v>8358.3776002499999</v>
      </c>
      <c r="K34" s="4">
        <f>G34*Rates!$D$2</f>
        <v>11593.016999999998</v>
      </c>
      <c r="L34" s="4">
        <f>H34*Rates!$D$3</f>
        <v>32460.447599999996</v>
      </c>
      <c r="M34" s="4">
        <f>I34*Rates!$D$4</f>
        <v>252377.47799999994</v>
      </c>
      <c r="N34" s="4">
        <f>J34*Rates!$D$5</f>
        <v>110330.58432329999</v>
      </c>
      <c r="O34" s="4">
        <f t="shared" si="2"/>
        <v>406761.52692329994</v>
      </c>
    </row>
    <row r="35" spans="1:15" x14ac:dyDescent="0.25">
      <c r="A35" s="3" t="s">
        <v>196</v>
      </c>
      <c r="B35" s="3" t="s">
        <v>161</v>
      </c>
      <c r="C35" s="3" t="s">
        <v>26</v>
      </c>
      <c r="D35" s="4">
        <v>4272</v>
      </c>
      <c r="E35" s="13">
        <v>2.2999999999999998</v>
      </c>
      <c r="F35" s="4">
        <f>Rates!$D$32+3*E35+3</f>
        <v>13.899999999999999</v>
      </c>
      <c r="G35" s="4">
        <f t="shared" si="0"/>
        <v>59380.799999999996</v>
      </c>
      <c r="H35" s="4">
        <f>Rates!$D$33*F35*D35</f>
        <v>23752.32</v>
      </c>
      <c r="I35" s="4">
        <f>(E35*(Rates!$D$32+1.5*E35)+Rates!$D$33*F35)*D35</f>
        <v>96953.039999999979</v>
      </c>
      <c r="J35" s="4">
        <f t="shared" si="1"/>
        <v>12843.778680000001</v>
      </c>
      <c r="K35" s="4">
        <f>G35*Rates!$D$2</f>
        <v>17814.239999999998</v>
      </c>
      <c r="L35" s="4">
        <f>H35*Rates!$D$3</f>
        <v>49879.872000000003</v>
      </c>
      <c r="M35" s="4">
        <f>I35*Rates!$D$4</f>
        <v>387812.15999999992</v>
      </c>
      <c r="N35" s="4">
        <f>J35*Rates!$D$5</f>
        <v>169537.87857600002</v>
      </c>
      <c r="O35" s="4">
        <f t="shared" si="2"/>
        <v>625044.15057599987</v>
      </c>
    </row>
    <row r="36" spans="1:15" x14ac:dyDescent="0.25">
      <c r="A36" s="3" t="s">
        <v>197</v>
      </c>
      <c r="B36" s="3" t="s">
        <v>161</v>
      </c>
      <c r="C36" s="3" t="s">
        <v>26</v>
      </c>
      <c r="D36" s="4">
        <v>958</v>
      </c>
      <c r="E36" s="13">
        <v>2.2000000000000002</v>
      </c>
      <c r="F36" s="4">
        <f>Rates!$D$32+3*E36+3</f>
        <v>13.600000000000001</v>
      </c>
      <c r="G36" s="4">
        <f t="shared" si="0"/>
        <v>13028.800000000001</v>
      </c>
      <c r="H36" s="4">
        <f>Rates!$D$33*F36*D36</f>
        <v>5211.5200000000013</v>
      </c>
      <c r="I36" s="4">
        <f>(E36*(Rates!$D$32+1.5*E36)+Rates!$D$33*F36)*D36</f>
        <v>20597.000000000004</v>
      </c>
      <c r="J36" s="4">
        <f t="shared" si="1"/>
        <v>2755.0020300000006</v>
      </c>
      <c r="K36" s="4">
        <f>G36*Rates!$D$2</f>
        <v>3908.6400000000003</v>
      </c>
      <c r="L36" s="4">
        <f>H36*Rates!$D$3</f>
        <v>10944.192000000003</v>
      </c>
      <c r="M36" s="4">
        <f>I36*Rates!$D$4</f>
        <v>82388.000000000015</v>
      </c>
      <c r="N36" s="4">
        <f>J36*Rates!$D$5</f>
        <v>36366.026796000006</v>
      </c>
      <c r="O36" s="4">
        <f t="shared" si="2"/>
        <v>133606.85879600001</v>
      </c>
    </row>
    <row r="37" spans="1:15" x14ac:dyDescent="0.25">
      <c r="A37" s="3" t="s">
        <v>198</v>
      </c>
      <c r="B37" s="3" t="s">
        <v>161</v>
      </c>
      <c r="C37" s="3" t="s">
        <v>26</v>
      </c>
      <c r="D37" s="4">
        <v>424.9</v>
      </c>
      <c r="E37" s="13">
        <v>2.6</v>
      </c>
      <c r="F37" s="4">
        <f>Rates!$D$32+3*E37+3</f>
        <v>14.8</v>
      </c>
      <c r="G37" s="4">
        <f t="shared" si="0"/>
        <v>6288.5199999999995</v>
      </c>
      <c r="H37" s="4">
        <f>Rates!$D$33*F37*D37</f>
        <v>2515.4080000000004</v>
      </c>
      <c r="I37" s="4">
        <f>(E37*(Rates!$D$32+1.5*E37)+Rates!$D$33*F37)*D37</f>
        <v>11242.854000000001</v>
      </c>
      <c r="J37" s="4">
        <f t="shared" si="1"/>
        <v>1444.0885095000001</v>
      </c>
      <c r="K37" s="4">
        <f>G37*Rates!$D$2</f>
        <v>1886.5559999999998</v>
      </c>
      <c r="L37" s="4">
        <f>H37*Rates!$D$3</f>
        <v>5282.3568000000014</v>
      </c>
      <c r="M37" s="4">
        <f>I37*Rates!$D$4</f>
        <v>44971.416000000005</v>
      </c>
      <c r="N37" s="4">
        <f>J37*Rates!$D$5</f>
        <v>19061.968325400001</v>
      </c>
      <c r="O37" s="4">
        <f t="shared" si="2"/>
        <v>71202.2971254</v>
      </c>
    </row>
    <row r="38" spans="1:15" x14ac:dyDescent="0.25">
      <c r="A38" s="6" t="s">
        <v>19</v>
      </c>
      <c r="B38" s="6"/>
      <c r="C38" s="6"/>
      <c r="D38" s="7">
        <f t="shared" ref="D38:O38" si="3">SUM(D2:D37)</f>
        <v>62471.900000000016</v>
      </c>
      <c r="E38" s="14">
        <f t="shared" si="3"/>
        <v>82.199999999999989</v>
      </c>
      <c r="F38" s="7">
        <f t="shared" si="3"/>
        <v>498.60000000000014</v>
      </c>
      <c r="G38" s="7">
        <f t="shared" si="3"/>
        <v>835030.22000000009</v>
      </c>
      <c r="H38" s="7">
        <f t="shared" si="3"/>
        <v>334012.08800000011</v>
      </c>
      <c r="I38" s="7">
        <f t="shared" si="3"/>
        <v>1301488.2409999999</v>
      </c>
      <c r="J38" s="7">
        <f t="shared" si="3"/>
        <v>173299.562217</v>
      </c>
      <c r="K38" s="7">
        <f t="shared" si="3"/>
        <v>250509.06599999999</v>
      </c>
      <c r="L38" s="7">
        <f t="shared" si="3"/>
        <v>701425.3848</v>
      </c>
      <c r="M38" s="7">
        <f t="shared" si="3"/>
        <v>5205952.9639999997</v>
      </c>
      <c r="N38" s="7">
        <f t="shared" si="3"/>
        <v>2287554.2212644005</v>
      </c>
      <c r="O38" s="7">
        <f t="shared" si="3"/>
        <v>8445441.636064399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O63"/>
  <sheetViews>
    <sheetView workbookViewId="0">
      <pane xSplit="5" ySplit="1" topLeftCell="F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" customWidth="1"/>
    <col min="2" max="2" width="16" customWidth="1"/>
    <col min="3" max="4" width="12" customWidth="1"/>
    <col min="5" max="5" width="14" customWidth="1"/>
    <col min="6" max="6" width="6" customWidth="1"/>
    <col min="7" max="9" width="8" customWidth="1"/>
    <col min="10" max="10" width="11" customWidth="1"/>
    <col min="11" max="11" width="10" customWidth="1"/>
    <col min="12" max="26" width="11" customWidth="1"/>
    <col min="27" max="41" width="12" customWidth="1"/>
  </cols>
  <sheetData>
    <row r="1" spans="1:41" ht="51.95" customHeight="1" x14ac:dyDescent="0.25">
      <c r="A1" s="2" t="s">
        <v>199</v>
      </c>
      <c r="B1" s="2" t="s">
        <v>200</v>
      </c>
      <c r="C1" s="2" t="s">
        <v>93</v>
      </c>
      <c r="D1" s="2" t="s">
        <v>201</v>
      </c>
      <c r="E1" s="2" t="s">
        <v>95</v>
      </c>
      <c r="F1" s="2" t="s">
        <v>202</v>
      </c>
      <c r="G1" s="2" t="s">
        <v>203</v>
      </c>
      <c r="H1" s="2" t="s">
        <v>204</v>
      </c>
      <c r="I1" s="2" t="s">
        <v>205</v>
      </c>
      <c r="J1" s="2" t="s">
        <v>206</v>
      </c>
      <c r="K1" s="2" t="s">
        <v>207</v>
      </c>
      <c r="L1" s="2" t="s">
        <v>208</v>
      </c>
      <c r="M1" s="2" t="s">
        <v>209</v>
      </c>
      <c r="N1" s="2" t="s">
        <v>210</v>
      </c>
      <c r="O1" s="2" t="s">
        <v>211</v>
      </c>
      <c r="P1" s="2" t="s">
        <v>212</v>
      </c>
      <c r="Q1" s="2" t="s">
        <v>213</v>
      </c>
      <c r="R1" s="2" t="s">
        <v>214</v>
      </c>
      <c r="S1" s="2" t="s">
        <v>215</v>
      </c>
      <c r="T1" s="2" t="s">
        <v>216</v>
      </c>
      <c r="U1" s="2" t="s">
        <v>217</v>
      </c>
      <c r="V1" s="2" t="s">
        <v>218</v>
      </c>
      <c r="W1" s="2" t="s">
        <v>219</v>
      </c>
      <c r="X1" s="2" t="s">
        <v>220</v>
      </c>
      <c r="Y1" s="2" t="s">
        <v>221</v>
      </c>
      <c r="Z1" s="2" t="s">
        <v>222</v>
      </c>
      <c r="AA1" s="2" t="s">
        <v>223</v>
      </c>
      <c r="AB1" s="2" t="s">
        <v>224</v>
      </c>
      <c r="AC1" s="2" t="s">
        <v>225</v>
      </c>
      <c r="AD1" s="2" t="s">
        <v>226</v>
      </c>
      <c r="AE1" s="2" t="s">
        <v>227</v>
      </c>
      <c r="AF1" s="2" t="s">
        <v>228</v>
      </c>
      <c r="AG1" s="2" t="s">
        <v>229</v>
      </c>
      <c r="AH1" s="2" t="s">
        <v>230</v>
      </c>
      <c r="AI1" s="2" t="s">
        <v>231</v>
      </c>
      <c r="AJ1" s="2" t="s">
        <v>232</v>
      </c>
      <c r="AK1" s="2" t="s">
        <v>233</v>
      </c>
      <c r="AL1" s="2" t="s">
        <v>234</v>
      </c>
      <c r="AM1" s="2" t="s">
        <v>235</v>
      </c>
      <c r="AN1" s="2" t="s">
        <v>236</v>
      </c>
      <c r="AO1" s="2" t="s">
        <v>237</v>
      </c>
    </row>
    <row r="2" spans="1:41" x14ac:dyDescent="0.25">
      <c r="A2" s="3">
        <v>1</v>
      </c>
      <c r="B2" s="3" t="s">
        <v>238</v>
      </c>
      <c r="C2" s="3" t="s">
        <v>116</v>
      </c>
      <c r="D2" s="3" t="s">
        <v>239</v>
      </c>
      <c r="E2" s="3" t="s">
        <v>23</v>
      </c>
      <c r="F2" s="3">
        <v>23</v>
      </c>
      <c r="G2" s="3">
        <v>4</v>
      </c>
      <c r="H2" s="3">
        <v>3</v>
      </c>
      <c r="I2" s="3">
        <v>32</v>
      </c>
      <c r="J2" s="3" t="s">
        <v>240</v>
      </c>
      <c r="K2" s="4">
        <f>F2*G2+(F2+1)*Rates!$D$31</f>
        <v>98</v>
      </c>
      <c r="L2" s="4">
        <f>(F2*((G2+Rates!$D$31)*(H2+0.6)-G2*H2)+0.8)*I2</f>
        <v>2454.4000000000005</v>
      </c>
      <c r="M2" s="4">
        <f t="shared" ref="M2:M33" si="0">0.12*L2</f>
        <v>294.52800000000008</v>
      </c>
      <c r="N2" s="4">
        <f t="shared" ref="N2:N33" si="1">K2*I2*0.1*1.1</f>
        <v>344.96000000000004</v>
      </c>
      <c r="O2" s="4">
        <f t="shared" ref="O2:O33" si="2">2*H2*I2+G2*I2</f>
        <v>320</v>
      </c>
      <c r="P2" s="4">
        <f t="shared" ref="P2:P33" si="3">K2*I2*1.1</f>
        <v>3449.6000000000004</v>
      </c>
      <c r="Q2" s="4">
        <f t="shared" ref="Q2:Q33" si="4">P2*0.1</f>
        <v>344.96000000000004</v>
      </c>
      <c r="R2" s="4">
        <f t="shared" ref="R2:R33" si="5">P2*0.05</f>
        <v>172.48000000000002</v>
      </c>
      <c r="S2" s="4">
        <f t="shared" ref="S2:S33" si="6">P2*0.05</f>
        <v>172.48000000000002</v>
      </c>
      <c r="T2" s="4">
        <f t="shared" ref="T2:T33" si="7">P2</f>
        <v>3449.6000000000004</v>
      </c>
      <c r="U2" s="4">
        <f t="shared" ref="U2:U33" si="8">2*P2</f>
        <v>6899.2000000000007</v>
      </c>
      <c r="V2" s="4">
        <f t="shared" ref="V2:V33" si="9">K2*0.1*1.1</f>
        <v>10.780000000000001</v>
      </c>
      <c r="W2" s="4">
        <f t="shared" ref="W2:W33" si="10">2*K2*1.1</f>
        <v>215.60000000000002</v>
      </c>
      <c r="X2" s="4">
        <f t="shared" ref="X2:X33" si="11">ROUNDUP(2*K2*1.1/4,0)</f>
        <v>54</v>
      </c>
      <c r="Y2" s="4">
        <f t="shared" ref="Y2:Y33" si="12">(I2+3)*K2*1.1</f>
        <v>3773.0000000000005</v>
      </c>
      <c r="Z2" s="4">
        <f t="shared" ref="Z2:Z33" si="13">IF(J2="None",0,K2*I2*(H2+0.5)*1.1)</f>
        <v>0</v>
      </c>
      <c r="AA2" s="4">
        <f>L2*Rates!$D$6</f>
        <v>262375.36000000004</v>
      </c>
      <c r="AB2" s="4">
        <f>M2*Rates!$D$7</f>
        <v>122847.62880000003</v>
      </c>
      <c r="AC2" s="4">
        <f>N2*Rates!$D$8</f>
        <v>15523.2</v>
      </c>
      <c r="AD2" s="4">
        <f>O2*Rates!$D$9</f>
        <v>640</v>
      </c>
      <c r="AE2" s="4">
        <f>Q2*Rates!$D$10</f>
        <v>2242.2400000000002</v>
      </c>
      <c r="AF2" s="4">
        <f>R2*Rates!$D$11</f>
        <v>7761.6</v>
      </c>
      <c r="AG2" s="4">
        <f>S2*Rates!$D$12</f>
        <v>8106.5600000000013</v>
      </c>
      <c r="AH2" s="4">
        <f>T2*Rates!$D$13</f>
        <v>1552.3200000000002</v>
      </c>
      <c r="AI2" s="4">
        <f>U2*Rates!$D$14</f>
        <v>2414.7200000000003</v>
      </c>
      <c r="AJ2" s="4">
        <f>V2*Rates!$D$15</f>
        <v>43.120000000000005</v>
      </c>
      <c r="AK2" s="4">
        <f>W2*Rates!$D$16</f>
        <v>11426.800000000001</v>
      </c>
      <c r="AL2" s="4">
        <f>X2*Rates!$D$17</f>
        <v>162</v>
      </c>
      <c r="AM2" s="4">
        <f>Y2*Rates!$D$18</f>
        <v>754.60000000000014</v>
      </c>
      <c r="AN2" s="4">
        <f>Z2*Rates!$D$19</f>
        <v>0</v>
      </c>
      <c r="AO2" s="4">
        <f t="shared" ref="AO2:AO33" si="14">SUM(AA2:AN2)</f>
        <v>435850.14879999997</v>
      </c>
    </row>
    <row r="3" spans="1:41" x14ac:dyDescent="0.25">
      <c r="A3" s="3">
        <v>2</v>
      </c>
      <c r="B3" s="3" t="s">
        <v>241</v>
      </c>
      <c r="C3" s="3" t="s">
        <v>116</v>
      </c>
      <c r="D3" s="3" t="s">
        <v>242</v>
      </c>
      <c r="E3" s="3" t="s">
        <v>23</v>
      </c>
      <c r="F3" s="3">
        <v>16</v>
      </c>
      <c r="G3" s="3">
        <v>4</v>
      </c>
      <c r="H3" s="3">
        <v>2.5</v>
      </c>
      <c r="I3" s="3">
        <v>45</v>
      </c>
      <c r="J3" s="3" t="s">
        <v>243</v>
      </c>
      <c r="K3" s="4">
        <f>F3*G3+(F3+1)*Rates!$D$31</f>
        <v>68.25</v>
      </c>
      <c r="L3" s="4">
        <f>(F3*((G3+Rates!$D$31)*(H3+0.6)-G3*H3)+0.8)*I3</f>
        <v>2322.0000000000005</v>
      </c>
      <c r="M3" s="4">
        <f t="shared" si="0"/>
        <v>278.64000000000004</v>
      </c>
      <c r="N3" s="4">
        <f t="shared" si="1"/>
        <v>337.83750000000003</v>
      </c>
      <c r="O3" s="4">
        <f t="shared" si="2"/>
        <v>405</v>
      </c>
      <c r="P3" s="4">
        <f t="shared" si="3"/>
        <v>3378.3750000000005</v>
      </c>
      <c r="Q3" s="4">
        <f t="shared" si="4"/>
        <v>337.83750000000009</v>
      </c>
      <c r="R3" s="4">
        <f t="shared" si="5"/>
        <v>168.91875000000005</v>
      </c>
      <c r="S3" s="4">
        <f t="shared" si="6"/>
        <v>168.91875000000005</v>
      </c>
      <c r="T3" s="4">
        <f t="shared" si="7"/>
        <v>3378.3750000000005</v>
      </c>
      <c r="U3" s="4">
        <f t="shared" si="8"/>
        <v>6756.7500000000009</v>
      </c>
      <c r="V3" s="4">
        <f t="shared" si="9"/>
        <v>7.5075000000000012</v>
      </c>
      <c r="W3" s="4">
        <f t="shared" si="10"/>
        <v>150.15</v>
      </c>
      <c r="X3" s="4">
        <f t="shared" si="11"/>
        <v>38</v>
      </c>
      <c r="Y3" s="4">
        <f t="shared" si="12"/>
        <v>3603.6000000000004</v>
      </c>
      <c r="Z3" s="4">
        <f t="shared" si="13"/>
        <v>10135.125</v>
      </c>
      <c r="AA3" s="4">
        <f>L3*Rates!$D$6</f>
        <v>248221.80000000008</v>
      </c>
      <c r="AB3" s="4">
        <f>M3*Rates!$D$7</f>
        <v>116220.74400000002</v>
      </c>
      <c r="AC3" s="4">
        <f>N3*Rates!$D$8</f>
        <v>15202.687500000002</v>
      </c>
      <c r="AD3" s="4">
        <f>O3*Rates!$D$9</f>
        <v>810</v>
      </c>
      <c r="AE3" s="4">
        <f>Q3*Rates!$D$10</f>
        <v>2195.9437500000004</v>
      </c>
      <c r="AF3" s="4">
        <f>R3*Rates!$D$11</f>
        <v>7601.3437500000018</v>
      </c>
      <c r="AG3" s="4">
        <f>S3*Rates!$D$12</f>
        <v>7939.1812500000024</v>
      </c>
      <c r="AH3" s="4">
        <f>T3*Rates!$D$13</f>
        <v>1520.2687500000002</v>
      </c>
      <c r="AI3" s="4">
        <f>U3*Rates!$D$14</f>
        <v>2364.8625000000002</v>
      </c>
      <c r="AJ3" s="4">
        <f>V3*Rates!$D$15</f>
        <v>30.030000000000005</v>
      </c>
      <c r="AK3" s="4">
        <f>W3*Rates!$D$16</f>
        <v>7957.9500000000007</v>
      </c>
      <c r="AL3" s="4">
        <f>X3*Rates!$D$17</f>
        <v>114</v>
      </c>
      <c r="AM3" s="4">
        <f>Y3*Rates!$D$18</f>
        <v>720.72000000000014</v>
      </c>
      <c r="AN3" s="4">
        <f>Z3*Rates!$D$19</f>
        <v>40540.5</v>
      </c>
      <c r="AO3" s="4">
        <f t="shared" si="14"/>
        <v>451440.0315000001</v>
      </c>
    </row>
    <row r="4" spans="1:41" x14ac:dyDescent="0.25">
      <c r="A4" s="3">
        <v>3</v>
      </c>
      <c r="B4" s="3" t="s">
        <v>244</v>
      </c>
      <c r="C4" s="3" t="s">
        <v>116</v>
      </c>
      <c r="D4" s="3" t="s">
        <v>245</v>
      </c>
      <c r="E4" s="3" t="s">
        <v>23</v>
      </c>
      <c r="F4" s="3">
        <v>8</v>
      </c>
      <c r="G4" s="3">
        <v>4</v>
      </c>
      <c r="H4" s="3">
        <v>2.5</v>
      </c>
      <c r="I4" s="3">
        <v>45</v>
      </c>
      <c r="J4" s="3" t="s">
        <v>240</v>
      </c>
      <c r="K4" s="4">
        <f>F4*G4+(F4+1)*Rates!$D$31</f>
        <v>34.25</v>
      </c>
      <c r="L4" s="4">
        <f>(F4*((G4+Rates!$D$31)*(H4+0.6)-G4*H4)+0.8)*I4</f>
        <v>1179.0000000000002</v>
      </c>
      <c r="M4" s="4">
        <f t="shared" si="0"/>
        <v>141.48000000000002</v>
      </c>
      <c r="N4" s="4">
        <f t="shared" si="1"/>
        <v>169.53750000000002</v>
      </c>
      <c r="O4" s="4">
        <f t="shared" si="2"/>
        <v>405</v>
      </c>
      <c r="P4" s="4">
        <f t="shared" si="3"/>
        <v>1695.3750000000002</v>
      </c>
      <c r="Q4" s="4">
        <f t="shared" si="4"/>
        <v>169.53750000000002</v>
      </c>
      <c r="R4" s="4">
        <f t="shared" si="5"/>
        <v>84.768750000000011</v>
      </c>
      <c r="S4" s="4">
        <f t="shared" si="6"/>
        <v>84.768750000000011</v>
      </c>
      <c r="T4" s="4">
        <f t="shared" si="7"/>
        <v>1695.3750000000002</v>
      </c>
      <c r="U4" s="4">
        <f t="shared" si="8"/>
        <v>3390.7500000000005</v>
      </c>
      <c r="V4" s="4">
        <f t="shared" si="9"/>
        <v>3.7675000000000005</v>
      </c>
      <c r="W4" s="4">
        <f t="shared" si="10"/>
        <v>75.350000000000009</v>
      </c>
      <c r="X4" s="4">
        <f t="shared" si="11"/>
        <v>19</v>
      </c>
      <c r="Y4" s="4">
        <f t="shared" si="12"/>
        <v>1808.4</v>
      </c>
      <c r="Z4" s="4">
        <f t="shared" si="13"/>
        <v>0</v>
      </c>
      <c r="AA4" s="4">
        <f>L4*Rates!$D$6</f>
        <v>126035.10000000003</v>
      </c>
      <c r="AB4" s="4">
        <f>M4*Rates!$D$7</f>
        <v>59011.308000000012</v>
      </c>
      <c r="AC4" s="4">
        <f>N4*Rates!$D$8</f>
        <v>7629.1875000000009</v>
      </c>
      <c r="AD4" s="4">
        <f>O4*Rates!$D$9</f>
        <v>810</v>
      </c>
      <c r="AE4" s="4">
        <f>Q4*Rates!$D$10</f>
        <v>1101.9937500000001</v>
      </c>
      <c r="AF4" s="4">
        <f>R4*Rates!$D$11</f>
        <v>3814.5937500000005</v>
      </c>
      <c r="AG4" s="4">
        <f>S4*Rates!$D$12</f>
        <v>3984.1312500000004</v>
      </c>
      <c r="AH4" s="4">
        <f>T4*Rates!$D$13</f>
        <v>762.91875000000016</v>
      </c>
      <c r="AI4" s="4">
        <f>U4*Rates!$D$14</f>
        <v>1186.7625</v>
      </c>
      <c r="AJ4" s="4">
        <f>V4*Rates!$D$15</f>
        <v>15.070000000000002</v>
      </c>
      <c r="AK4" s="4">
        <f>W4*Rates!$D$16</f>
        <v>3993.5500000000006</v>
      </c>
      <c r="AL4" s="4">
        <f>X4*Rates!$D$17</f>
        <v>57</v>
      </c>
      <c r="AM4" s="4">
        <f>Y4*Rates!$D$18</f>
        <v>361.68000000000006</v>
      </c>
      <c r="AN4" s="4">
        <f>Z4*Rates!$D$19</f>
        <v>0</v>
      </c>
      <c r="AO4" s="4">
        <f t="shared" si="14"/>
        <v>208763.29550000007</v>
      </c>
    </row>
    <row r="5" spans="1:41" x14ac:dyDescent="0.25">
      <c r="A5" s="3">
        <v>4</v>
      </c>
      <c r="B5" s="3" t="s">
        <v>241</v>
      </c>
      <c r="C5" s="3" t="s">
        <v>118</v>
      </c>
      <c r="D5" s="3" t="s">
        <v>246</v>
      </c>
      <c r="E5" s="3" t="s">
        <v>23</v>
      </c>
      <c r="F5" s="3">
        <v>14</v>
      </c>
      <c r="G5" s="3">
        <v>4</v>
      </c>
      <c r="H5" s="3">
        <v>2.5</v>
      </c>
      <c r="I5" s="3">
        <v>45</v>
      </c>
      <c r="J5" s="3" t="s">
        <v>243</v>
      </c>
      <c r="K5" s="4">
        <f>F5*G5+(F5+1)*Rates!$D$31</f>
        <v>59.75</v>
      </c>
      <c r="L5" s="4">
        <f>(F5*((G5+Rates!$D$31)*(H5+0.6)-G5*H5)+0.8)*I5</f>
        <v>2036.2500000000002</v>
      </c>
      <c r="M5" s="4">
        <f t="shared" si="0"/>
        <v>244.35000000000002</v>
      </c>
      <c r="N5" s="4">
        <f t="shared" si="1"/>
        <v>295.76250000000005</v>
      </c>
      <c r="O5" s="4">
        <f t="shared" si="2"/>
        <v>405</v>
      </c>
      <c r="P5" s="4">
        <f t="shared" si="3"/>
        <v>2957.6250000000005</v>
      </c>
      <c r="Q5" s="4">
        <f t="shared" si="4"/>
        <v>295.76250000000005</v>
      </c>
      <c r="R5" s="4">
        <f t="shared" si="5"/>
        <v>147.88125000000002</v>
      </c>
      <c r="S5" s="4">
        <f t="shared" si="6"/>
        <v>147.88125000000002</v>
      </c>
      <c r="T5" s="4">
        <f t="shared" si="7"/>
        <v>2957.6250000000005</v>
      </c>
      <c r="U5" s="4">
        <f t="shared" si="8"/>
        <v>5915.2500000000009</v>
      </c>
      <c r="V5" s="4">
        <f t="shared" si="9"/>
        <v>6.5725000000000007</v>
      </c>
      <c r="W5" s="4">
        <f t="shared" si="10"/>
        <v>131.45000000000002</v>
      </c>
      <c r="X5" s="4">
        <f t="shared" si="11"/>
        <v>33</v>
      </c>
      <c r="Y5" s="4">
        <f t="shared" si="12"/>
        <v>3154.8</v>
      </c>
      <c r="Z5" s="4">
        <f t="shared" si="13"/>
        <v>8872.875</v>
      </c>
      <c r="AA5" s="4">
        <f>L5*Rates!$D$6</f>
        <v>217675.12500000003</v>
      </c>
      <c r="AB5" s="4">
        <f>M5*Rates!$D$7</f>
        <v>101918.38500000001</v>
      </c>
      <c r="AC5" s="4">
        <f>N5*Rates!$D$8</f>
        <v>13309.312500000002</v>
      </c>
      <c r="AD5" s="4">
        <f>O5*Rates!$D$9</f>
        <v>810</v>
      </c>
      <c r="AE5" s="4">
        <f>Q5*Rates!$D$10</f>
        <v>1922.4562500000002</v>
      </c>
      <c r="AF5" s="4">
        <f>R5*Rates!$D$11</f>
        <v>6654.6562500000009</v>
      </c>
      <c r="AG5" s="4">
        <f>S5*Rates!$D$12</f>
        <v>6950.4187500000007</v>
      </c>
      <c r="AH5" s="4">
        <f>T5*Rates!$D$13</f>
        <v>1330.9312500000003</v>
      </c>
      <c r="AI5" s="4">
        <f>U5*Rates!$D$14</f>
        <v>2070.3375000000001</v>
      </c>
      <c r="AJ5" s="4">
        <f>V5*Rates!$D$15</f>
        <v>26.290000000000003</v>
      </c>
      <c r="AK5" s="4">
        <f>W5*Rates!$D$16</f>
        <v>6966.8500000000013</v>
      </c>
      <c r="AL5" s="4">
        <f>X5*Rates!$D$17</f>
        <v>99</v>
      </c>
      <c r="AM5" s="4">
        <f>Y5*Rates!$D$18</f>
        <v>630.96</v>
      </c>
      <c r="AN5" s="4">
        <f>Z5*Rates!$D$19</f>
        <v>35491.5</v>
      </c>
      <c r="AO5" s="4">
        <f t="shared" si="14"/>
        <v>395856.22250000003</v>
      </c>
    </row>
    <row r="6" spans="1:41" x14ac:dyDescent="0.25">
      <c r="A6" s="3">
        <v>5</v>
      </c>
      <c r="B6" s="3" t="s">
        <v>244</v>
      </c>
      <c r="C6" s="3" t="s">
        <v>118</v>
      </c>
      <c r="D6" s="3" t="s">
        <v>247</v>
      </c>
      <c r="E6" s="3" t="s">
        <v>23</v>
      </c>
      <c r="F6" s="3">
        <v>8</v>
      </c>
      <c r="G6" s="3">
        <v>4</v>
      </c>
      <c r="H6" s="3">
        <v>2.5</v>
      </c>
      <c r="I6" s="3">
        <v>45</v>
      </c>
      <c r="J6" s="3" t="s">
        <v>240</v>
      </c>
      <c r="K6" s="4">
        <f>F6*G6+(F6+1)*Rates!$D$31</f>
        <v>34.25</v>
      </c>
      <c r="L6" s="4">
        <f>(F6*((G6+Rates!$D$31)*(H6+0.6)-G6*H6)+0.8)*I6</f>
        <v>1179.0000000000002</v>
      </c>
      <c r="M6" s="4">
        <f t="shared" si="0"/>
        <v>141.48000000000002</v>
      </c>
      <c r="N6" s="4">
        <f t="shared" si="1"/>
        <v>169.53750000000002</v>
      </c>
      <c r="O6" s="4">
        <f t="shared" si="2"/>
        <v>405</v>
      </c>
      <c r="P6" s="4">
        <f t="shared" si="3"/>
        <v>1695.3750000000002</v>
      </c>
      <c r="Q6" s="4">
        <f t="shared" si="4"/>
        <v>169.53750000000002</v>
      </c>
      <c r="R6" s="4">
        <f t="shared" si="5"/>
        <v>84.768750000000011</v>
      </c>
      <c r="S6" s="4">
        <f t="shared" si="6"/>
        <v>84.768750000000011</v>
      </c>
      <c r="T6" s="4">
        <f t="shared" si="7"/>
        <v>1695.3750000000002</v>
      </c>
      <c r="U6" s="4">
        <f t="shared" si="8"/>
        <v>3390.7500000000005</v>
      </c>
      <c r="V6" s="4">
        <f t="shared" si="9"/>
        <v>3.7675000000000005</v>
      </c>
      <c r="W6" s="4">
        <f t="shared" si="10"/>
        <v>75.350000000000009</v>
      </c>
      <c r="X6" s="4">
        <f t="shared" si="11"/>
        <v>19</v>
      </c>
      <c r="Y6" s="4">
        <f t="shared" si="12"/>
        <v>1808.4</v>
      </c>
      <c r="Z6" s="4">
        <f t="shared" si="13"/>
        <v>0</v>
      </c>
      <c r="AA6" s="4">
        <f>L6*Rates!$D$6</f>
        <v>126035.10000000003</v>
      </c>
      <c r="AB6" s="4">
        <f>M6*Rates!$D$7</f>
        <v>59011.308000000012</v>
      </c>
      <c r="AC6" s="4">
        <f>N6*Rates!$D$8</f>
        <v>7629.1875000000009</v>
      </c>
      <c r="AD6" s="4">
        <f>O6*Rates!$D$9</f>
        <v>810</v>
      </c>
      <c r="AE6" s="4">
        <f>Q6*Rates!$D$10</f>
        <v>1101.9937500000001</v>
      </c>
      <c r="AF6" s="4">
        <f>R6*Rates!$D$11</f>
        <v>3814.5937500000005</v>
      </c>
      <c r="AG6" s="4">
        <f>S6*Rates!$D$12</f>
        <v>3984.1312500000004</v>
      </c>
      <c r="AH6" s="4">
        <f>T6*Rates!$D$13</f>
        <v>762.91875000000016</v>
      </c>
      <c r="AI6" s="4">
        <f>U6*Rates!$D$14</f>
        <v>1186.7625</v>
      </c>
      <c r="AJ6" s="4">
        <f>V6*Rates!$D$15</f>
        <v>15.070000000000002</v>
      </c>
      <c r="AK6" s="4">
        <f>W6*Rates!$D$16</f>
        <v>3993.5500000000006</v>
      </c>
      <c r="AL6" s="4">
        <f>X6*Rates!$D$17</f>
        <v>57</v>
      </c>
      <c r="AM6" s="4">
        <f>Y6*Rates!$D$18</f>
        <v>361.68000000000006</v>
      </c>
      <c r="AN6" s="4">
        <f>Z6*Rates!$D$19</f>
        <v>0</v>
      </c>
      <c r="AO6" s="4">
        <f t="shared" si="14"/>
        <v>208763.29550000007</v>
      </c>
    </row>
    <row r="7" spans="1:41" x14ac:dyDescent="0.25">
      <c r="A7" s="3">
        <v>6</v>
      </c>
      <c r="B7" s="3" t="s">
        <v>241</v>
      </c>
      <c r="C7" s="3" t="s">
        <v>122</v>
      </c>
      <c r="D7" s="3" t="s">
        <v>248</v>
      </c>
      <c r="E7" s="3" t="s">
        <v>23</v>
      </c>
      <c r="F7" s="3">
        <v>12</v>
      </c>
      <c r="G7" s="3">
        <v>4</v>
      </c>
      <c r="H7" s="3">
        <v>2.5</v>
      </c>
      <c r="I7" s="3">
        <v>45</v>
      </c>
      <c r="J7" s="3" t="s">
        <v>240</v>
      </c>
      <c r="K7" s="4">
        <f>F7*G7+(F7+1)*Rates!$D$31</f>
        <v>51.25</v>
      </c>
      <c r="L7" s="4">
        <f>(F7*((G7+Rates!$D$31)*(H7+0.6)-G7*H7)+0.8)*I7</f>
        <v>1750.5000000000002</v>
      </c>
      <c r="M7" s="4">
        <f t="shared" si="0"/>
        <v>210.06000000000003</v>
      </c>
      <c r="N7" s="4">
        <f t="shared" si="1"/>
        <v>253.68750000000003</v>
      </c>
      <c r="O7" s="4">
        <f t="shared" si="2"/>
        <v>405</v>
      </c>
      <c r="P7" s="4">
        <f t="shared" si="3"/>
        <v>2536.875</v>
      </c>
      <c r="Q7" s="4">
        <f t="shared" si="4"/>
        <v>253.6875</v>
      </c>
      <c r="R7" s="4">
        <f t="shared" si="5"/>
        <v>126.84375</v>
      </c>
      <c r="S7" s="4">
        <f t="shared" si="6"/>
        <v>126.84375</v>
      </c>
      <c r="T7" s="4">
        <f t="shared" si="7"/>
        <v>2536.875</v>
      </c>
      <c r="U7" s="4">
        <f t="shared" si="8"/>
        <v>5073.75</v>
      </c>
      <c r="V7" s="4">
        <f t="shared" si="9"/>
        <v>5.6375000000000002</v>
      </c>
      <c r="W7" s="4">
        <f t="shared" si="10"/>
        <v>112.75000000000001</v>
      </c>
      <c r="X7" s="4">
        <f t="shared" si="11"/>
        <v>29</v>
      </c>
      <c r="Y7" s="4">
        <f t="shared" si="12"/>
        <v>2706</v>
      </c>
      <c r="Z7" s="4">
        <f t="shared" si="13"/>
        <v>0</v>
      </c>
      <c r="AA7" s="4">
        <f>L7*Rates!$D$6</f>
        <v>187128.45000000004</v>
      </c>
      <c r="AB7" s="4">
        <f>M7*Rates!$D$7</f>
        <v>87616.026000000013</v>
      </c>
      <c r="AC7" s="4">
        <f>N7*Rates!$D$8</f>
        <v>11415.937500000002</v>
      </c>
      <c r="AD7" s="4">
        <f>O7*Rates!$D$9</f>
        <v>810</v>
      </c>
      <c r="AE7" s="4">
        <f>Q7*Rates!$D$10</f>
        <v>1648.96875</v>
      </c>
      <c r="AF7" s="4">
        <f>R7*Rates!$D$11</f>
        <v>5707.96875</v>
      </c>
      <c r="AG7" s="4">
        <f>S7*Rates!$D$12</f>
        <v>5961.65625</v>
      </c>
      <c r="AH7" s="4">
        <f>T7*Rates!$D$13</f>
        <v>1141.59375</v>
      </c>
      <c r="AI7" s="4">
        <f>U7*Rates!$D$14</f>
        <v>1775.8125</v>
      </c>
      <c r="AJ7" s="4">
        <f>V7*Rates!$D$15</f>
        <v>22.55</v>
      </c>
      <c r="AK7" s="4">
        <f>W7*Rates!$D$16</f>
        <v>5975.7500000000009</v>
      </c>
      <c r="AL7" s="4">
        <f>X7*Rates!$D$17</f>
        <v>87</v>
      </c>
      <c r="AM7" s="4">
        <f>Y7*Rates!$D$18</f>
        <v>541.20000000000005</v>
      </c>
      <c r="AN7" s="4">
        <f>Z7*Rates!$D$19</f>
        <v>0</v>
      </c>
      <c r="AO7" s="4">
        <f t="shared" si="14"/>
        <v>309832.91350000002</v>
      </c>
    </row>
    <row r="8" spans="1:41" x14ac:dyDescent="0.25">
      <c r="A8" s="3">
        <v>7</v>
      </c>
      <c r="B8" s="3" t="s">
        <v>244</v>
      </c>
      <c r="C8" s="3" t="s">
        <v>122</v>
      </c>
      <c r="D8" s="3" t="s">
        <v>249</v>
      </c>
      <c r="E8" s="3" t="s">
        <v>23</v>
      </c>
      <c r="F8" s="3">
        <v>6</v>
      </c>
      <c r="G8" s="3">
        <v>4</v>
      </c>
      <c r="H8" s="3">
        <v>2.5</v>
      </c>
      <c r="I8" s="3">
        <v>45</v>
      </c>
      <c r="J8" s="3" t="s">
        <v>240</v>
      </c>
      <c r="K8" s="4">
        <f>F8*G8+(F8+1)*Rates!$D$31</f>
        <v>25.75</v>
      </c>
      <c r="L8" s="4">
        <f>(F8*((G8+Rates!$D$31)*(H8+0.6)-G8*H8)+0.8)*I8</f>
        <v>893.25000000000023</v>
      </c>
      <c r="M8" s="4">
        <f t="shared" si="0"/>
        <v>107.19000000000003</v>
      </c>
      <c r="N8" s="4">
        <f t="shared" si="1"/>
        <v>127.46250000000001</v>
      </c>
      <c r="O8" s="4">
        <f t="shared" si="2"/>
        <v>405</v>
      </c>
      <c r="P8" s="4">
        <f t="shared" si="3"/>
        <v>1274.625</v>
      </c>
      <c r="Q8" s="4">
        <f t="shared" si="4"/>
        <v>127.46250000000001</v>
      </c>
      <c r="R8" s="4">
        <f t="shared" si="5"/>
        <v>63.731250000000003</v>
      </c>
      <c r="S8" s="4">
        <f t="shared" si="6"/>
        <v>63.731250000000003</v>
      </c>
      <c r="T8" s="4">
        <f t="shared" si="7"/>
        <v>1274.625</v>
      </c>
      <c r="U8" s="4">
        <f t="shared" si="8"/>
        <v>2549.25</v>
      </c>
      <c r="V8" s="4">
        <f t="shared" si="9"/>
        <v>2.8325000000000005</v>
      </c>
      <c r="W8" s="4">
        <f t="shared" si="10"/>
        <v>56.650000000000006</v>
      </c>
      <c r="X8" s="4">
        <f t="shared" si="11"/>
        <v>15</v>
      </c>
      <c r="Y8" s="4">
        <f t="shared" si="12"/>
        <v>1359.6000000000001</v>
      </c>
      <c r="Z8" s="4">
        <f t="shared" si="13"/>
        <v>0</v>
      </c>
      <c r="AA8" s="4">
        <f>L8*Rates!$D$6</f>
        <v>95488.425000000032</v>
      </c>
      <c r="AB8" s="4">
        <f>M8*Rates!$D$7</f>
        <v>44708.949000000015</v>
      </c>
      <c r="AC8" s="4">
        <f>N8*Rates!$D$8</f>
        <v>5735.8125</v>
      </c>
      <c r="AD8" s="4">
        <f>O8*Rates!$D$9</f>
        <v>810</v>
      </c>
      <c r="AE8" s="4">
        <f>Q8*Rates!$D$10</f>
        <v>828.50625000000002</v>
      </c>
      <c r="AF8" s="4">
        <f>R8*Rates!$D$11</f>
        <v>2867.90625</v>
      </c>
      <c r="AG8" s="4">
        <f>S8*Rates!$D$12</f>
        <v>2995.3687500000001</v>
      </c>
      <c r="AH8" s="4">
        <f>T8*Rates!$D$13</f>
        <v>573.58125000000007</v>
      </c>
      <c r="AI8" s="4">
        <f>U8*Rates!$D$14</f>
        <v>892.23749999999995</v>
      </c>
      <c r="AJ8" s="4">
        <f>V8*Rates!$D$15</f>
        <v>11.330000000000002</v>
      </c>
      <c r="AK8" s="4">
        <f>W8*Rates!$D$16</f>
        <v>3002.4500000000003</v>
      </c>
      <c r="AL8" s="4">
        <f>X8*Rates!$D$17</f>
        <v>45</v>
      </c>
      <c r="AM8" s="4">
        <f>Y8*Rates!$D$18</f>
        <v>271.92</v>
      </c>
      <c r="AN8" s="4">
        <f>Z8*Rates!$D$19</f>
        <v>0</v>
      </c>
      <c r="AO8" s="4">
        <f t="shared" si="14"/>
        <v>158231.48650000003</v>
      </c>
    </row>
    <row r="9" spans="1:41" x14ac:dyDescent="0.25">
      <c r="A9" s="3">
        <v>8</v>
      </c>
      <c r="B9" s="3" t="s">
        <v>238</v>
      </c>
      <c r="C9" s="3" t="s">
        <v>124</v>
      </c>
      <c r="D9" s="3" t="s">
        <v>250</v>
      </c>
      <c r="E9" s="3" t="s">
        <v>23</v>
      </c>
      <c r="F9" s="3">
        <v>8</v>
      </c>
      <c r="G9" s="3">
        <v>4</v>
      </c>
      <c r="H9" s="3">
        <v>2.5</v>
      </c>
      <c r="I9" s="3">
        <v>32</v>
      </c>
      <c r="J9" s="3" t="s">
        <v>240</v>
      </c>
      <c r="K9" s="4">
        <f>F9*G9+(F9+1)*Rates!$D$31</f>
        <v>34.25</v>
      </c>
      <c r="L9" s="4">
        <f>(F9*((G9+Rates!$D$31)*(H9+0.6)-G9*H9)+0.8)*I9</f>
        <v>838.4000000000002</v>
      </c>
      <c r="M9" s="4">
        <f t="shared" si="0"/>
        <v>100.60800000000002</v>
      </c>
      <c r="N9" s="4">
        <f t="shared" si="1"/>
        <v>120.56000000000002</v>
      </c>
      <c r="O9" s="4">
        <f t="shared" si="2"/>
        <v>288</v>
      </c>
      <c r="P9" s="4">
        <f t="shared" si="3"/>
        <v>1205.6000000000001</v>
      </c>
      <c r="Q9" s="4">
        <f t="shared" si="4"/>
        <v>120.56000000000002</v>
      </c>
      <c r="R9" s="4">
        <f t="shared" si="5"/>
        <v>60.280000000000008</v>
      </c>
      <c r="S9" s="4">
        <f t="shared" si="6"/>
        <v>60.280000000000008</v>
      </c>
      <c r="T9" s="4">
        <f t="shared" si="7"/>
        <v>1205.6000000000001</v>
      </c>
      <c r="U9" s="4">
        <f t="shared" si="8"/>
        <v>2411.2000000000003</v>
      </c>
      <c r="V9" s="4">
        <f t="shared" si="9"/>
        <v>3.7675000000000005</v>
      </c>
      <c r="W9" s="4">
        <f t="shared" si="10"/>
        <v>75.350000000000009</v>
      </c>
      <c r="X9" s="4">
        <f t="shared" si="11"/>
        <v>19</v>
      </c>
      <c r="Y9" s="4">
        <f t="shared" si="12"/>
        <v>1318.625</v>
      </c>
      <c r="Z9" s="4">
        <f t="shared" si="13"/>
        <v>0</v>
      </c>
      <c r="AA9" s="4">
        <f>L9*Rates!$D$6</f>
        <v>89624.960000000021</v>
      </c>
      <c r="AB9" s="4">
        <f>M9*Rates!$D$7</f>
        <v>41963.596800000007</v>
      </c>
      <c r="AC9" s="4">
        <f>N9*Rates!$D$8</f>
        <v>5425.2000000000007</v>
      </c>
      <c r="AD9" s="4">
        <f>O9*Rates!$D$9</f>
        <v>576</v>
      </c>
      <c r="AE9" s="4">
        <f>Q9*Rates!$D$10</f>
        <v>783.6400000000001</v>
      </c>
      <c r="AF9" s="4">
        <f>R9*Rates!$D$11</f>
        <v>2712.6000000000004</v>
      </c>
      <c r="AG9" s="4">
        <f>S9*Rates!$D$12</f>
        <v>2833.1600000000003</v>
      </c>
      <c r="AH9" s="4">
        <f>T9*Rates!$D$13</f>
        <v>542.5200000000001</v>
      </c>
      <c r="AI9" s="4">
        <f>U9*Rates!$D$14</f>
        <v>843.92000000000007</v>
      </c>
      <c r="AJ9" s="4">
        <f>V9*Rates!$D$15</f>
        <v>15.070000000000002</v>
      </c>
      <c r="AK9" s="4">
        <f>W9*Rates!$D$16</f>
        <v>3993.5500000000006</v>
      </c>
      <c r="AL9" s="4">
        <f>X9*Rates!$D$17</f>
        <v>57</v>
      </c>
      <c r="AM9" s="4">
        <f>Y9*Rates!$D$18</f>
        <v>263.72500000000002</v>
      </c>
      <c r="AN9" s="4">
        <f>Z9*Rates!$D$19</f>
        <v>0</v>
      </c>
      <c r="AO9" s="4">
        <f t="shared" si="14"/>
        <v>149634.94180000006</v>
      </c>
    </row>
    <row r="10" spans="1:41" x14ac:dyDescent="0.25">
      <c r="A10" s="3">
        <v>9</v>
      </c>
      <c r="B10" s="3" t="s">
        <v>241</v>
      </c>
      <c r="C10" s="3" t="s">
        <v>124</v>
      </c>
      <c r="D10" s="3" t="s">
        <v>251</v>
      </c>
      <c r="E10" s="3" t="s">
        <v>23</v>
      </c>
      <c r="F10" s="3">
        <v>5</v>
      </c>
      <c r="G10" s="3">
        <v>4</v>
      </c>
      <c r="H10" s="3">
        <v>2.5</v>
      </c>
      <c r="I10" s="3">
        <v>45</v>
      </c>
      <c r="J10" s="3" t="s">
        <v>240</v>
      </c>
      <c r="K10" s="4">
        <f>F10*G10+(F10+1)*Rates!$D$31</f>
        <v>21.5</v>
      </c>
      <c r="L10" s="4">
        <f>(F10*((G10+Rates!$D$31)*(H10+0.6)-G10*H10)+0.8)*I10</f>
        <v>750.37500000000023</v>
      </c>
      <c r="M10" s="4">
        <f t="shared" si="0"/>
        <v>90.04500000000003</v>
      </c>
      <c r="N10" s="4">
        <f t="shared" si="1"/>
        <v>106.42500000000001</v>
      </c>
      <c r="O10" s="4">
        <f t="shared" si="2"/>
        <v>405</v>
      </c>
      <c r="P10" s="4">
        <f t="shared" si="3"/>
        <v>1064.25</v>
      </c>
      <c r="Q10" s="4">
        <f t="shared" si="4"/>
        <v>106.42500000000001</v>
      </c>
      <c r="R10" s="4">
        <f t="shared" si="5"/>
        <v>53.212500000000006</v>
      </c>
      <c r="S10" s="4">
        <f t="shared" si="6"/>
        <v>53.212500000000006</v>
      </c>
      <c r="T10" s="4">
        <f t="shared" si="7"/>
        <v>1064.25</v>
      </c>
      <c r="U10" s="4">
        <f t="shared" si="8"/>
        <v>2128.5</v>
      </c>
      <c r="V10" s="4">
        <f t="shared" si="9"/>
        <v>2.3650000000000002</v>
      </c>
      <c r="W10" s="4">
        <f t="shared" si="10"/>
        <v>47.300000000000004</v>
      </c>
      <c r="X10" s="4">
        <f t="shared" si="11"/>
        <v>12</v>
      </c>
      <c r="Y10" s="4">
        <f t="shared" si="12"/>
        <v>1135.2</v>
      </c>
      <c r="Z10" s="4">
        <f t="shared" si="13"/>
        <v>0</v>
      </c>
      <c r="AA10" s="4">
        <f>L10*Rates!$D$6</f>
        <v>80215.087500000023</v>
      </c>
      <c r="AB10" s="4">
        <f>M10*Rates!$D$7</f>
        <v>37557.769500000017</v>
      </c>
      <c r="AC10" s="4">
        <f>N10*Rates!$D$8</f>
        <v>4789.1250000000009</v>
      </c>
      <c r="AD10" s="4">
        <f>O10*Rates!$D$9</f>
        <v>810</v>
      </c>
      <c r="AE10" s="4">
        <f>Q10*Rates!$D$10</f>
        <v>691.76250000000005</v>
      </c>
      <c r="AF10" s="4">
        <f>R10*Rates!$D$11</f>
        <v>2394.5625000000005</v>
      </c>
      <c r="AG10" s="4">
        <f>S10*Rates!$D$12</f>
        <v>2500.9875000000002</v>
      </c>
      <c r="AH10" s="4">
        <f>T10*Rates!$D$13</f>
        <v>478.91250000000002</v>
      </c>
      <c r="AI10" s="4">
        <f>U10*Rates!$D$14</f>
        <v>744.97499999999991</v>
      </c>
      <c r="AJ10" s="4">
        <f>V10*Rates!$D$15</f>
        <v>9.4600000000000009</v>
      </c>
      <c r="AK10" s="4">
        <f>W10*Rates!$D$16</f>
        <v>2506.9</v>
      </c>
      <c r="AL10" s="4">
        <f>X10*Rates!$D$17</f>
        <v>36</v>
      </c>
      <c r="AM10" s="4">
        <f>Y10*Rates!$D$18</f>
        <v>227.04000000000002</v>
      </c>
      <c r="AN10" s="4">
        <f>Z10*Rates!$D$19</f>
        <v>0</v>
      </c>
      <c r="AO10" s="4">
        <f t="shared" si="14"/>
        <v>132962.58200000008</v>
      </c>
    </row>
    <row r="11" spans="1:41" x14ac:dyDescent="0.25">
      <c r="A11" s="3">
        <v>10</v>
      </c>
      <c r="B11" s="3" t="s">
        <v>244</v>
      </c>
      <c r="C11" s="3" t="s">
        <v>124</v>
      </c>
      <c r="D11" s="3" t="s">
        <v>252</v>
      </c>
      <c r="E11" s="3" t="s">
        <v>23</v>
      </c>
      <c r="F11" s="3">
        <v>4</v>
      </c>
      <c r="G11" s="3">
        <v>4</v>
      </c>
      <c r="H11" s="3">
        <v>2.5</v>
      </c>
      <c r="I11" s="3">
        <v>45</v>
      </c>
      <c r="J11" s="3" t="s">
        <v>240</v>
      </c>
      <c r="K11" s="4">
        <f>F11*G11+(F11+1)*Rates!$D$31</f>
        <v>17.25</v>
      </c>
      <c r="L11" s="4">
        <f>(F11*((G11+Rates!$D$31)*(H11+0.6)-G11*H11)+0.8)*I11</f>
        <v>607.50000000000011</v>
      </c>
      <c r="M11" s="4">
        <f t="shared" si="0"/>
        <v>72.900000000000006</v>
      </c>
      <c r="N11" s="4">
        <f t="shared" si="1"/>
        <v>85.387500000000003</v>
      </c>
      <c r="O11" s="4">
        <f t="shared" si="2"/>
        <v>405</v>
      </c>
      <c r="P11" s="4">
        <f t="shared" si="3"/>
        <v>853.87500000000011</v>
      </c>
      <c r="Q11" s="4">
        <f t="shared" si="4"/>
        <v>85.387500000000017</v>
      </c>
      <c r="R11" s="4">
        <f t="shared" si="5"/>
        <v>42.693750000000009</v>
      </c>
      <c r="S11" s="4">
        <f t="shared" si="6"/>
        <v>42.693750000000009</v>
      </c>
      <c r="T11" s="4">
        <f t="shared" si="7"/>
        <v>853.87500000000011</v>
      </c>
      <c r="U11" s="4">
        <f t="shared" si="8"/>
        <v>1707.7500000000002</v>
      </c>
      <c r="V11" s="4">
        <f t="shared" si="9"/>
        <v>1.8975000000000002</v>
      </c>
      <c r="W11" s="4">
        <f t="shared" si="10"/>
        <v>37.950000000000003</v>
      </c>
      <c r="X11" s="4">
        <f t="shared" si="11"/>
        <v>10</v>
      </c>
      <c r="Y11" s="4">
        <f t="shared" si="12"/>
        <v>910.80000000000007</v>
      </c>
      <c r="Z11" s="4">
        <f t="shared" si="13"/>
        <v>0</v>
      </c>
      <c r="AA11" s="4">
        <f>L11*Rates!$D$6</f>
        <v>64941.750000000015</v>
      </c>
      <c r="AB11" s="4">
        <f>M11*Rates!$D$7</f>
        <v>30406.590000000004</v>
      </c>
      <c r="AC11" s="4">
        <f>N11*Rates!$D$8</f>
        <v>3842.4375</v>
      </c>
      <c r="AD11" s="4">
        <f>O11*Rates!$D$9</f>
        <v>810</v>
      </c>
      <c r="AE11" s="4">
        <f>Q11*Rates!$D$10</f>
        <v>555.01875000000007</v>
      </c>
      <c r="AF11" s="4">
        <f>R11*Rates!$D$11</f>
        <v>1921.2187500000005</v>
      </c>
      <c r="AG11" s="4">
        <f>S11*Rates!$D$12</f>
        <v>2006.6062500000005</v>
      </c>
      <c r="AH11" s="4">
        <f>T11*Rates!$D$13</f>
        <v>384.24375000000003</v>
      </c>
      <c r="AI11" s="4">
        <f>U11*Rates!$D$14</f>
        <v>597.71250000000009</v>
      </c>
      <c r="AJ11" s="4">
        <f>V11*Rates!$D$15</f>
        <v>7.5900000000000007</v>
      </c>
      <c r="AK11" s="4">
        <f>W11*Rates!$D$16</f>
        <v>2011.3500000000001</v>
      </c>
      <c r="AL11" s="4">
        <f>X11*Rates!$D$17</f>
        <v>30</v>
      </c>
      <c r="AM11" s="4">
        <f>Y11*Rates!$D$18</f>
        <v>182.16000000000003</v>
      </c>
      <c r="AN11" s="4">
        <f>Z11*Rates!$D$19</f>
        <v>0</v>
      </c>
      <c r="AO11" s="4">
        <f t="shared" si="14"/>
        <v>107696.67750000002</v>
      </c>
    </row>
    <row r="12" spans="1:41" x14ac:dyDescent="0.25">
      <c r="A12" s="3">
        <v>11</v>
      </c>
      <c r="B12" s="3" t="s">
        <v>238</v>
      </c>
      <c r="C12" s="3" t="s">
        <v>125</v>
      </c>
      <c r="D12" s="3" t="s">
        <v>253</v>
      </c>
      <c r="E12" s="3" t="s">
        <v>24</v>
      </c>
      <c r="F12" s="3">
        <v>55</v>
      </c>
      <c r="G12" s="3">
        <v>4</v>
      </c>
      <c r="H12" s="3">
        <v>3</v>
      </c>
      <c r="I12" s="3">
        <v>32</v>
      </c>
      <c r="J12" s="3" t="s">
        <v>240</v>
      </c>
      <c r="K12" s="4">
        <f>F12*G12+(F12+1)*Rates!$D$31</f>
        <v>234</v>
      </c>
      <c r="L12" s="4">
        <f>(F12*((G12+Rates!$D$31)*(H12+0.6)-G12*H12)+0.8)*I12</f>
        <v>5833.6000000000013</v>
      </c>
      <c r="M12" s="4">
        <f t="shared" si="0"/>
        <v>700.03200000000015</v>
      </c>
      <c r="N12" s="4">
        <f t="shared" si="1"/>
        <v>823.68000000000018</v>
      </c>
      <c r="O12" s="4">
        <f t="shared" si="2"/>
        <v>320</v>
      </c>
      <c r="P12" s="4">
        <f t="shared" si="3"/>
        <v>8236.8000000000011</v>
      </c>
      <c r="Q12" s="4">
        <f t="shared" si="4"/>
        <v>823.68000000000018</v>
      </c>
      <c r="R12" s="4">
        <f t="shared" si="5"/>
        <v>411.84000000000009</v>
      </c>
      <c r="S12" s="4">
        <f t="shared" si="6"/>
        <v>411.84000000000009</v>
      </c>
      <c r="T12" s="4">
        <f t="shared" si="7"/>
        <v>8236.8000000000011</v>
      </c>
      <c r="U12" s="4">
        <f t="shared" si="8"/>
        <v>16473.600000000002</v>
      </c>
      <c r="V12" s="4">
        <f t="shared" si="9"/>
        <v>25.740000000000006</v>
      </c>
      <c r="W12" s="4">
        <f t="shared" si="10"/>
        <v>514.80000000000007</v>
      </c>
      <c r="X12" s="4">
        <f t="shared" si="11"/>
        <v>129</v>
      </c>
      <c r="Y12" s="4">
        <f t="shared" si="12"/>
        <v>9009</v>
      </c>
      <c r="Z12" s="4">
        <f t="shared" si="13"/>
        <v>0</v>
      </c>
      <c r="AA12" s="4">
        <f>L12*Rates!$D$6</f>
        <v>623611.8400000002</v>
      </c>
      <c r="AB12" s="4">
        <f>M12*Rates!$D$7</f>
        <v>291983.34720000008</v>
      </c>
      <c r="AC12" s="4">
        <f>N12*Rates!$D$8</f>
        <v>37065.600000000006</v>
      </c>
      <c r="AD12" s="4">
        <f>O12*Rates!$D$9</f>
        <v>640</v>
      </c>
      <c r="AE12" s="4">
        <f>Q12*Rates!$D$10</f>
        <v>5353.920000000001</v>
      </c>
      <c r="AF12" s="4">
        <f>R12*Rates!$D$11</f>
        <v>18532.800000000003</v>
      </c>
      <c r="AG12" s="4">
        <f>S12*Rates!$D$12</f>
        <v>19356.480000000003</v>
      </c>
      <c r="AH12" s="4">
        <f>T12*Rates!$D$13</f>
        <v>3706.5600000000004</v>
      </c>
      <c r="AI12" s="4">
        <f>U12*Rates!$D$14</f>
        <v>5765.76</v>
      </c>
      <c r="AJ12" s="4">
        <f>V12*Rates!$D$15</f>
        <v>102.96000000000002</v>
      </c>
      <c r="AK12" s="4">
        <f>W12*Rates!$D$16</f>
        <v>27284.400000000005</v>
      </c>
      <c r="AL12" s="4">
        <f>X12*Rates!$D$17</f>
        <v>387</v>
      </c>
      <c r="AM12" s="4">
        <f>Y12*Rates!$D$18</f>
        <v>1801.8000000000002</v>
      </c>
      <c r="AN12" s="4">
        <f>Z12*Rates!$D$19</f>
        <v>0</v>
      </c>
      <c r="AO12" s="4">
        <f t="shared" si="14"/>
        <v>1035592.4672000004</v>
      </c>
    </row>
    <row r="13" spans="1:41" x14ac:dyDescent="0.25">
      <c r="A13" s="3">
        <v>12</v>
      </c>
      <c r="B13" s="3" t="s">
        <v>241</v>
      </c>
      <c r="C13" s="3" t="s">
        <v>125</v>
      </c>
      <c r="D13" s="3" t="s">
        <v>254</v>
      </c>
      <c r="E13" s="3" t="s">
        <v>24</v>
      </c>
      <c r="F13" s="3">
        <v>55</v>
      </c>
      <c r="G13" s="3">
        <v>4</v>
      </c>
      <c r="H13" s="3">
        <v>2.5</v>
      </c>
      <c r="I13" s="3">
        <v>45</v>
      </c>
      <c r="J13" s="3" t="s">
        <v>243</v>
      </c>
      <c r="K13" s="4">
        <f>F13*G13+(F13+1)*Rates!$D$31</f>
        <v>234</v>
      </c>
      <c r="L13" s="4">
        <f>(F13*((G13+Rates!$D$31)*(H13+0.6)-G13*H13)+0.8)*I13</f>
        <v>7894.1250000000018</v>
      </c>
      <c r="M13" s="4">
        <f t="shared" si="0"/>
        <v>947.29500000000019</v>
      </c>
      <c r="N13" s="4">
        <f t="shared" si="1"/>
        <v>1158.3000000000002</v>
      </c>
      <c r="O13" s="4">
        <f t="shared" si="2"/>
        <v>405</v>
      </c>
      <c r="P13" s="4">
        <f t="shared" si="3"/>
        <v>11583.000000000002</v>
      </c>
      <c r="Q13" s="4">
        <f t="shared" si="4"/>
        <v>1158.3000000000002</v>
      </c>
      <c r="R13" s="4">
        <f t="shared" si="5"/>
        <v>579.15000000000009</v>
      </c>
      <c r="S13" s="4">
        <f t="shared" si="6"/>
        <v>579.15000000000009</v>
      </c>
      <c r="T13" s="4">
        <f t="shared" si="7"/>
        <v>11583.000000000002</v>
      </c>
      <c r="U13" s="4">
        <f t="shared" si="8"/>
        <v>23166.000000000004</v>
      </c>
      <c r="V13" s="4">
        <f t="shared" si="9"/>
        <v>25.740000000000006</v>
      </c>
      <c r="W13" s="4">
        <f t="shared" si="10"/>
        <v>514.80000000000007</v>
      </c>
      <c r="X13" s="4">
        <f t="shared" si="11"/>
        <v>129</v>
      </c>
      <c r="Y13" s="4">
        <f t="shared" si="12"/>
        <v>12355.2</v>
      </c>
      <c r="Z13" s="4">
        <f t="shared" si="13"/>
        <v>34749</v>
      </c>
      <c r="AA13" s="4">
        <f>L13*Rates!$D$6</f>
        <v>843881.96250000026</v>
      </c>
      <c r="AB13" s="4">
        <f>M13*Rates!$D$7</f>
        <v>395116.74450000009</v>
      </c>
      <c r="AC13" s="4">
        <f>N13*Rates!$D$8</f>
        <v>52123.500000000007</v>
      </c>
      <c r="AD13" s="4">
        <f>O13*Rates!$D$9</f>
        <v>810</v>
      </c>
      <c r="AE13" s="4">
        <f>Q13*Rates!$D$10</f>
        <v>7528.9500000000007</v>
      </c>
      <c r="AF13" s="4">
        <f>R13*Rates!$D$11</f>
        <v>26061.750000000004</v>
      </c>
      <c r="AG13" s="4">
        <f>S13*Rates!$D$12</f>
        <v>27220.050000000003</v>
      </c>
      <c r="AH13" s="4">
        <f>T13*Rates!$D$13</f>
        <v>5212.3500000000013</v>
      </c>
      <c r="AI13" s="4">
        <f>U13*Rates!$D$14</f>
        <v>8108.1</v>
      </c>
      <c r="AJ13" s="4">
        <f>V13*Rates!$D$15</f>
        <v>102.96000000000002</v>
      </c>
      <c r="AK13" s="4">
        <f>W13*Rates!$D$16</f>
        <v>27284.400000000005</v>
      </c>
      <c r="AL13" s="4">
        <f>X13*Rates!$D$17</f>
        <v>387</v>
      </c>
      <c r="AM13" s="4">
        <f>Y13*Rates!$D$18</f>
        <v>2471.0400000000004</v>
      </c>
      <c r="AN13" s="4">
        <f>Z13*Rates!$D$19</f>
        <v>138996</v>
      </c>
      <c r="AO13" s="4">
        <f t="shared" si="14"/>
        <v>1535304.8070000005</v>
      </c>
    </row>
    <row r="14" spans="1:41" x14ac:dyDescent="0.25">
      <c r="A14" s="3">
        <v>13</v>
      </c>
      <c r="B14" s="3" t="s">
        <v>244</v>
      </c>
      <c r="C14" s="3" t="s">
        <v>125</v>
      </c>
      <c r="D14" s="3" t="s">
        <v>255</v>
      </c>
      <c r="E14" s="3" t="s">
        <v>24</v>
      </c>
      <c r="F14" s="3">
        <v>45</v>
      </c>
      <c r="G14" s="3">
        <v>4</v>
      </c>
      <c r="H14" s="3">
        <v>2.5</v>
      </c>
      <c r="I14" s="3">
        <v>45</v>
      </c>
      <c r="J14" s="3" t="s">
        <v>240</v>
      </c>
      <c r="K14" s="4">
        <f>F14*G14+(F14+1)*Rates!$D$31</f>
        <v>191.5</v>
      </c>
      <c r="L14" s="4">
        <f>(F14*((G14+Rates!$D$31)*(H14+0.6)-G14*H14)+0.8)*I14</f>
        <v>6465.3750000000018</v>
      </c>
      <c r="M14" s="4">
        <f t="shared" si="0"/>
        <v>775.84500000000014</v>
      </c>
      <c r="N14" s="4">
        <f t="shared" si="1"/>
        <v>947.92500000000007</v>
      </c>
      <c r="O14" s="4">
        <f t="shared" si="2"/>
        <v>405</v>
      </c>
      <c r="P14" s="4">
        <f t="shared" si="3"/>
        <v>9479.25</v>
      </c>
      <c r="Q14" s="4">
        <f t="shared" si="4"/>
        <v>947.92500000000007</v>
      </c>
      <c r="R14" s="4">
        <f t="shared" si="5"/>
        <v>473.96250000000003</v>
      </c>
      <c r="S14" s="4">
        <f t="shared" si="6"/>
        <v>473.96250000000003</v>
      </c>
      <c r="T14" s="4">
        <f t="shared" si="7"/>
        <v>9479.25</v>
      </c>
      <c r="U14" s="4">
        <f t="shared" si="8"/>
        <v>18958.5</v>
      </c>
      <c r="V14" s="4">
        <f t="shared" si="9"/>
        <v>21.065000000000005</v>
      </c>
      <c r="W14" s="4">
        <f t="shared" si="10"/>
        <v>421.3</v>
      </c>
      <c r="X14" s="4">
        <f t="shared" si="11"/>
        <v>106</v>
      </c>
      <c r="Y14" s="4">
        <f t="shared" si="12"/>
        <v>10111.200000000001</v>
      </c>
      <c r="Z14" s="4">
        <f t="shared" si="13"/>
        <v>0</v>
      </c>
      <c r="AA14" s="4">
        <f>L14*Rates!$D$6</f>
        <v>691148.58750000026</v>
      </c>
      <c r="AB14" s="4">
        <f>M14*Rates!$D$7</f>
        <v>323604.9495000001</v>
      </c>
      <c r="AC14" s="4">
        <f>N14*Rates!$D$8</f>
        <v>42656.625</v>
      </c>
      <c r="AD14" s="4">
        <f>O14*Rates!$D$9</f>
        <v>810</v>
      </c>
      <c r="AE14" s="4">
        <f>Q14*Rates!$D$10</f>
        <v>6161.5125000000007</v>
      </c>
      <c r="AF14" s="4">
        <f>R14*Rates!$D$11</f>
        <v>21328.3125</v>
      </c>
      <c r="AG14" s="4">
        <f>S14*Rates!$D$12</f>
        <v>22276.237500000003</v>
      </c>
      <c r="AH14" s="4">
        <f>T14*Rates!$D$13</f>
        <v>4265.6625000000004</v>
      </c>
      <c r="AI14" s="4">
        <f>U14*Rates!$D$14</f>
        <v>6635.4749999999995</v>
      </c>
      <c r="AJ14" s="4">
        <f>V14*Rates!$D$15</f>
        <v>84.260000000000019</v>
      </c>
      <c r="AK14" s="4">
        <f>W14*Rates!$D$16</f>
        <v>22328.9</v>
      </c>
      <c r="AL14" s="4">
        <f>X14*Rates!$D$17</f>
        <v>318</v>
      </c>
      <c r="AM14" s="4">
        <f>Y14*Rates!$D$18</f>
        <v>2022.2400000000002</v>
      </c>
      <c r="AN14" s="4">
        <f>Z14*Rates!$D$19</f>
        <v>0</v>
      </c>
      <c r="AO14" s="4">
        <f t="shared" si="14"/>
        <v>1143640.7620000006</v>
      </c>
    </row>
    <row r="15" spans="1:41" x14ac:dyDescent="0.25">
      <c r="A15" s="3">
        <v>14</v>
      </c>
      <c r="B15" s="3" t="s">
        <v>244</v>
      </c>
      <c r="C15" s="3" t="s">
        <v>126</v>
      </c>
      <c r="D15" s="3" t="s">
        <v>256</v>
      </c>
      <c r="E15" s="3" t="s">
        <v>24</v>
      </c>
      <c r="F15" s="3">
        <v>25</v>
      </c>
      <c r="G15" s="3">
        <v>4</v>
      </c>
      <c r="H15" s="3">
        <v>2.5</v>
      </c>
      <c r="I15" s="3">
        <v>45</v>
      </c>
      <c r="J15" s="3" t="s">
        <v>240</v>
      </c>
      <c r="K15" s="4">
        <f>F15*G15+(F15+1)*Rates!$D$31</f>
        <v>106.5</v>
      </c>
      <c r="L15" s="4">
        <f>(F15*((G15+Rates!$D$31)*(H15+0.6)-G15*H15)+0.8)*I15</f>
        <v>3607.8750000000005</v>
      </c>
      <c r="M15" s="4">
        <f t="shared" si="0"/>
        <v>432.94500000000005</v>
      </c>
      <c r="N15" s="4">
        <f t="shared" si="1"/>
        <v>527.17500000000007</v>
      </c>
      <c r="O15" s="4">
        <f t="shared" si="2"/>
        <v>405</v>
      </c>
      <c r="P15" s="4">
        <f t="shared" si="3"/>
        <v>5271.75</v>
      </c>
      <c r="Q15" s="4">
        <f t="shared" si="4"/>
        <v>527.17500000000007</v>
      </c>
      <c r="R15" s="4">
        <f t="shared" si="5"/>
        <v>263.58750000000003</v>
      </c>
      <c r="S15" s="4">
        <f t="shared" si="6"/>
        <v>263.58750000000003</v>
      </c>
      <c r="T15" s="4">
        <f t="shared" si="7"/>
        <v>5271.75</v>
      </c>
      <c r="U15" s="4">
        <f t="shared" si="8"/>
        <v>10543.5</v>
      </c>
      <c r="V15" s="4">
        <f t="shared" si="9"/>
        <v>11.715000000000002</v>
      </c>
      <c r="W15" s="4">
        <f t="shared" si="10"/>
        <v>234.3</v>
      </c>
      <c r="X15" s="4">
        <f t="shared" si="11"/>
        <v>59</v>
      </c>
      <c r="Y15" s="4">
        <f t="shared" si="12"/>
        <v>5623.2000000000007</v>
      </c>
      <c r="Z15" s="4">
        <f t="shared" si="13"/>
        <v>0</v>
      </c>
      <c r="AA15" s="4">
        <f>L15*Rates!$D$6</f>
        <v>385681.83750000008</v>
      </c>
      <c r="AB15" s="4">
        <f>M15*Rates!$D$7</f>
        <v>180581.35950000002</v>
      </c>
      <c r="AC15" s="4">
        <f>N15*Rates!$D$8</f>
        <v>23722.875000000004</v>
      </c>
      <c r="AD15" s="4">
        <f>O15*Rates!$D$9</f>
        <v>810</v>
      </c>
      <c r="AE15" s="4">
        <f>Q15*Rates!$D$10</f>
        <v>3426.6375000000003</v>
      </c>
      <c r="AF15" s="4">
        <f>R15*Rates!$D$11</f>
        <v>11861.437500000002</v>
      </c>
      <c r="AG15" s="4">
        <f>S15*Rates!$D$12</f>
        <v>12388.612500000001</v>
      </c>
      <c r="AH15" s="4">
        <f>T15*Rates!$D$13</f>
        <v>2372.2874999999999</v>
      </c>
      <c r="AI15" s="4">
        <f>U15*Rates!$D$14</f>
        <v>3690.2249999999999</v>
      </c>
      <c r="AJ15" s="4">
        <f>V15*Rates!$D$15</f>
        <v>46.860000000000007</v>
      </c>
      <c r="AK15" s="4">
        <f>W15*Rates!$D$16</f>
        <v>12417.900000000001</v>
      </c>
      <c r="AL15" s="4">
        <f>X15*Rates!$D$17</f>
        <v>177</v>
      </c>
      <c r="AM15" s="4">
        <f>Y15*Rates!$D$18</f>
        <v>1124.6400000000001</v>
      </c>
      <c r="AN15" s="4">
        <f>Z15*Rates!$D$19</f>
        <v>0</v>
      </c>
      <c r="AO15" s="4">
        <f t="shared" si="14"/>
        <v>638301.67200000014</v>
      </c>
    </row>
    <row r="16" spans="1:41" x14ac:dyDescent="0.25">
      <c r="A16" s="3">
        <v>15</v>
      </c>
      <c r="B16" s="3" t="s">
        <v>238</v>
      </c>
      <c r="C16" s="3" t="s">
        <v>128</v>
      </c>
      <c r="D16" s="3" t="s">
        <v>257</v>
      </c>
      <c r="E16" s="3" t="s">
        <v>24</v>
      </c>
      <c r="F16" s="3">
        <v>67</v>
      </c>
      <c r="G16" s="3">
        <v>4</v>
      </c>
      <c r="H16" s="3">
        <v>2.5</v>
      </c>
      <c r="I16" s="3">
        <v>32</v>
      </c>
      <c r="J16" s="3" t="s">
        <v>240</v>
      </c>
      <c r="K16" s="4">
        <f>F16*G16+(F16+1)*Rates!$D$31</f>
        <v>285</v>
      </c>
      <c r="L16" s="4">
        <f>(F16*((G16+Rates!$D$31)*(H16+0.6)-G16*H16)+0.8)*I16</f>
        <v>6832.800000000002</v>
      </c>
      <c r="M16" s="4">
        <f t="shared" si="0"/>
        <v>819.93600000000026</v>
      </c>
      <c r="N16" s="4">
        <f t="shared" si="1"/>
        <v>1003.2</v>
      </c>
      <c r="O16" s="4">
        <f t="shared" si="2"/>
        <v>288</v>
      </c>
      <c r="P16" s="4">
        <f t="shared" si="3"/>
        <v>10032</v>
      </c>
      <c r="Q16" s="4">
        <f t="shared" si="4"/>
        <v>1003.2</v>
      </c>
      <c r="R16" s="4">
        <f t="shared" si="5"/>
        <v>501.6</v>
      </c>
      <c r="S16" s="4">
        <f t="shared" si="6"/>
        <v>501.6</v>
      </c>
      <c r="T16" s="4">
        <f t="shared" si="7"/>
        <v>10032</v>
      </c>
      <c r="U16" s="4">
        <f t="shared" si="8"/>
        <v>20064</v>
      </c>
      <c r="V16" s="4">
        <f t="shared" si="9"/>
        <v>31.35</v>
      </c>
      <c r="W16" s="4">
        <f t="shared" si="10"/>
        <v>627</v>
      </c>
      <c r="X16" s="4">
        <f t="shared" si="11"/>
        <v>157</v>
      </c>
      <c r="Y16" s="4">
        <f t="shared" si="12"/>
        <v>10972.5</v>
      </c>
      <c r="Z16" s="4">
        <f t="shared" si="13"/>
        <v>0</v>
      </c>
      <c r="AA16" s="4">
        <f>L16*Rates!$D$6</f>
        <v>730426.3200000003</v>
      </c>
      <c r="AB16" s="4">
        <f>M16*Rates!$D$7</f>
        <v>341995.30560000014</v>
      </c>
      <c r="AC16" s="4">
        <f>N16*Rates!$D$8</f>
        <v>45144</v>
      </c>
      <c r="AD16" s="4">
        <f>O16*Rates!$D$9</f>
        <v>576</v>
      </c>
      <c r="AE16" s="4">
        <f>Q16*Rates!$D$10</f>
        <v>6520.8</v>
      </c>
      <c r="AF16" s="4">
        <f>R16*Rates!$D$11</f>
        <v>22572</v>
      </c>
      <c r="AG16" s="4">
        <f>S16*Rates!$D$12</f>
        <v>23575.200000000001</v>
      </c>
      <c r="AH16" s="4">
        <f>T16*Rates!$D$13</f>
        <v>4514.4000000000005</v>
      </c>
      <c r="AI16" s="4">
        <f>U16*Rates!$D$14</f>
        <v>7022.4</v>
      </c>
      <c r="AJ16" s="4">
        <f>V16*Rates!$D$15</f>
        <v>125.4</v>
      </c>
      <c r="AK16" s="4">
        <f>W16*Rates!$D$16</f>
        <v>33231</v>
      </c>
      <c r="AL16" s="4">
        <f>X16*Rates!$D$17</f>
        <v>471</v>
      </c>
      <c r="AM16" s="4">
        <f>Y16*Rates!$D$18</f>
        <v>2194.5</v>
      </c>
      <c r="AN16" s="4">
        <f>Z16*Rates!$D$19</f>
        <v>0</v>
      </c>
      <c r="AO16" s="4">
        <f t="shared" si="14"/>
        <v>1218368.3256000001</v>
      </c>
    </row>
    <row r="17" spans="1:41" x14ac:dyDescent="0.25">
      <c r="A17" s="3">
        <v>16</v>
      </c>
      <c r="B17" s="3" t="s">
        <v>241</v>
      </c>
      <c r="C17" s="3" t="s">
        <v>128</v>
      </c>
      <c r="D17" s="3" t="s">
        <v>258</v>
      </c>
      <c r="E17" s="3" t="s">
        <v>24</v>
      </c>
      <c r="F17" s="3">
        <v>17</v>
      </c>
      <c r="G17" s="3">
        <v>4</v>
      </c>
      <c r="H17" s="3">
        <v>2.5</v>
      </c>
      <c r="I17" s="3">
        <v>45</v>
      </c>
      <c r="J17" s="3" t="s">
        <v>243</v>
      </c>
      <c r="K17" s="4">
        <f>F17*G17+(F17+1)*Rates!$D$31</f>
        <v>72.5</v>
      </c>
      <c r="L17" s="4">
        <f>(F17*((G17+Rates!$D$31)*(H17+0.6)-G17*H17)+0.8)*I17</f>
        <v>2464.8750000000005</v>
      </c>
      <c r="M17" s="4">
        <f t="shared" si="0"/>
        <v>295.78500000000003</v>
      </c>
      <c r="N17" s="4">
        <f t="shared" si="1"/>
        <v>358.87500000000006</v>
      </c>
      <c r="O17" s="4">
        <f t="shared" si="2"/>
        <v>405</v>
      </c>
      <c r="P17" s="4">
        <f t="shared" si="3"/>
        <v>3588.7500000000005</v>
      </c>
      <c r="Q17" s="4">
        <f t="shared" si="4"/>
        <v>358.87500000000006</v>
      </c>
      <c r="R17" s="4">
        <f t="shared" si="5"/>
        <v>179.43750000000003</v>
      </c>
      <c r="S17" s="4">
        <f t="shared" si="6"/>
        <v>179.43750000000003</v>
      </c>
      <c r="T17" s="4">
        <f t="shared" si="7"/>
        <v>3588.7500000000005</v>
      </c>
      <c r="U17" s="4">
        <f t="shared" si="8"/>
        <v>7177.5000000000009</v>
      </c>
      <c r="V17" s="4">
        <f t="shared" si="9"/>
        <v>7.9750000000000005</v>
      </c>
      <c r="W17" s="4">
        <f t="shared" si="10"/>
        <v>159.5</v>
      </c>
      <c r="X17" s="4">
        <f t="shared" si="11"/>
        <v>40</v>
      </c>
      <c r="Y17" s="4">
        <f t="shared" si="12"/>
        <v>3828.0000000000005</v>
      </c>
      <c r="Z17" s="4">
        <f t="shared" si="13"/>
        <v>10766.25</v>
      </c>
      <c r="AA17" s="4">
        <f>L17*Rates!$D$6</f>
        <v>263495.13750000007</v>
      </c>
      <c r="AB17" s="4">
        <f>M17*Rates!$D$7</f>
        <v>123371.92350000002</v>
      </c>
      <c r="AC17" s="4">
        <f>N17*Rates!$D$8</f>
        <v>16149.375000000002</v>
      </c>
      <c r="AD17" s="4">
        <f>O17*Rates!$D$9</f>
        <v>810</v>
      </c>
      <c r="AE17" s="4">
        <f>Q17*Rates!$D$10</f>
        <v>2332.6875000000005</v>
      </c>
      <c r="AF17" s="4">
        <f>R17*Rates!$D$11</f>
        <v>8074.6875000000009</v>
      </c>
      <c r="AG17" s="4">
        <f>S17*Rates!$D$12</f>
        <v>8433.5625000000018</v>
      </c>
      <c r="AH17" s="4">
        <f>T17*Rates!$D$13</f>
        <v>1614.9375000000002</v>
      </c>
      <c r="AI17" s="4">
        <f>U17*Rates!$D$14</f>
        <v>2512.125</v>
      </c>
      <c r="AJ17" s="4">
        <f>V17*Rates!$D$15</f>
        <v>31.900000000000002</v>
      </c>
      <c r="AK17" s="4">
        <f>W17*Rates!$D$16</f>
        <v>8453.5</v>
      </c>
      <c r="AL17" s="4">
        <f>X17*Rates!$D$17</f>
        <v>120</v>
      </c>
      <c r="AM17" s="4">
        <f>Y17*Rates!$D$18</f>
        <v>765.60000000000014</v>
      </c>
      <c r="AN17" s="4">
        <f>Z17*Rates!$D$19</f>
        <v>43065</v>
      </c>
      <c r="AO17" s="4">
        <f t="shared" si="14"/>
        <v>479230.4360000001</v>
      </c>
    </row>
    <row r="18" spans="1:41" x14ac:dyDescent="0.25">
      <c r="A18" s="3">
        <v>17</v>
      </c>
      <c r="B18" s="3" t="s">
        <v>244</v>
      </c>
      <c r="C18" s="3" t="s">
        <v>128</v>
      </c>
      <c r="D18" s="3" t="s">
        <v>259</v>
      </c>
      <c r="E18" s="3" t="s">
        <v>24</v>
      </c>
      <c r="F18" s="3">
        <v>17</v>
      </c>
      <c r="G18" s="3">
        <v>4</v>
      </c>
      <c r="H18" s="3">
        <v>2.5</v>
      </c>
      <c r="I18" s="3">
        <v>45</v>
      </c>
      <c r="J18" s="3" t="s">
        <v>243</v>
      </c>
      <c r="K18" s="4">
        <f>F18*G18+(F18+1)*Rates!$D$31</f>
        <v>72.5</v>
      </c>
      <c r="L18" s="4">
        <f>(F18*((G18+Rates!$D$31)*(H18+0.6)-G18*H18)+0.8)*I18</f>
        <v>2464.8750000000005</v>
      </c>
      <c r="M18" s="4">
        <f t="shared" si="0"/>
        <v>295.78500000000003</v>
      </c>
      <c r="N18" s="4">
        <f t="shared" si="1"/>
        <v>358.87500000000006</v>
      </c>
      <c r="O18" s="4">
        <f t="shared" si="2"/>
        <v>405</v>
      </c>
      <c r="P18" s="4">
        <f t="shared" si="3"/>
        <v>3588.7500000000005</v>
      </c>
      <c r="Q18" s="4">
        <f t="shared" si="4"/>
        <v>358.87500000000006</v>
      </c>
      <c r="R18" s="4">
        <f t="shared" si="5"/>
        <v>179.43750000000003</v>
      </c>
      <c r="S18" s="4">
        <f t="shared" si="6"/>
        <v>179.43750000000003</v>
      </c>
      <c r="T18" s="4">
        <f t="shared" si="7"/>
        <v>3588.7500000000005</v>
      </c>
      <c r="U18" s="4">
        <f t="shared" si="8"/>
        <v>7177.5000000000009</v>
      </c>
      <c r="V18" s="4">
        <f t="shared" si="9"/>
        <v>7.9750000000000005</v>
      </c>
      <c r="W18" s="4">
        <f t="shared" si="10"/>
        <v>159.5</v>
      </c>
      <c r="X18" s="4">
        <f t="shared" si="11"/>
        <v>40</v>
      </c>
      <c r="Y18" s="4">
        <f t="shared" si="12"/>
        <v>3828.0000000000005</v>
      </c>
      <c r="Z18" s="4">
        <f t="shared" si="13"/>
        <v>10766.25</v>
      </c>
      <c r="AA18" s="4">
        <f>L18*Rates!$D$6</f>
        <v>263495.13750000007</v>
      </c>
      <c r="AB18" s="4">
        <f>M18*Rates!$D$7</f>
        <v>123371.92350000002</v>
      </c>
      <c r="AC18" s="4">
        <f>N18*Rates!$D$8</f>
        <v>16149.375000000002</v>
      </c>
      <c r="AD18" s="4">
        <f>O18*Rates!$D$9</f>
        <v>810</v>
      </c>
      <c r="AE18" s="4">
        <f>Q18*Rates!$D$10</f>
        <v>2332.6875000000005</v>
      </c>
      <c r="AF18" s="4">
        <f>R18*Rates!$D$11</f>
        <v>8074.6875000000009</v>
      </c>
      <c r="AG18" s="4">
        <f>S18*Rates!$D$12</f>
        <v>8433.5625000000018</v>
      </c>
      <c r="AH18" s="4">
        <f>T18*Rates!$D$13</f>
        <v>1614.9375000000002</v>
      </c>
      <c r="AI18" s="4">
        <f>U18*Rates!$D$14</f>
        <v>2512.125</v>
      </c>
      <c r="AJ18" s="4">
        <f>V18*Rates!$D$15</f>
        <v>31.900000000000002</v>
      </c>
      <c r="AK18" s="4">
        <f>W18*Rates!$D$16</f>
        <v>8453.5</v>
      </c>
      <c r="AL18" s="4">
        <f>X18*Rates!$D$17</f>
        <v>120</v>
      </c>
      <c r="AM18" s="4">
        <f>Y18*Rates!$D$18</f>
        <v>765.60000000000014</v>
      </c>
      <c r="AN18" s="4">
        <f>Z18*Rates!$D$19</f>
        <v>43065</v>
      </c>
      <c r="AO18" s="4">
        <f t="shared" si="14"/>
        <v>479230.4360000001</v>
      </c>
    </row>
    <row r="19" spans="1:41" x14ac:dyDescent="0.25">
      <c r="A19" s="3">
        <v>18</v>
      </c>
      <c r="B19" s="3" t="s">
        <v>238</v>
      </c>
      <c r="C19" s="3" t="s">
        <v>129</v>
      </c>
      <c r="D19" s="3" t="s">
        <v>260</v>
      </c>
      <c r="E19" s="3" t="s">
        <v>24</v>
      </c>
      <c r="F19" s="3">
        <v>64</v>
      </c>
      <c r="G19" s="3">
        <v>4</v>
      </c>
      <c r="H19" s="3">
        <v>2.5</v>
      </c>
      <c r="I19" s="3">
        <v>32</v>
      </c>
      <c r="J19" s="3" t="s">
        <v>240</v>
      </c>
      <c r="K19" s="4">
        <f>F19*G19+(F19+1)*Rates!$D$31</f>
        <v>272.25</v>
      </c>
      <c r="L19" s="4">
        <f>(F19*((G19+Rates!$D$31)*(H19+0.6)-G19*H19)+0.8)*I19</f>
        <v>6528.0000000000018</v>
      </c>
      <c r="M19" s="4">
        <f t="shared" si="0"/>
        <v>783.36000000000024</v>
      </c>
      <c r="N19" s="4">
        <f t="shared" si="1"/>
        <v>958.32000000000016</v>
      </c>
      <c r="O19" s="4">
        <f t="shared" si="2"/>
        <v>288</v>
      </c>
      <c r="P19" s="4">
        <f t="shared" si="3"/>
        <v>9583.2000000000007</v>
      </c>
      <c r="Q19" s="4">
        <f t="shared" si="4"/>
        <v>958.32000000000016</v>
      </c>
      <c r="R19" s="4">
        <f t="shared" si="5"/>
        <v>479.16000000000008</v>
      </c>
      <c r="S19" s="4">
        <f t="shared" si="6"/>
        <v>479.16000000000008</v>
      </c>
      <c r="T19" s="4">
        <f t="shared" si="7"/>
        <v>9583.2000000000007</v>
      </c>
      <c r="U19" s="4">
        <f t="shared" si="8"/>
        <v>19166.400000000001</v>
      </c>
      <c r="V19" s="4">
        <f t="shared" si="9"/>
        <v>29.947500000000005</v>
      </c>
      <c r="W19" s="4">
        <f t="shared" si="10"/>
        <v>598.95000000000005</v>
      </c>
      <c r="X19" s="4">
        <f t="shared" si="11"/>
        <v>150</v>
      </c>
      <c r="Y19" s="4">
        <f t="shared" si="12"/>
        <v>10481.625</v>
      </c>
      <c r="Z19" s="4">
        <f t="shared" si="13"/>
        <v>0</v>
      </c>
      <c r="AA19" s="4">
        <f>L19*Rates!$D$6</f>
        <v>697843.20000000019</v>
      </c>
      <c r="AB19" s="4">
        <f>M19*Rates!$D$7</f>
        <v>326739.45600000012</v>
      </c>
      <c r="AC19" s="4">
        <f>N19*Rates!$D$8</f>
        <v>43124.400000000009</v>
      </c>
      <c r="AD19" s="4">
        <f>O19*Rates!$D$9</f>
        <v>576</v>
      </c>
      <c r="AE19" s="4">
        <f>Q19*Rates!$D$10</f>
        <v>6229.0800000000008</v>
      </c>
      <c r="AF19" s="4">
        <f>R19*Rates!$D$11</f>
        <v>21562.200000000004</v>
      </c>
      <c r="AG19" s="4">
        <f>S19*Rates!$D$12</f>
        <v>22520.520000000004</v>
      </c>
      <c r="AH19" s="4">
        <f>T19*Rates!$D$13</f>
        <v>4312.4400000000005</v>
      </c>
      <c r="AI19" s="4">
        <f>U19*Rates!$D$14</f>
        <v>6708.24</v>
      </c>
      <c r="AJ19" s="4">
        <f>V19*Rates!$D$15</f>
        <v>119.79000000000002</v>
      </c>
      <c r="AK19" s="4">
        <f>W19*Rates!$D$16</f>
        <v>31744.350000000002</v>
      </c>
      <c r="AL19" s="4">
        <f>X19*Rates!$D$17</f>
        <v>450</v>
      </c>
      <c r="AM19" s="4">
        <f>Y19*Rates!$D$18</f>
        <v>2096.3250000000003</v>
      </c>
      <c r="AN19" s="4">
        <f>Z19*Rates!$D$19</f>
        <v>0</v>
      </c>
      <c r="AO19" s="4">
        <f t="shared" si="14"/>
        <v>1164026.0010000004</v>
      </c>
    </row>
    <row r="20" spans="1:41" x14ac:dyDescent="0.25">
      <c r="A20" s="3">
        <v>19</v>
      </c>
      <c r="B20" s="3" t="s">
        <v>241</v>
      </c>
      <c r="C20" s="3" t="s">
        <v>129</v>
      </c>
      <c r="D20" s="3" t="s">
        <v>261</v>
      </c>
      <c r="E20" s="3" t="s">
        <v>24</v>
      </c>
      <c r="F20" s="3">
        <v>29</v>
      </c>
      <c r="G20" s="3">
        <v>4</v>
      </c>
      <c r="H20" s="3">
        <v>2.5</v>
      </c>
      <c r="I20" s="3">
        <v>45</v>
      </c>
      <c r="J20" s="3" t="s">
        <v>243</v>
      </c>
      <c r="K20" s="4">
        <f>F20*G20+(F20+1)*Rates!$D$31</f>
        <v>123.5</v>
      </c>
      <c r="L20" s="4">
        <f>(F20*((G20+Rates!$D$31)*(H20+0.6)-G20*H20)+0.8)*I20</f>
        <v>4179.3750000000009</v>
      </c>
      <c r="M20" s="4">
        <f t="shared" si="0"/>
        <v>501.52500000000009</v>
      </c>
      <c r="N20" s="4">
        <f t="shared" si="1"/>
        <v>611.32500000000005</v>
      </c>
      <c r="O20" s="4">
        <f t="shared" si="2"/>
        <v>405</v>
      </c>
      <c r="P20" s="4">
        <f t="shared" si="3"/>
        <v>6113.2500000000009</v>
      </c>
      <c r="Q20" s="4">
        <f t="shared" si="4"/>
        <v>611.32500000000016</v>
      </c>
      <c r="R20" s="4">
        <f t="shared" si="5"/>
        <v>305.66250000000008</v>
      </c>
      <c r="S20" s="4">
        <f t="shared" si="6"/>
        <v>305.66250000000008</v>
      </c>
      <c r="T20" s="4">
        <f t="shared" si="7"/>
        <v>6113.2500000000009</v>
      </c>
      <c r="U20" s="4">
        <f t="shared" si="8"/>
        <v>12226.500000000002</v>
      </c>
      <c r="V20" s="4">
        <f t="shared" si="9"/>
        <v>13.585000000000003</v>
      </c>
      <c r="W20" s="4">
        <f t="shared" si="10"/>
        <v>271.70000000000005</v>
      </c>
      <c r="X20" s="4">
        <f t="shared" si="11"/>
        <v>68</v>
      </c>
      <c r="Y20" s="4">
        <f t="shared" si="12"/>
        <v>6520.8</v>
      </c>
      <c r="Z20" s="4">
        <f t="shared" si="13"/>
        <v>18339.75</v>
      </c>
      <c r="AA20" s="4">
        <f>L20*Rates!$D$6</f>
        <v>446775.18750000012</v>
      </c>
      <c r="AB20" s="4">
        <f>M20*Rates!$D$7</f>
        <v>209186.07750000004</v>
      </c>
      <c r="AC20" s="4">
        <f>N20*Rates!$D$8</f>
        <v>27509.625000000004</v>
      </c>
      <c r="AD20" s="4">
        <f>O20*Rates!$D$9</f>
        <v>810</v>
      </c>
      <c r="AE20" s="4">
        <f>Q20*Rates!$D$10</f>
        <v>3973.6125000000011</v>
      </c>
      <c r="AF20" s="4">
        <f>R20*Rates!$D$11</f>
        <v>13754.812500000004</v>
      </c>
      <c r="AG20" s="4">
        <f>S20*Rates!$D$12</f>
        <v>14366.137500000004</v>
      </c>
      <c r="AH20" s="4">
        <f>T20*Rates!$D$13</f>
        <v>2750.9625000000005</v>
      </c>
      <c r="AI20" s="4">
        <f>U20*Rates!$D$14</f>
        <v>4279.2750000000005</v>
      </c>
      <c r="AJ20" s="4">
        <f>V20*Rates!$D$15</f>
        <v>54.340000000000011</v>
      </c>
      <c r="AK20" s="4">
        <f>W20*Rates!$D$16</f>
        <v>14400.100000000002</v>
      </c>
      <c r="AL20" s="4">
        <f>X20*Rates!$D$17</f>
        <v>204</v>
      </c>
      <c r="AM20" s="4">
        <f>Y20*Rates!$D$18</f>
        <v>1304.1600000000001</v>
      </c>
      <c r="AN20" s="4">
        <f>Z20*Rates!$D$19</f>
        <v>73359</v>
      </c>
      <c r="AO20" s="4">
        <f t="shared" si="14"/>
        <v>812727.29000000015</v>
      </c>
    </row>
    <row r="21" spans="1:41" x14ac:dyDescent="0.25">
      <c r="A21" s="3">
        <v>20</v>
      </c>
      <c r="B21" s="3" t="s">
        <v>244</v>
      </c>
      <c r="C21" s="3" t="s">
        <v>129</v>
      </c>
      <c r="D21" s="3" t="s">
        <v>262</v>
      </c>
      <c r="E21" s="3" t="s">
        <v>24</v>
      </c>
      <c r="F21" s="3">
        <v>29</v>
      </c>
      <c r="G21" s="3">
        <v>4</v>
      </c>
      <c r="H21" s="3">
        <v>2.5</v>
      </c>
      <c r="I21" s="3">
        <v>45</v>
      </c>
      <c r="J21" s="3" t="s">
        <v>240</v>
      </c>
      <c r="K21" s="4">
        <f>F21*G21+(F21+1)*Rates!$D$31</f>
        <v>123.5</v>
      </c>
      <c r="L21" s="4">
        <f>(F21*((G21+Rates!$D$31)*(H21+0.6)-G21*H21)+0.8)*I21</f>
        <v>4179.3750000000009</v>
      </c>
      <c r="M21" s="4">
        <f t="shared" si="0"/>
        <v>501.52500000000009</v>
      </c>
      <c r="N21" s="4">
        <f t="shared" si="1"/>
        <v>611.32500000000005</v>
      </c>
      <c r="O21" s="4">
        <f t="shared" si="2"/>
        <v>405</v>
      </c>
      <c r="P21" s="4">
        <f t="shared" si="3"/>
        <v>6113.2500000000009</v>
      </c>
      <c r="Q21" s="4">
        <f t="shared" si="4"/>
        <v>611.32500000000016</v>
      </c>
      <c r="R21" s="4">
        <f t="shared" si="5"/>
        <v>305.66250000000008</v>
      </c>
      <c r="S21" s="4">
        <f t="shared" si="6"/>
        <v>305.66250000000008</v>
      </c>
      <c r="T21" s="4">
        <f t="shared" si="7"/>
        <v>6113.2500000000009</v>
      </c>
      <c r="U21" s="4">
        <f t="shared" si="8"/>
        <v>12226.500000000002</v>
      </c>
      <c r="V21" s="4">
        <f t="shared" si="9"/>
        <v>13.585000000000003</v>
      </c>
      <c r="W21" s="4">
        <f t="shared" si="10"/>
        <v>271.70000000000005</v>
      </c>
      <c r="X21" s="4">
        <f t="shared" si="11"/>
        <v>68</v>
      </c>
      <c r="Y21" s="4">
        <f t="shared" si="12"/>
        <v>6520.8</v>
      </c>
      <c r="Z21" s="4">
        <f t="shared" si="13"/>
        <v>0</v>
      </c>
      <c r="AA21" s="4">
        <f>L21*Rates!$D$6</f>
        <v>446775.18750000012</v>
      </c>
      <c r="AB21" s="4">
        <f>M21*Rates!$D$7</f>
        <v>209186.07750000004</v>
      </c>
      <c r="AC21" s="4">
        <f>N21*Rates!$D$8</f>
        <v>27509.625000000004</v>
      </c>
      <c r="AD21" s="4">
        <f>O21*Rates!$D$9</f>
        <v>810</v>
      </c>
      <c r="AE21" s="4">
        <f>Q21*Rates!$D$10</f>
        <v>3973.6125000000011</v>
      </c>
      <c r="AF21" s="4">
        <f>R21*Rates!$D$11</f>
        <v>13754.812500000004</v>
      </c>
      <c r="AG21" s="4">
        <f>S21*Rates!$D$12</f>
        <v>14366.137500000004</v>
      </c>
      <c r="AH21" s="4">
        <f>T21*Rates!$D$13</f>
        <v>2750.9625000000005</v>
      </c>
      <c r="AI21" s="4">
        <f>U21*Rates!$D$14</f>
        <v>4279.2750000000005</v>
      </c>
      <c r="AJ21" s="4">
        <f>V21*Rates!$D$15</f>
        <v>54.340000000000011</v>
      </c>
      <c r="AK21" s="4">
        <f>W21*Rates!$D$16</f>
        <v>14400.100000000002</v>
      </c>
      <c r="AL21" s="4">
        <f>X21*Rates!$D$17</f>
        <v>204</v>
      </c>
      <c r="AM21" s="4">
        <f>Y21*Rates!$D$18</f>
        <v>1304.1600000000001</v>
      </c>
      <c r="AN21" s="4">
        <f>Z21*Rates!$D$19</f>
        <v>0</v>
      </c>
      <c r="AO21" s="4">
        <f t="shared" si="14"/>
        <v>739368.29000000015</v>
      </c>
    </row>
    <row r="22" spans="1:41" x14ac:dyDescent="0.25">
      <c r="A22" s="3">
        <v>21</v>
      </c>
      <c r="B22" s="3" t="s">
        <v>241</v>
      </c>
      <c r="C22" s="3" t="s">
        <v>130</v>
      </c>
      <c r="D22" s="3" t="s">
        <v>263</v>
      </c>
      <c r="E22" s="3" t="s">
        <v>24</v>
      </c>
      <c r="F22" s="3">
        <v>12</v>
      </c>
      <c r="G22" s="3">
        <v>4</v>
      </c>
      <c r="H22" s="3">
        <v>2.5</v>
      </c>
      <c r="I22" s="3">
        <v>45</v>
      </c>
      <c r="J22" s="3" t="s">
        <v>243</v>
      </c>
      <c r="K22" s="4">
        <f>F22*G22+(F22+1)*Rates!$D$31</f>
        <v>51.25</v>
      </c>
      <c r="L22" s="4">
        <f>(F22*((G22+Rates!$D$31)*(H22+0.6)-G22*H22)+0.8)*I22</f>
        <v>1750.5000000000002</v>
      </c>
      <c r="M22" s="4">
        <f t="shared" si="0"/>
        <v>210.06000000000003</v>
      </c>
      <c r="N22" s="4">
        <f t="shared" si="1"/>
        <v>253.68750000000003</v>
      </c>
      <c r="O22" s="4">
        <f t="shared" si="2"/>
        <v>405</v>
      </c>
      <c r="P22" s="4">
        <f t="shared" si="3"/>
        <v>2536.875</v>
      </c>
      <c r="Q22" s="4">
        <f t="shared" si="4"/>
        <v>253.6875</v>
      </c>
      <c r="R22" s="4">
        <f t="shared" si="5"/>
        <v>126.84375</v>
      </c>
      <c r="S22" s="4">
        <f t="shared" si="6"/>
        <v>126.84375</v>
      </c>
      <c r="T22" s="4">
        <f t="shared" si="7"/>
        <v>2536.875</v>
      </c>
      <c r="U22" s="4">
        <f t="shared" si="8"/>
        <v>5073.75</v>
      </c>
      <c r="V22" s="4">
        <f t="shared" si="9"/>
        <v>5.6375000000000002</v>
      </c>
      <c r="W22" s="4">
        <f t="shared" si="10"/>
        <v>112.75000000000001</v>
      </c>
      <c r="X22" s="4">
        <f t="shared" si="11"/>
        <v>29</v>
      </c>
      <c r="Y22" s="4">
        <f t="shared" si="12"/>
        <v>2706</v>
      </c>
      <c r="Z22" s="4">
        <f t="shared" si="13"/>
        <v>7610.6250000000009</v>
      </c>
      <c r="AA22" s="4">
        <f>L22*Rates!$D$6</f>
        <v>187128.45000000004</v>
      </c>
      <c r="AB22" s="4">
        <f>M22*Rates!$D$7</f>
        <v>87616.026000000013</v>
      </c>
      <c r="AC22" s="4">
        <f>N22*Rates!$D$8</f>
        <v>11415.937500000002</v>
      </c>
      <c r="AD22" s="4">
        <f>O22*Rates!$D$9</f>
        <v>810</v>
      </c>
      <c r="AE22" s="4">
        <f>Q22*Rates!$D$10</f>
        <v>1648.96875</v>
      </c>
      <c r="AF22" s="4">
        <f>R22*Rates!$D$11</f>
        <v>5707.96875</v>
      </c>
      <c r="AG22" s="4">
        <f>S22*Rates!$D$12</f>
        <v>5961.65625</v>
      </c>
      <c r="AH22" s="4">
        <f>T22*Rates!$D$13</f>
        <v>1141.59375</v>
      </c>
      <c r="AI22" s="4">
        <f>U22*Rates!$D$14</f>
        <v>1775.8125</v>
      </c>
      <c r="AJ22" s="4">
        <f>V22*Rates!$D$15</f>
        <v>22.55</v>
      </c>
      <c r="AK22" s="4">
        <f>W22*Rates!$D$16</f>
        <v>5975.7500000000009</v>
      </c>
      <c r="AL22" s="4">
        <f>X22*Rates!$D$17</f>
        <v>87</v>
      </c>
      <c r="AM22" s="4">
        <f>Y22*Rates!$D$18</f>
        <v>541.20000000000005</v>
      </c>
      <c r="AN22" s="4">
        <f>Z22*Rates!$D$19</f>
        <v>30442.500000000004</v>
      </c>
      <c r="AO22" s="4">
        <f t="shared" si="14"/>
        <v>340275.41350000002</v>
      </c>
    </row>
    <row r="23" spans="1:41" x14ac:dyDescent="0.25">
      <c r="A23" s="3">
        <v>22</v>
      </c>
      <c r="B23" s="3" t="s">
        <v>244</v>
      </c>
      <c r="C23" s="3" t="s">
        <v>130</v>
      </c>
      <c r="D23" s="3" t="s">
        <v>264</v>
      </c>
      <c r="E23" s="3" t="s">
        <v>24</v>
      </c>
      <c r="F23" s="3">
        <v>6</v>
      </c>
      <c r="G23" s="3">
        <v>4</v>
      </c>
      <c r="H23" s="3">
        <v>2.5</v>
      </c>
      <c r="I23" s="3">
        <v>45</v>
      </c>
      <c r="J23" s="3" t="s">
        <v>243</v>
      </c>
      <c r="K23" s="4">
        <f>F23*G23+(F23+1)*Rates!$D$31</f>
        <v>25.75</v>
      </c>
      <c r="L23" s="4">
        <f>(F23*((G23+Rates!$D$31)*(H23+0.6)-G23*H23)+0.8)*I23</f>
        <v>893.25000000000023</v>
      </c>
      <c r="M23" s="4">
        <f t="shared" si="0"/>
        <v>107.19000000000003</v>
      </c>
      <c r="N23" s="4">
        <f t="shared" si="1"/>
        <v>127.46250000000001</v>
      </c>
      <c r="O23" s="4">
        <f t="shared" si="2"/>
        <v>405</v>
      </c>
      <c r="P23" s="4">
        <f t="shared" si="3"/>
        <v>1274.625</v>
      </c>
      <c r="Q23" s="4">
        <f t="shared" si="4"/>
        <v>127.46250000000001</v>
      </c>
      <c r="R23" s="4">
        <f t="shared" si="5"/>
        <v>63.731250000000003</v>
      </c>
      <c r="S23" s="4">
        <f t="shared" si="6"/>
        <v>63.731250000000003</v>
      </c>
      <c r="T23" s="4">
        <f t="shared" si="7"/>
        <v>1274.625</v>
      </c>
      <c r="U23" s="4">
        <f t="shared" si="8"/>
        <v>2549.25</v>
      </c>
      <c r="V23" s="4">
        <f t="shared" si="9"/>
        <v>2.8325000000000005</v>
      </c>
      <c r="W23" s="4">
        <f t="shared" si="10"/>
        <v>56.650000000000006</v>
      </c>
      <c r="X23" s="4">
        <f t="shared" si="11"/>
        <v>15</v>
      </c>
      <c r="Y23" s="4">
        <f t="shared" si="12"/>
        <v>1359.6000000000001</v>
      </c>
      <c r="Z23" s="4">
        <f t="shared" si="13"/>
        <v>3823.8750000000005</v>
      </c>
      <c r="AA23" s="4">
        <f>L23*Rates!$D$6</f>
        <v>95488.425000000032</v>
      </c>
      <c r="AB23" s="4">
        <f>M23*Rates!$D$7</f>
        <v>44708.949000000015</v>
      </c>
      <c r="AC23" s="4">
        <f>N23*Rates!$D$8</f>
        <v>5735.8125</v>
      </c>
      <c r="AD23" s="4">
        <f>O23*Rates!$D$9</f>
        <v>810</v>
      </c>
      <c r="AE23" s="4">
        <f>Q23*Rates!$D$10</f>
        <v>828.50625000000002</v>
      </c>
      <c r="AF23" s="4">
        <f>R23*Rates!$D$11</f>
        <v>2867.90625</v>
      </c>
      <c r="AG23" s="4">
        <f>S23*Rates!$D$12</f>
        <v>2995.3687500000001</v>
      </c>
      <c r="AH23" s="4">
        <f>T23*Rates!$D$13</f>
        <v>573.58125000000007</v>
      </c>
      <c r="AI23" s="4">
        <f>U23*Rates!$D$14</f>
        <v>892.23749999999995</v>
      </c>
      <c r="AJ23" s="4">
        <f>V23*Rates!$D$15</f>
        <v>11.330000000000002</v>
      </c>
      <c r="AK23" s="4">
        <f>W23*Rates!$D$16</f>
        <v>3002.4500000000003</v>
      </c>
      <c r="AL23" s="4">
        <f>X23*Rates!$D$17</f>
        <v>45</v>
      </c>
      <c r="AM23" s="4">
        <f>Y23*Rates!$D$18</f>
        <v>271.92</v>
      </c>
      <c r="AN23" s="4">
        <f>Z23*Rates!$D$19</f>
        <v>15295.500000000002</v>
      </c>
      <c r="AO23" s="4">
        <f t="shared" si="14"/>
        <v>173526.98650000003</v>
      </c>
    </row>
    <row r="24" spans="1:41" x14ac:dyDescent="0.25">
      <c r="A24" s="3">
        <v>23</v>
      </c>
      <c r="B24" s="3" t="s">
        <v>238</v>
      </c>
      <c r="C24" s="3" t="s">
        <v>131</v>
      </c>
      <c r="D24" s="3" t="s">
        <v>265</v>
      </c>
      <c r="E24" s="3" t="s">
        <v>24</v>
      </c>
      <c r="F24" s="3">
        <v>12</v>
      </c>
      <c r="G24" s="3">
        <v>4</v>
      </c>
      <c r="H24" s="3">
        <v>2.5</v>
      </c>
      <c r="I24" s="3">
        <v>32</v>
      </c>
      <c r="J24" s="3" t="s">
        <v>240</v>
      </c>
      <c r="K24" s="4">
        <f>F24*G24+(F24+1)*Rates!$D$31</f>
        <v>51.25</v>
      </c>
      <c r="L24" s="4">
        <f>(F24*((G24+Rates!$D$31)*(H24+0.6)-G24*H24)+0.8)*I24</f>
        <v>1244.8000000000002</v>
      </c>
      <c r="M24" s="4">
        <f t="shared" si="0"/>
        <v>149.376</v>
      </c>
      <c r="N24" s="4">
        <f t="shared" si="1"/>
        <v>180.4</v>
      </c>
      <c r="O24" s="4">
        <f t="shared" si="2"/>
        <v>288</v>
      </c>
      <c r="P24" s="4">
        <f t="shared" si="3"/>
        <v>1804.0000000000002</v>
      </c>
      <c r="Q24" s="4">
        <f t="shared" si="4"/>
        <v>180.40000000000003</v>
      </c>
      <c r="R24" s="4">
        <f t="shared" si="5"/>
        <v>90.200000000000017</v>
      </c>
      <c r="S24" s="4">
        <f t="shared" si="6"/>
        <v>90.200000000000017</v>
      </c>
      <c r="T24" s="4">
        <f t="shared" si="7"/>
        <v>1804.0000000000002</v>
      </c>
      <c r="U24" s="4">
        <f t="shared" si="8"/>
        <v>3608.0000000000005</v>
      </c>
      <c r="V24" s="4">
        <f t="shared" si="9"/>
        <v>5.6375000000000002</v>
      </c>
      <c r="W24" s="4">
        <f t="shared" si="10"/>
        <v>112.75000000000001</v>
      </c>
      <c r="X24" s="4">
        <f t="shared" si="11"/>
        <v>29</v>
      </c>
      <c r="Y24" s="4">
        <f t="shared" si="12"/>
        <v>1973.1250000000002</v>
      </c>
      <c r="Z24" s="4">
        <f t="shared" si="13"/>
        <v>0</v>
      </c>
      <c r="AA24" s="4">
        <f>L24*Rates!$D$6</f>
        <v>133069.12000000002</v>
      </c>
      <c r="AB24" s="4">
        <f>M24*Rates!$D$7</f>
        <v>62304.729600000006</v>
      </c>
      <c r="AC24" s="4">
        <f>N24*Rates!$D$8</f>
        <v>8118</v>
      </c>
      <c r="AD24" s="4">
        <f>O24*Rates!$D$9</f>
        <v>576</v>
      </c>
      <c r="AE24" s="4">
        <f>Q24*Rates!$D$10</f>
        <v>1172.6000000000001</v>
      </c>
      <c r="AF24" s="4">
        <f>R24*Rates!$D$11</f>
        <v>4059.0000000000009</v>
      </c>
      <c r="AG24" s="4">
        <f>S24*Rates!$D$12</f>
        <v>4239.4000000000005</v>
      </c>
      <c r="AH24" s="4">
        <f>T24*Rates!$D$13</f>
        <v>811.80000000000007</v>
      </c>
      <c r="AI24" s="4">
        <f>U24*Rates!$D$14</f>
        <v>1262.8000000000002</v>
      </c>
      <c r="AJ24" s="4">
        <f>V24*Rates!$D$15</f>
        <v>22.55</v>
      </c>
      <c r="AK24" s="4">
        <f>W24*Rates!$D$16</f>
        <v>5975.7500000000009</v>
      </c>
      <c r="AL24" s="4">
        <f>X24*Rates!$D$17</f>
        <v>87</v>
      </c>
      <c r="AM24" s="4">
        <f>Y24*Rates!$D$18</f>
        <v>394.62500000000006</v>
      </c>
      <c r="AN24" s="4">
        <f>Z24*Rates!$D$19</f>
        <v>0</v>
      </c>
      <c r="AO24" s="4">
        <f t="shared" si="14"/>
        <v>222093.37459999998</v>
      </c>
    </row>
    <row r="25" spans="1:41" x14ac:dyDescent="0.25">
      <c r="A25" s="3">
        <v>24</v>
      </c>
      <c r="B25" s="3" t="s">
        <v>241</v>
      </c>
      <c r="C25" s="3" t="s">
        <v>131</v>
      </c>
      <c r="D25" s="3" t="s">
        <v>266</v>
      </c>
      <c r="E25" s="3" t="s">
        <v>24</v>
      </c>
      <c r="F25" s="3">
        <v>12</v>
      </c>
      <c r="G25" s="3">
        <v>4</v>
      </c>
      <c r="H25" s="3">
        <v>2.5</v>
      </c>
      <c r="I25" s="3">
        <v>45</v>
      </c>
      <c r="J25" s="3" t="s">
        <v>240</v>
      </c>
      <c r="K25" s="4">
        <f>F25*G25+(F25+1)*Rates!$D$31</f>
        <v>51.25</v>
      </c>
      <c r="L25" s="4">
        <f>(F25*((G25+Rates!$D$31)*(H25+0.6)-G25*H25)+0.8)*I25</f>
        <v>1750.5000000000002</v>
      </c>
      <c r="M25" s="4">
        <f t="shared" si="0"/>
        <v>210.06000000000003</v>
      </c>
      <c r="N25" s="4">
        <f t="shared" si="1"/>
        <v>253.68750000000003</v>
      </c>
      <c r="O25" s="4">
        <f t="shared" si="2"/>
        <v>405</v>
      </c>
      <c r="P25" s="4">
        <f t="shared" si="3"/>
        <v>2536.875</v>
      </c>
      <c r="Q25" s="4">
        <f t="shared" si="4"/>
        <v>253.6875</v>
      </c>
      <c r="R25" s="4">
        <f t="shared" si="5"/>
        <v>126.84375</v>
      </c>
      <c r="S25" s="4">
        <f t="shared" si="6"/>
        <v>126.84375</v>
      </c>
      <c r="T25" s="4">
        <f t="shared" si="7"/>
        <v>2536.875</v>
      </c>
      <c r="U25" s="4">
        <f t="shared" si="8"/>
        <v>5073.75</v>
      </c>
      <c r="V25" s="4">
        <f t="shared" si="9"/>
        <v>5.6375000000000002</v>
      </c>
      <c r="W25" s="4">
        <f t="shared" si="10"/>
        <v>112.75000000000001</v>
      </c>
      <c r="X25" s="4">
        <f t="shared" si="11"/>
        <v>29</v>
      </c>
      <c r="Y25" s="4">
        <f t="shared" si="12"/>
        <v>2706</v>
      </c>
      <c r="Z25" s="4">
        <f t="shared" si="13"/>
        <v>0</v>
      </c>
      <c r="AA25" s="4">
        <f>L25*Rates!$D$6</f>
        <v>187128.45000000004</v>
      </c>
      <c r="AB25" s="4">
        <f>M25*Rates!$D$7</f>
        <v>87616.026000000013</v>
      </c>
      <c r="AC25" s="4">
        <f>N25*Rates!$D$8</f>
        <v>11415.937500000002</v>
      </c>
      <c r="AD25" s="4">
        <f>O25*Rates!$D$9</f>
        <v>810</v>
      </c>
      <c r="AE25" s="4">
        <f>Q25*Rates!$D$10</f>
        <v>1648.96875</v>
      </c>
      <c r="AF25" s="4">
        <f>R25*Rates!$D$11</f>
        <v>5707.96875</v>
      </c>
      <c r="AG25" s="4">
        <f>S25*Rates!$D$12</f>
        <v>5961.65625</v>
      </c>
      <c r="AH25" s="4">
        <f>T25*Rates!$D$13</f>
        <v>1141.59375</v>
      </c>
      <c r="AI25" s="4">
        <f>U25*Rates!$D$14</f>
        <v>1775.8125</v>
      </c>
      <c r="AJ25" s="4">
        <f>V25*Rates!$D$15</f>
        <v>22.55</v>
      </c>
      <c r="AK25" s="4">
        <f>W25*Rates!$D$16</f>
        <v>5975.7500000000009</v>
      </c>
      <c r="AL25" s="4">
        <f>X25*Rates!$D$17</f>
        <v>87</v>
      </c>
      <c r="AM25" s="4">
        <f>Y25*Rates!$D$18</f>
        <v>541.20000000000005</v>
      </c>
      <c r="AN25" s="4">
        <f>Z25*Rates!$D$19</f>
        <v>0</v>
      </c>
      <c r="AO25" s="4">
        <f t="shared" si="14"/>
        <v>309832.91350000002</v>
      </c>
    </row>
    <row r="26" spans="1:41" x14ac:dyDescent="0.25">
      <c r="A26" s="3">
        <v>25</v>
      </c>
      <c r="B26" s="3" t="s">
        <v>244</v>
      </c>
      <c r="C26" s="3" t="s">
        <v>131</v>
      </c>
      <c r="D26" s="3" t="s">
        <v>267</v>
      </c>
      <c r="E26" s="3" t="s">
        <v>24</v>
      </c>
      <c r="F26" s="3">
        <v>4</v>
      </c>
      <c r="G26" s="3">
        <v>4</v>
      </c>
      <c r="H26" s="3">
        <v>2.5</v>
      </c>
      <c r="I26" s="3">
        <v>45</v>
      </c>
      <c r="J26" s="3" t="s">
        <v>240</v>
      </c>
      <c r="K26" s="4">
        <f>F26*G26+(F26+1)*Rates!$D$31</f>
        <v>17.25</v>
      </c>
      <c r="L26" s="4">
        <f>(F26*((G26+Rates!$D$31)*(H26+0.6)-G26*H26)+0.8)*I26</f>
        <v>607.50000000000011</v>
      </c>
      <c r="M26" s="4">
        <f t="shared" si="0"/>
        <v>72.900000000000006</v>
      </c>
      <c r="N26" s="4">
        <f t="shared" si="1"/>
        <v>85.387500000000003</v>
      </c>
      <c r="O26" s="4">
        <f t="shared" si="2"/>
        <v>405</v>
      </c>
      <c r="P26" s="4">
        <f t="shared" si="3"/>
        <v>853.87500000000011</v>
      </c>
      <c r="Q26" s="4">
        <f t="shared" si="4"/>
        <v>85.387500000000017</v>
      </c>
      <c r="R26" s="4">
        <f t="shared" si="5"/>
        <v>42.693750000000009</v>
      </c>
      <c r="S26" s="4">
        <f t="shared" si="6"/>
        <v>42.693750000000009</v>
      </c>
      <c r="T26" s="4">
        <f t="shared" si="7"/>
        <v>853.87500000000011</v>
      </c>
      <c r="U26" s="4">
        <f t="shared" si="8"/>
        <v>1707.7500000000002</v>
      </c>
      <c r="V26" s="4">
        <f t="shared" si="9"/>
        <v>1.8975000000000002</v>
      </c>
      <c r="W26" s="4">
        <f t="shared" si="10"/>
        <v>37.950000000000003</v>
      </c>
      <c r="X26" s="4">
        <f t="shared" si="11"/>
        <v>10</v>
      </c>
      <c r="Y26" s="4">
        <f t="shared" si="12"/>
        <v>910.80000000000007</v>
      </c>
      <c r="Z26" s="4">
        <f t="shared" si="13"/>
        <v>0</v>
      </c>
      <c r="AA26" s="4">
        <f>L26*Rates!$D$6</f>
        <v>64941.750000000015</v>
      </c>
      <c r="AB26" s="4">
        <f>M26*Rates!$D$7</f>
        <v>30406.590000000004</v>
      </c>
      <c r="AC26" s="4">
        <f>N26*Rates!$D$8</f>
        <v>3842.4375</v>
      </c>
      <c r="AD26" s="4">
        <f>O26*Rates!$D$9</f>
        <v>810</v>
      </c>
      <c r="AE26" s="4">
        <f>Q26*Rates!$D$10</f>
        <v>555.01875000000007</v>
      </c>
      <c r="AF26" s="4">
        <f>R26*Rates!$D$11</f>
        <v>1921.2187500000005</v>
      </c>
      <c r="AG26" s="4">
        <f>S26*Rates!$D$12</f>
        <v>2006.6062500000005</v>
      </c>
      <c r="AH26" s="4">
        <f>T26*Rates!$D$13</f>
        <v>384.24375000000003</v>
      </c>
      <c r="AI26" s="4">
        <f>U26*Rates!$D$14</f>
        <v>597.71250000000009</v>
      </c>
      <c r="AJ26" s="4">
        <f>V26*Rates!$D$15</f>
        <v>7.5900000000000007</v>
      </c>
      <c r="AK26" s="4">
        <f>W26*Rates!$D$16</f>
        <v>2011.3500000000001</v>
      </c>
      <c r="AL26" s="4">
        <f>X26*Rates!$D$17</f>
        <v>30</v>
      </c>
      <c r="AM26" s="4">
        <f>Y26*Rates!$D$18</f>
        <v>182.16000000000003</v>
      </c>
      <c r="AN26" s="4">
        <f>Z26*Rates!$D$19</f>
        <v>0</v>
      </c>
      <c r="AO26" s="4">
        <f t="shared" si="14"/>
        <v>107696.67750000002</v>
      </c>
    </row>
    <row r="27" spans="1:41" x14ac:dyDescent="0.25">
      <c r="A27" s="3">
        <v>26</v>
      </c>
      <c r="B27" s="3" t="s">
        <v>238</v>
      </c>
      <c r="C27" s="3" t="s">
        <v>132</v>
      </c>
      <c r="D27" s="3" t="s">
        <v>268</v>
      </c>
      <c r="E27" s="3" t="s">
        <v>24</v>
      </c>
      <c r="F27" s="3">
        <v>15</v>
      </c>
      <c r="G27" s="3">
        <v>4</v>
      </c>
      <c r="H27" s="3">
        <v>2.5</v>
      </c>
      <c r="I27" s="3">
        <v>32</v>
      </c>
      <c r="J27" s="3" t="s">
        <v>240</v>
      </c>
      <c r="K27" s="4">
        <f>F27*G27+(F27+1)*Rates!$D$31</f>
        <v>64</v>
      </c>
      <c r="L27" s="4">
        <f>(F27*((G27+Rates!$D$31)*(H27+0.6)-G27*H27)+0.8)*I27</f>
        <v>1549.6000000000004</v>
      </c>
      <c r="M27" s="4">
        <f t="shared" si="0"/>
        <v>185.95200000000003</v>
      </c>
      <c r="N27" s="4">
        <f t="shared" si="1"/>
        <v>225.28000000000003</v>
      </c>
      <c r="O27" s="4">
        <f t="shared" si="2"/>
        <v>288</v>
      </c>
      <c r="P27" s="4">
        <f t="shared" si="3"/>
        <v>2252.8000000000002</v>
      </c>
      <c r="Q27" s="4">
        <f t="shared" si="4"/>
        <v>225.28000000000003</v>
      </c>
      <c r="R27" s="4">
        <f t="shared" si="5"/>
        <v>112.64000000000001</v>
      </c>
      <c r="S27" s="4">
        <f t="shared" si="6"/>
        <v>112.64000000000001</v>
      </c>
      <c r="T27" s="4">
        <f t="shared" si="7"/>
        <v>2252.8000000000002</v>
      </c>
      <c r="U27" s="4">
        <f t="shared" si="8"/>
        <v>4505.6000000000004</v>
      </c>
      <c r="V27" s="4">
        <f t="shared" si="9"/>
        <v>7.0400000000000009</v>
      </c>
      <c r="W27" s="4">
        <f t="shared" si="10"/>
        <v>140.80000000000001</v>
      </c>
      <c r="X27" s="4">
        <f t="shared" si="11"/>
        <v>36</v>
      </c>
      <c r="Y27" s="4">
        <f t="shared" si="12"/>
        <v>2464</v>
      </c>
      <c r="Z27" s="4">
        <f t="shared" si="13"/>
        <v>0</v>
      </c>
      <c r="AA27" s="4">
        <f>L27*Rates!$D$6</f>
        <v>165652.24000000005</v>
      </c>
      <c r="AB27" s="4">
        <f>M27*Rates!$D$7</f>
        <v>77560.579200000022</v>
      </c>
      <c r="AC27" s="4">
        <f>N27*Rates!$D$8</f>
        <v>10137.600000000002</v>
      </c>
      <c r="AD27" s="4">
        <f>O27*Rates!$D$9</f>
        <v>576</v>
      </c>
      <c r="AE27" s="4">
        <f>Q27*Rates!$D$10</f>
        <v>1464.3200000000002</v>
      </c>
      <c r="AF27" s="4">
        <f>R27*Rates!$D$11</f>
        <v>5068.8000000000011</v>
      </c>
      <c r="AG27" s="4">
        <f>S27*Rates!$D$12</f>
        <v>5294.0800000000008</v>
      </c>
      <c r="AH27" s="4">
        <f>T27*Rates!$D$13</f>
        <v>1013.7600000000001</v>
      </c>
      <c r="AI27" s="4">
        <f>U27*Rates!$D$14</f>
        <v>1576.96</v>
      </c>
      <c r="AJ27" s="4">
        <f>V27*Rates!$D$15</f>
        <v>28.160000000000004</v>
      </c>
      <c r="AK27" s="4">
        <f>W27*Rates!$D$16</f>
        <v>7462.4000000000005</v>
      </c>
      <c r="AL27" s="4">
        <f>X27*Rates!$D$17</f>
        <v>108</v>
      </c>
      <c r="AM27" s="4">
        <f>Y27*Rates!$D$18</f>
        <v>492.8</v>
      </c>
      <c r="AN27" s="4">
        <f>Z27*Rates!$D$19</f>
        <v>0</v>
      </c>
      <c r="AO27" s="4">
        <f t="shared" si="14"/>
        <v>276435.69920000009</v>
      </c>
    </row>
    <row r="28" spans="1:41" x14ac:dyDescent="0.25">
      <c r="A28" s="3">
        <v>27</v>
      </c>
      <c r="B28" s="3" t="s">
        <v>241</v>
      </c>
      <c r="C28" s="3" t="s">
        <v>132</v>
      </c>
      <c r="D28" s="3" t="s">
        <v>269</v>
      </c>
      <c r="E28" s="3" t="s">
        <v>24</v>
      </c>
      <c r="F28" s="3">
        <v>14</v>
      </c>
      <c r="G28" s="3">
        <v>4</v>
      </c>
      <c r="H28" s="3">
        <v>2.5</v>
      </c>
      <c r="I28" s="3">
        <v>45</v>
      </c>
      <c r="J28" s="3" t="s">
        <v>243</v>
      </c>
      <c r="K28" s="4">
        <f>F28*G28+(F28+1)*Rates!$D$31</f>
        <v>59.75</v>
      </c>
      <c r="L28" s="4">
        <f>(F28*((G28+Rates!$D$31)*(H28+0.6)-G28*H28)+0.8)*I28</f>
        <v>2036.2500000000002</v>
      </c>
      <c r="M28" s="4">
        <f t="shared" si="0"/>
        <v>244.35000000000002</v>
      </c>
      <c r="N28" s="4">
        <f t="shared" si="1"/>
        <v>295.76250000000005</v>
      </c>
      <c r="O28" s="4">
        <f t="shared" si="2"/>
        <v>405</v>
      </c>
      <c r="P28" s="4">
        <f t="shared" si="3"/>
        <v>2957.6250000000005</v>
      </c>
      <c r="Q28" s="4">
        <f t="shared" si="4"/>
        <v>295.76250000000005</v>
      </c>
      <c r="R28" s="4">
        <f t="shared" si="5"/>
        <v>147.88125000000002</v>
      </c>
      <c r="S28" s="4">
        <f t="shared" si="6"/>
        <v>147.88125000000002</v>
      </c>
      <c r="T28" s="4">
        <f t="shared" si="7"/>
        <v>2957.6250000000005</v>
      </c>
      <c r="U28" s="4">
        <f t="shared" si="8"/>
        <v>5915.2500000000009</v>
      </c>
      <c r="V28" s="4">
        <f t="shared" si="9"/>
        <v>6.5725000000000007</v>
      </c>
      <c r="W28" s="4">
        <f t="shared" si="10"/>
        <v>131.45000000000002</v>
      </c>
      <c r="X28" s="4">
        <f t="shared" si="11"/>
        <v>33</v>
      </c>
      <c r="Y28" s="4">
        <f t="shared" si="12"/>
        <v>3154.8</v>
      </c>
      <c r="Z28" s="4">
        <f t="shared" si="13"/>
        <v>8872.875</v>
      </c>
      <c r="AA28" s="4">
        <f>L28*Rates!$D$6</f>
        <v>217675.12500000003</v>
      </c>
      <c r="AB28" s="4">
        <f>M28*Rates!$D$7</f>
        <v>101918.38500000001</v>
      </c>
      <c r="AC28" s="4">
        <f>N28*Rates!$D$8</f>
        <v>13309.312500000002</v>
      </c>
      <c r="AD28" s="4">
        <f>O28*Rates!$D$9</f>
        <v>810</v>
      </c>
      <c r="AE28" s="4">
        <f>Q28*Rates!$D$10</f>
        <v>1922.4562500000002</v>
      </c>
      <c r="AF28" s="4">
        <f>R28*Rates!$D$11</f>
        <v>6654.6562500000009</v>
      </c>
      <c r="AG28" s="4">
        <f>S28*Rates!$D$12</f>
        <v>6950.4187500000007</v>
      </c>
      <c r="AH28" s="4">
        <f>T28*Rates!$D$13</f>
        <v>1330.9312500000003</v>
      </c>
      <c r="AI28" s="4">
        <f>U28*Rates!$D$14</f>
        <v>2070.3375000000001</v>
      </c>
      <c r="AJ28" s="4">
        <f>V28*Rates!$D$15</f>
        <v>26.290000000000003</v>
      </c>
      <c r="AK28" s="4">
        <f>W28*Rates!$D$16</f>
        <v>6966.8500000000013</v>
      </c>
      <c r="AL28" s="4">
        <f>X28*Rates!$D$17</f>
        <v>99</v>
      </c>
      <c r="AM28" s="4">
        <f>Y28*Rates!$D$18</f>
        <v>630.96</v>
      </c>
      <c r="AN28" s="4">
        <f>Z28*Rates!$D$19</f>
        <v>35491.5</v>
      </c>
      <c r="AO28" s="4">
        <f t="shared" si="14"/>
        <v>395856.22250000003</v>
      </c>
    </row>
    <row r="29" spans="1:41" x14ac:dyDescent="0.25">
      <c r="A29" s="3">
        <v>28</v>
      </c>
      <c r="B29" s="3" t="s">
        <v>244</v>
      </c>
      <c r="C29" s="3" t="s">
        <v>132</v>
      </c>
      <c r="D29" s="3" t="s">
        <v>270</v>
      </c>
      <c r="E29" s="3" t="s">
        <v>24</v>
      </c>
      <c r="F29" s="3">
        <v>8</v>
      </c>
      <c r="G29" s="3">
        <v>4</v>
      </c>
      <c r="H29" s="3">
        <v>2.5</v>
      </c>
      <c r="I29" s="3">
        <v>45</v>
      </c>
      <c r="J29" s="3" t="s">
        <v>240</v>
      </c>
      <c r="K29" s="4">
        <f>F29*G29+(F29+1)*Rates!$D$31</f>
        <v>34.25</v>
      </c>
      <c r="L29" s="4">
        <f>(F29*((G29+Rates!$D$31)*(H29+0.6)-G29*H29)+0.8)*I29</f>
        <v>1179.0000000000002</v>
      </c>
      <c r="M29" s="4">
        <f t="shared" si="0"/>
        <v>141.48000000000002</v>
      </c>
      <c r="N29" s="4">
        <f t="shared" si="1"/>
        <v>169.53750000000002</v>
      </c>
      <c r="O29" s="4">
        <f t="shared" si="2"/>
        <v>405</v>
      </c>
      <c r="P29" s="4">
        <f t="shared" si="3"/>
        <v>1695.3750000000002</v>
      </c>
      <c r="Q29" s="4">
        <f t="shared" si="4"/>
        <v>169.53750000000002</v>
      </c>
      <c r="R29" s="4">
        <f t="shared" si="5"/>
        <v>84.768750000000011</v>
      </c>
      <c r="S29" s="4">
        <f t="shared" si="6"/>
        <v>84.768750000000011</v>
      </c>
      <c r="T29" s="4">
        <f t="shared" si="7"/>
        <v>1695.3750000000002</v>
      </c>
      <c r="U29" s="4">
        <f t="shared" si="8"/>
        <v>3390.7500000000005</v>
      </c>
      <c r="V29" s="4">
        <f t="shared" si="9"/>
        <v>3.7675000000000005</v>
      </c>
      <c r="W29" s="4">
        <f t="shared" si="10"/>
        <v>75.350000000000009</v>
      </c>
      <c r="X29" s="4">
        <f t="shared" si="11"/>
        <v>19</v>
      </c>
      <c r="Y29" s="4">
        <f t="shared" si="12"/>
        <v>1808.4</v>
      </c>
      <c r="Z29" s="4">
        <f t="shared" si="13"/>
        <v>0</v>
      </c>
      <c r="AA29" s="4">
        <f>L29*Rates!$D$6</f>
        <v>126035.10000000003</v>
      </c>
      <c r="AB29" s="4">
        <f>M29*Rates!$D$7</f>
        <v>59011.308000000012</v>
      </c>
      <c r="AC29" s="4">
        <f>N29*Rates!$D$8</f>
        <v>7629.1875000000009</v>
      </c>
      <c r="AD29" s="4">
        <f>O29*Rates!$D$9</f>
        <v>810</v>
      </c>
      <c r="AE29" s="4">
        <f>Q29*Rates!$D$10</f>
        <v>1101.9937500000001</v>
      </c>
      <c r="AF29" s="4">
        <f>R29*Rates!$D$11</f>
        <v>3814.5937500000005</v>
      </c>
      <c r="AG29" s="4">
        <f>S29*Rates!$D$12</f>
        <v>3984.1312500000004</v>
      </c>
      <c r="AH29" s="4">
        <f>T29*Rates!$D$13</f>
        <v>762.91875000000016</v>
      </c>
      <c r="AI29" s="4">
        <f>U29*Rates!$D$14</f>
        <v>1186.7625</v>
      </c>
      <c r="AJ29" s="4">
        <f>V29*Rates!$D$15</f>
        <v>15.070000000000002</v>
      </c>
      <c r="AK29" s="4">
        <f>W29*Rates!$D$16</f>
        <v>3993.5500000000006</v>
      </c>
      <c r="AL29" s="4">
        <f>X29*Rates!$D$17</f>
        <v>57</v>
      </c>
      <c r="AM29" s="4">
        <f>Y29*Rates!$D$18</f>
        <v>361.68000000000006</v>
      </c>
      <c r="AN29" s="4">
        <f>Z29*Rates!$D$19</f>
        <v>0</v>
      </c>
      <c r="AO29" s="4">
        <f t="shared" si="14"/>
        <v>208763.29550000007</v>
      </c>
    </row>
    <row r="30" spans="1:41" x14ac:dyDescent="0.25">
      <c r="A30" s="3">
        <v>29</v>
      </c>
      <c r="B30" s="3" t="s">
        <v>241</v>
      </c>
      <c r="C30" s="3" t="s">
        <v>133</v>
      </c>
      <c r="D30" s="3" t="s">
        <v>271</v>
      </c>
      <c r="E30" s="3" t="s">
        <v>24</v>
      </c>
      <c r="F30" s="3">
        <v>5</v>
      </c>
      <c r="G30" s="3">
        <v>4</v>
      </c>
      <c r="H30" s="3">
        <v>2.5</v>
      </c>
      <c r="I30" s="3">
        <v>45</v>
      </c>
      <c r="J30" s="3" t="s">
        <v>243</v>
      </c>
      <c r="K30" s="4">
        <f>F30*G30+(F30+1)*Rates!$D$31</f>
        <v>21.5</v>
      </c>
      <c r="L30" s="4">
        <f>(F30*((G30+Rates!$D$31)*(H30+0.6)-G30*H30)+0.8)*I30</f>
        <v>750.37500000000023</v>
      </c>
      <c r="M30" s="4">
        <f t="shared" si="0"/>
        <v>90.04500000000003</v>
      </c>
      <c r="N30" s="4">
        <f t="shared" si="1"/>
        <v>106.42500000000001</v>
      </c>
      <c r="O30" s="4">
        <f t="shared" si="2"/>
        <v>405</v>
      </c>
      <c r="P30" s="4">
        <f t="shared" si="3"/>
        <v>1064.25</v>
      </c>
      <c r="Q30" s="4">
        <f t="shared" si="4"/>
        <v>106.42500000000001</v>
      </c>
      <c r="R30" s="4">
        <f t="shared" si="5"/>
        <v>53.212500000000006</v>
      </c>
      <c r="S30" s="4">
        <f t="shared" si="6"/>
        <v>53.212500000000006</v>
      </c>
      <c r="T30" s="4">
        <f t="shared" si="7"/>
        <v>1064.25</v>
      </c>
      <c r="U30" s="4">
        <f t="shared" si="8"/>
        <v>2128.5</v>
      </c>
      <c r="V30" s="4">
        <f t="shared" si="9"/>
        <v>2.3650000000000002</v>
      </c>
      <c r="W30" s="4">
        <f t="shared" si="10"/>
        <v>47.300000000000004</v>
      </c>
      <c r="X30" s="4">
        <f t="shared" si="11"/>
        <v>12</v>
      </c>
      <c r="Y30" s="4">
        <f t="shared" si="12"/>
        <v>1135.2</v>
      </c>
      <c r="Z30" s="4">
        <f t="shared" si="13"/>
        <v>3192.7500000000005</v>
      </c>
      <c r="AA30" s="4">
        <f>L30*Rates!$D$6</f>
        <v>80215.087500000023</v>
      </c>
      <c r="AB30" s="4">
        <f>M30*Rates!$D$7</f>
        <v>37557.769500000017</v>
      </c>
      <c r="AC30" s="4">
        <f>N30*Rates!$D$8</f>
        <v>4789.1250000000009</v>
      </c>
      <c r="AD30" s="4">
        <f>O30*Rates!$D$9</f>
        <v>810</v>
      </c>
      <c r="AE30" s="4">
        <f>Q30*Rates!$D$10</f>
        <v>691.76250000000005</v>
      </c>
      <c r="AF30" s="4">
        <f>R30*Rates!$D$11</f>
        <v>2394.5625000000005</v>
      </c>
      <c r="AG30" s="4">
        <f>S30*Rates!$D$12</f>
        <v>2500.9875000000002</v>
      </c>
      <c r="AH30" s="4">
        <f>T30*Rates!$D$13</f>
        <v>478.91250000000002</v>
      </c>
      <c r="AI30" s="4">
        <f>U30*Rates!$D$14</f>
        <v>744.97499999999991</v>
      </c>
      <c r="AJ30" s="4">
        <f>V30*Rates!$D$15</f>
        <v>9.4600000000000009</v>
      </c>
      <c r="AK30" s="4">
        <f>W30*Rates!$D$16</f>
        <v>2506.9</v>
      </c>
      <c r="AL30" s="4">
        <f>X30*Rates!$D$17</f>
        <v>36</v>
      </c>
      <c r="AM30" s="4">
        <f>Y30*Rates!$D$18</f>
        <v>227.04000000000002</v>
      </c>
      <c r="AN30" s="4">
        <f>Z30*Rates!$D$19</f>
        <v>12771.000000000002</v>
      </c>
      <c r="AO30" s="4">
        <f t="shared" si="14"/>
        <v>145733.58200000008</v>
      </c>
    </row>
    <row r="31" spans="1:41" x14ac:dyDescent="0.25">
      <c r="A31" s="3">
        <v>30</v>
      </c>
      <c r="B31" s="3" t="s">
        <v>244</v>
      </c>
      <c r="C31" s="3" t="s">
        <v>133</v>
      </c>
      <c r="D31" s="3" t="s">
        <v>272</v>
      </c>
      <c r="E31" s="3" t="s">
        <v>24</v>
      </c>
      <c r="F31" s="3">
        <v>4</v>
      </c>
      <c r="G31" s="3">
        <v>4</v>
      </c>
      <c r="H31" s="3">
        <v>2.5</v>
      </c>
      <c r="I31" s="3">
        <v>45</v>
      </c>
      <c r="J31" s="3" t="s">
        <v>240</v>
      </c>
      <c r="K31" s="4">
        <f>F31*G31+(F31+1)*Rates!$D$31</f>
        <v>17.25</v>
      </c>
      <c r="L31" s="4">
        <f>(F31*((G31+Rates!$D$31)*(H31+0.6)-G31*H31)+0.8)*I31</f>
        <v>607.50000000000011</v>
      </c>
      <c r="M31" s="4">
        <f t="shared" si="0"/>
        <v>72.900000000000006</v>
      </c>
      <c r="N31" s="4">
        <f t="shared" si="1"/>
        <v>85.387500000000003</v>
      </c>
      <c r="O31" s="4">
        <f t="shared" si="2"/>
        <v>405</v>
      </c>
      <c r="P31" s="4">
        <f t="shared" si="3"/>
        <v>853.87500000000011</v>
      </c>
      <c r="Q31" s="4">
        <f t="shared" si="4"/>
        <v>85.387500000000017</v>
      </c>
      <c r="R31" s="4">
        <f t="shared" si="5"/>
        <v>42.693750000000009</v>
      </c>
      <c r="S31" s="4">
        <f t="shared" si="6"/>
        <v>42.693750000000009</v>
      </c>
      <c r="T31" s="4">
        <f t="shared" si="7"/>
        <v>853.87500000000011</v>
      </c>
      <c r="U31" s="4">
        <f t="shared" si="8"/>
        <v>1707.7500000000002</v>
      </c>
      <c r="V31" s="4">
        <f t="shared" si="9"/>
        <v>1.8975000000000002</v>
      </c>
      <c r="W31" s="4">
        <f t="shared" si="10"/>
        <v>37.950000000000003</v>
      </c>
      <c r="X31" s="4">
        <f t="shared" si="11"/>
        <v>10</v>
      </c>
      <c r="Y31" s="4">
        <f t="shared" si="12"/>
        <v>910.80000000000007</v>
      </c>
      <c r="Z31" s="4">
        <f t="shared" si="13"/>
        <v>0</v>
      </c>
      <c r="AA31" s="4">
        <f>L31*Rates!$D$6</f>
        <v>64941.750000000015</v>
      </c>
      <c r="AB31" s="4">
        <f>M31*Rates!$D$7</f>
        <v>30406.590000000004</v>
      </c>
      <c r="AC31" s="4">
        <f>N31*Rates!$D$8</f>
        <v>3842.4375</v>
      </c>
      <c r="AD31" s="4">
        <f>O31*Rates!$D$9</f>
        <v>810</v>
      </c>
      <c r="AE31" s="4">
        <f>Q31*Rates!$D$10</f>
        <v>555.01875000000007</v>
      </c>
      <c r="AF31" s="4">
        <f>R31*Rates!$D$11</f>
        <v>1921.2187500000005</v>
      </c>
      <c r="AG31" s="4">
        <f>S31*Rates!$D$12</f>
        <v>2006.6062500000005</v>
      </c>
      <c r="AH31" s="4">
        <f>T31*Rates!$D$13</f>
        <v>384.24375000000003</v>
      </c>
      <c r="AI31" s="4">
        <f>U31*Rates!$D$14</f>
        <v>597.71250000000009</v>
      </c>
      <c r="AJ31" s="4">
        <f>V31*Rates!$D$15</f>
        <v>7.5900000000000007</v>
      </c>
      <c r="AK31" s="4">
        <f>W31*Rates!$D$16</f>
        <v>2011.3500000000001</v>
      </c>
      <c r="AL31" s="4">
        <f>X31*Rates!$D$17</f>
        <v>30</v>
      </c>
      <c r="AM31" s="4">
        <f>Y31*Rates!$D$18</f>
        <v>182.16000000000003</v>
      </c>
      <c r="AN31" s="4">
        <f>Z31*Rates!$D$19</f>
        <v>0</v>
      </c>
      <c r="AO31" s="4">
        <f t="shared" si="14"/>
        <v>107696.67750000002</v>
      </c>
    </row>
    <row r="32" spans="1:41" x14ac:dyDescent="0.25">
      <c r="A32" s="3">
        <v>31</v>
      </c>
      <c r="B32" s="3" t="s">
        <v>241</v>
      </c>
      <c r="C32" s="3" t="s">
        <v>134</v>
      </c>
      <c r="D32" s="3" t="s">
        <v>273</v>
      </c>
      <c r="E32" s="3" t="s">
        <v>24</v>
      </c>
      <c r="F32" s="3">
        <v>12</v>
      </c>
      <c r="G32" s="3">
        <v>4</v>
      </c>
      <c r="H32" s="3">
        <v>2.5</v>
      </c>
      <c r="I32" s="3">
        <v>45</v>
      </c>
      <c r="J32" s="3" t="s">
        <v>243</v>
      </c>
      <c r="K32" s="4">
        <f>F32*G32+(F32+1)*Rates!$D$31</f>
        <v>51.25</v>
      </c>
      <c r="L32" s="4">
        <f>(F32*((G32+Rates!$D$31)*(H32+0.6)-G32*H32)+0.8)*I32</f>
        <v>1750.5000000000002</v>
      </c>
      <c r="M32" s="4">
        <f t="shared" si="0"/>
        <v>210.06000000000003</v>
      </c>
      <c r="N32" s="4">
        <f t="shared" si="1"/>
        <v>253.68750000000003</v>
      </c>
      <c r="O32" s="4">
        <f t="shared" si="2"/>
        <v>405</v>
      </c>
      <c r="P32" s="4">
        <f t="shared" si="3"/>
        <v>2536.875</v>
      </c>
      <c r="Q32" s="4">
        <f t="shared" si="4"/>
        <v>253.6875</v>
      </c>
      <c r="R32" s="4">
        <f t="shared" si="5"/>
        <v>126.84375</v>
      </c>
      <c r="S32" s="4">
        <f t="shared" si="6"/>
        <v>126.84375</v>
      </c>
      <c r="T32" s="4">
        <f t="shared" si="7"/>
        <v>2536.875</v>
      </c>
      <c r="U32" s="4">
        <f t="shared" si="8"/>
        <v>5073.75</v>
      </c>
      <c r="V32" s="4">
        <f t="shared" si="9"/>
        <v>5.6375000000000002</v>
      </c>
      <c r="W32" s="4">
        <f t="shared" si="10"/>
        <v>112.75000000000001</v>
      </c>
      <c r="X32" s="4">
        <f t="shared" si="11"/>
        <v>29</v>
      </c>
      <c r="Y32" s="4">
        <f t="shared" si="12"/>
        <v>2706</v>
      </c>
      <c r="Z32" s="4">
        <f t="shared" si="13"/>
        <v>7610.6250000000009</v>
      </c>
      <c r="AA32" s="4">
        <f>L32*Rates!$D$6</f>
        <v>187128.45000000004</v>
      </c>
      <c r="AB32" s="4">
        <f>M32*Rates!$D$7</f>
        <v>87616.026000000013</v>
      </c>
      <c r="AC32" s="4">
        <f>N32*Rates!$D$8</f>
        <v>11415.937500000002</v>
      </c>
      <c r="AD32" s="4">
        <f>O32*Rates!$D$9</f>
        <v>810</v>
      </c>
      <c r="AE32" s="4">
        <f>Q32*Rates!$D$10</f>
        <v>1648.96875</v>
      </c>
      <c r="AF32" s="4">
        <f>R32*Rates!$D$11</f>
        <v>5707.96875</v>
      </c>
      <c r="AG32" s="4">
        <f>S32*Rates!$D$12</f>
        <v>5961.65625</v>
      </c>
      <c r="AH32" s="4">
        <f>T32*Rates!$D$13</f>
        <v>1141.59375</v>
      </c>
      <c r="AI32" s="4">
        <f>U32*Rates!$D$14</f>
        <v>1775.8125</v>
      </c>
      <c r="AJ32" s="4">
        <f>V32*Rates!$D$15</f>
        <v>22.55</v>
      </c>
      <c r="AK32" s="4">
        <f>W32*Rates!$D$16</f>
        <v>5975.7500000000009</v>
      </c>
      <c r="AL32" s="4">
        <f>X32*Rates!$D$17</f>
        <v>87</v>
      </c>
      <c r="AM32" s="4">
        <f>Y32*Rates!$D$18</f>
        <v>541.20000000000005</v>
      </c>
      <c r="AN32" s="4">
        <f>Z32*Rates!$D$19</f>
        <v>30442.500000000004</v>
      </c>
      <c r="AO32" s="4">
        <f t="shared" si="14"/>
        <v>340275.41350000002</v>
      </c>
    </row>
    <row r="33" spans="1:41" x14ac:dyDescent="0.25">
      <c r="A33" s="3">
        <v>32</v>
      </c>
      <c r="B33" s="3" t="s">
        <v>244</v>
      </c>
      <c r="C33" s="3" t="s">
        <v>134</v>
      </c>
      <c r="D33" s="3" t="s">
        <v>274</v>
      </c>
      <c r="E33" s="3" t="s">
        <v>24</v>
      </c>
      <c r="F33" s="3">
        <v>3</v>
      </c>
      <c r="G33" s="3">
        <v>4</v>
      </c>
      <c r="H33" s="3">
        <v>2.5</v>
      </c>
      <c r="I33" s="3">
        <v>45</v>
      </c>
      <c r="J33" s="3" t="s">
        <v>243</v>
      </c>
      <c r="K33" s="4">
        <f>F33*G33+(F33+1)*Rates!$D$31</f>
        <v>13</v>
      </c>
      <c r="L33" s="4">
        <f>(F33*((G33+Rates!$D$31)*(H33+0.6)-G33*H33)+0.8)*I33</f>
        <v>464.62500000000011</v>
      </c>
      <c r="M33" s="4">
        <f t="shared" si="0"/>
        <v>55.75500000000001</v>
      </c>
      <c r="N33" s="4">
        <f t="shared" si="1"/>
        <v>64.350000000000009</v>
      </c>
      <c r="O33" s="4">
        <f t="shared" si="2"/>
        <v>405</v>
      </c>
      <c r="P33" s="4">
        <f t="shared" si="3"/>
        <v>643.5</v>
      </c>
      <c r="Q33" s="4">
        <f t="shared" si="4"/>
        <v>64.350000000000009</v>
      </c>
      <c r="R33" s="4">
        <f t="shared" si="5"/>
        <v>32.175000000000004</v>
      </c>
      <c r="S33" s="4">
        <f t="shared" si="6"/>
        <v>32.175000000000004</v>
      </c>
      <c r="T33" s="4">
        <f t="shared" si="7"/>
        <v>643.5</v>
      </c>
      <c r="U33" s="4">
        <f t="shared" si="8"/>
        <v>1287</v>
      </c>
      <c r="V33" s="4">
        <f t="shared" si="9"/>
        <v>1.4300000000000002</v>
      </c>
      <c r="W33" s="4">
        <f t="shared" si="10"/>
        <v>28.6</v>
      </c>
      <c r="X33" s="4">
        <f t="shared" si="11"/>
        <v>8</v>
      </c>
      <c r="Y33" s="4">
        <f t="shared" si="12"/>
        <v>686.40000000000009</v>
      </c>
      <c r="Z33" s="4">
        <f t="shared" si="13"/>
        <v>1930.5000000000002</v>
      </c>
      <c r="AA33" s="4">
        <f>L33*Rates!$D$6</f>
        <v>49668.412500000013</v>
      </c>
      <c r="AB33" s="4">
        <f>M33*Rates!$D$7</f>
        <v>23255.410500000005</v>
      </c>
      <c r="AC33" s="4">
        <f>N33*Rates!$D$8</f>
        <v>2895.7500000000005</v>
      </c>
      <c r="AD33" s="4">
        <f>O33*Rates!$D$9</f>
        <v>810</v>
      </c>
      <c r="AE33" s="4">
        <f>Q33*Rates!$D$10</f>
        <v>418.27500000000003</v>
      </c>
      <c r="AF33" s="4">
        <f>R33*Rates!$D$11</f>
        <v>1447.8750000000002</v>
      </c>
      <c r="AG33" s="4">
        <f>S33*Rates!$D$12</f>
        <v>1512.2250000000001</v>
      </c>
      <c r="AH33" s="4">
        <f>T33*Rates!$D$13</f>
        <v>289.57499999999999</v>
      </c>
      <c r="AI33" s="4">
        <f>U33*Rates!$D$14</f>
        <v>450.45</v>
      </c>
      <c r="AJ33" s="4">
        <f>V33*Rates!$D$15</f>
        <v>5.7200000000000006</v>
      </c>
      <c r="AK33" s="4">
        <f>W33*Rates!$D$16</f>
        <v>1515.8000000000002</v>
      </c>
      <c r="AL33" s="4">
        <f>X33*Rates!$D$17</f>
        <v>24</v>
      </c>
      <c r="AM33" s="4">
        <f>Y33*Rates!$D$18</f>
        <v>137.28000000000003</v>
      </c>
      <c r="AN33" s="4">
        <f>Z33*Rates!$D$19</f>
        <v>7722.0000000000009</v>
      </c>
      <c r="AO33" s="4">
        <f t="shared" si="14"/>
        <v>90152.773000000016</v>
      </c>
    </row>
    <row r="34" spans="1:41" x14ac:dyDescent="0.25">
      <c r="A34" s="3">
        <v>33</v>
      </c>
      <c r="B34" s="3" t="s">
        <v>241</v>
      </c>
      <c r="C34" s="3" t="s">
        <v>135</v>
      </c>
      <c r="D34" s="3" t="s">
        <v>275</v>
      </c>
      <c r="E34" s="3" t="s">
        <v>24</v>
      </c>
      <c r="F34" s="3">
        <v>15</v>
      </c>
      <c r="G34" s="3">
        <v>4</v>
      </c>
      <c r="H34" s="3">
        <v>2.5</v>
      </c>
      <c r="I34" s="3">
        <v>45</v>
      </c>
      <c r="J34" s="3" t="s">
        <v>243</v>
      </c>
      <c r="K34" s="4">
        <f>F34*G34+(F34+1)*Rates!$D$31</f>
        <v>64</v>
      </c>
      <c r="L34" s="4">
        <f>(F34*((G34+Rates!$D$31)*(H34+0.6)-G34*H34)+0.8)*I34</f>
        <v>2179.1250000000005</v>
      </c>
      <c r="M34" s="4">
        <f t="shared" ref="M34:M65" si="15">0.12*L34</f>
        <v>261.49500000000006</v>
      </c>
      <c r="N34" s="4">
        <f t="shared" ref="N34:N62" si="16">K34*I34*0.1*1.1</f>
        <v>316.8</v>
      </c>
      <c r="O34" s="4">
        <f t="shared" ref="O34:O62" si="17">2*H34*I34+G34*I34</f>
        <v>405</v>
      </c>
      <c r="P34" s="4">
        <f t="shared" ref="P34:P62" si="18">K34*I34*1.1</f>
        <v>3168.0000000000005</v>
      </c>
      <c r="Q34" s="4">
        <f t="shared" ref="Q34:Q65" si="19">P34*0.1</f>
        <v>316.80000000000007</v>
      </c>
      <c r="R34" s="4">
        <f t="shared" ref="R34:R62" si="20">P34*0.05</f>
        <v>158.40000000000003</v>
      </c>
      <c r="S34" s="4">
        <f t="shared" ref="S34:S62" si="21">P34*0.05</f>
        <v>158.40000000000003</v>
      </c>
      <c r="T34" s="4">
        <f t="shared" ref="T34:T62" si="22">P34</f>
        <v>3168.0000000000005</v>
      </c>
      <c r="U34" s="4">
        <f t="shared" ref="U34:U62" si="23">2*P34</f>
        <v>6336.0000000000009</v>
      </c>
      <c r="V34" s="4">
        <f t="shared" ref="V34:V62" si="24">K34*0.1*1.1</f>
        <v>7.0400000000000009</v>
      </c>
      <c r="W34" s="4">
        <f t="shared" ref="W34:W62" si="25">2*K34*1.1</f>
        <v>140.80000000000001</v>
      </c>
      <c r="X34" s="4">
        <f t="shared" ref="X34:X62" si="26">ROUNDUP(2*K34*1.1/4,0)</f>
        <v>36</v>
      </c>
      <c r="Y34" s="4">
        <f t="shared" ref="Y34:Y62" si="27">(I34+3)*K34*1.1</f>
        <v>3379.2000000000003</v>
      </c>
      <c r="Z34" s="4">
        <f t="shared" ref="Z34:Z62" si="28">IF(J34="None",0,K34*I34*(H34+0.5)*1.1)</f>
        <v>9504</v>
      </c>
      <c r="AA34" s="4">
        <f>L34*Rates!$D$6</f>
        <v>232948.46250000005</v>
      </c>
      <c r="AB34" s="4">
        <f>M34*Rates!$D$7</f>
        <v>109069.56450000004</v>
      </c>
      <c r="AC34" s="4">
        <f>N34*Rates!$D$8</f>
        <v>14256</v>
      </c>
      <c r="AD34" s="4">
        <f>O34*Rates!$D$9</f>
        <v>810</v>
      </c>
      <c r="AE34" s="4">
        <f>Q34*Rates!$D$10</f>
        <v>2059.2000000000003</v>
      </c>
      <c r="AF34" s="4">
        <f>R34*Rates!$D$11</f>
        <v>7128.0000000000018</v>
      </c>
      <c r="AG34" s="4">
        <f>S34*Rates!$D$12</f>
        <v>7444.800000000002</v>
      </c>
      <c r="AH34" s="4">
        <f>T34*Rates!$D$13</f>
        <v>1425.6000000000001</v>
      </c>
      <c r="AI34" s="4">
        <f>U34*Rates!$D$14</f>
        <v>2217.6000000000004</v>
      </c>
      <c r="AJ34" s="4">
        <f>V34*Rates!$D$15</f>
        <v>28.160000000000004</v>
      </c>
      <c r="AK34" s="4">
        <f>W34*Rates!$D$16</f>
        <v>7462.4000000000005</v>
      </c>
      <c r="AL34" s="4">
        <f>X34*Rates!$D$17</f>
        <v>108</v>
      </c>
      <c r="AM34" s="4">
        <f>Y34*Rates!$D$18</f>
        <v>675.84000000000015</v>
      </c>
      <c r="AN34" s="4">
        <f>Z34*Rates!$D$19</f>
        <v>38016</v>
      </c>
      <c r="AO34" s="4">
        <f t="shared" ref="AO34:AO65" si="29">SUM(AA34:AN34)</f>
        <v>423649.62700000009</v>
      </c>
    </row>
    <row r="35" spans="1:41" x14ac:dyDescent="0.25">
      <c r="A35" s="3">
        <v>34</v>
      </c>
      <c r="B35" s="3" t="s">
        <v>244</v>
      </c>
      <c r="C35" s="3" t="s">
        <v>135</v>
      </c>
      <c r="D35" s="3" t="s">
        <v>276</v>
      </c>
      <c r="E35" s="3" t="s">
        <v>24</v>
      </c>
      <c r="F35" s="3">
        <v>7</v>
      </c>
      <c r="G35" s="3">
        <v>4</v>
      </c>
      <c r="H35" s="3">
        <v>2.5</v>
      </c>
      <c r="I35" s="3">
        <v>45</v>
      </c>
      <c r="J35" s="3" t="s">
        <v>240</v>
      </c>
      <c r="K35" s="4">
        <f>F35*G35+(F35+1)*Rates!$D$31</f>
        <v>30</v>
      </c>
      <c r="L35" s="4">
        <f>(F35*((G35+Rates!$D$31)*(H35+0.6)-G35*H35)+0.8)*I35</f>
        <v>1036.1250000000002</v>
      </c>
      <c r="M35" s="4">
        <f t="shared" si="15"/>
        <v>124.33500000000002</v>
      </c>
      <c r="N35" s="4">
        <f t="shared" si="16"/>
        <v>148.5</v>
      </c>
      <c r="O35" s="4">
        <f t="shared" si="17"/>
        <v>405</v>
      </c>
      <c r="P35" s="4">
        <f t="shared" si="18"/>
        <v>1485.0000000000002</v>
      </c>
      <c r="Q35" s="4">
        <f t="shared" si="19"/>
        <v>148.50000000000003</v>
      </c>
      <c r="R35" s="4">
        <f t="shared" si="20"/>
        <v>74.250000000000014</v>
      </c>
      <c r="S35" s="4">
        <f t="shared" si="21"/>
        <v>74.250000000000014</v>
      </c>
      <c r="T35" s="4">
        <f t="shared" si="22"/>
        <v>1485.0000000000002</v>
      </c>
      <c r="U35" s="4">
        <f t="shared" si="23"/>
        <v>2970.0000000000005</v>
      </c>
      <c r="V35" s="4">
        <f t="shared" si="24"/>
        <v>3.3000000000000003</v>
      </c>
      <c r="W35" s="4">
        <f t="shared" si="25"/>
        <v>66</v>
      </c>
      <c r="X35" s="4">
        <f t="shared" si="26"/>
        <v>17</v>
      </c>
      <c r="Y35" s="4">
        <f t="shared" si="27"/>
        <v>1584.0000000000002</v>
      </c>
      <c r="Z35" s="4">
        <f t="shared" si="28"/>
        <v>0</v>
      </c>
      <c r="AA35" s="4">
        <f>L35*Rates!$D$6</f>
        <v>110761.76250000003</v>
      </c>
      <c r="AB35" s="4">
        <f>M35*Rates!$D$7</f>
        <v>51860.128500000013</v>
      </c>
      <c r="AC35" s="4">
        <f>N35*Rates!$D$8</f>
        <v>6682.5</v>
      </c>
      <c r="AD35" s="4">
        <f>O35*Rates!$D$9</f>
        <v>810</v>
      </c>
      <c r="AE35" s="4">
        <f>Q35*Rates!$D$10</f>
        <v>965.25000000000023</v>
      </c>
      <c r="AF35" s="4">
        <f>R35*Rates!$D$11</f>
        <v>3341.2500000000005</v>
      </c>
      <c r="AG35" s="4">
        <f>S35*Rates!$D$12</f>
        <v>3489.7500000000005</v>
      </c>
      <c r="AH35" s="4">
        <f>T35*Rates!$D$13</f>
        <v>668.25000000000011</v>
      </c>
      <c r="AI35" s="4">
        <f>U35*Rates!$D$14</f>
        <v>1039.5</v>
      </c>
      <c r="AJ35" s="4">
        <f>V35*Rates!$D$15</f>
        <v>13.200000000000001</v>
      </c>
      <c r="AK35" s="4">
        <f>W35*Rates!$D$16</f>
        <v>3498</v>
      </c>
      <c r="AL35" s="4">
        <f>X35*Rates!$D$17</f>
        <v>51</v>
      </c>
      <c r="AM35" s="4">
        <f>Y35*Rates!$D$18</f>
        <v>316.80000000000007</v>
      </c>
      <c r="AN35" s="4">
        <f>Z35*Rates!$D$19</f>
        <v>0</v>
      </c>
      <c r="AO35" s="4">
        <f t="shared" si="29"/>
        <v>183497.39100000003</v>
      </c>
    </row>
    <row r="36" spans="1:41" x14ac:dyDescent="0.25">
      <c r="A36" s="3">
        <v>35</v>
      </c>
      <c r="B36" s="3" t="s">
        <v>244</v>
      </c>
      <c r="C36" s="3" t="s">
        <v>136</v>
      </c>
      <c r="D36" s="3" t="s">
        <v>277</v>
      </c>
      <c r="E36" s="3" t="s">
        <v>24</v>
      </c>
      <c r="F36" s="3">
        <v>6</v>
      </c>
      <c r="G36" s="3">
        <v>4</v>
      </c>
      <c r="H36" s="3">
        <v>2.5</v>
      </c>
      <c r="I36" s="3">
        <v>45</v>
      </c>
      <c r="J36" s="3" t="s">
        <v>243</v>
      </c>
      <c r="K36" s="4">
        <f>F36*G36+(F36+1)*Rates!$D$31</f>
        <v>25.75</v>
      </c>
      <c r="L36" s="4">
        <f>(F36*((G36+Rates!$D$31)*(H36+0.6)-G36*H36)+0.8)*I36</f>
        <v>893.25000000000023</v>
      </c>
      <c r="M36" s="4">
        <f t="shared" si="15"/>
        <v>107.19000000000003</v>
      </c>
      <c r="N36" s="4">
        <f t="shared" si="16"/>
        <v>127.46250000000001</v>
      </c>
      <c r="O36" s="4">
        <f t="shared" si="17"/>
        <v>405</v>
      </c>
      <c r="P36" s="4">
        <f t="shared" si="18"/>
        <v>1274.625</v>
      </c>
      <c r="Q36" s="4">
        <f t="shared" si="19"/>
        <v>127.46250000000001</v>
      </c>
      <c r="R36" s="4">
        <f t="shared" si="20"/>
        <v>63.731250000000003</v>
      </c>
      <c r="S36" s="4">
        <f t="shared" si="21"/>
        <v>63.731250000000003</v>
      </c>
      <c r="T36" s="4">
        <f t="shared" si="22"/>
        <v>1274.625</v>
      </c>
      <c r="U36" s="4">
        <f t="shared" si="23"/>
        <v>2549.25</v>
      </c>
      <c r="V36" s="4">
        <f t="shared" si="24"/>
        <v>2.8325000000000005</v>
      </c>
      <c r="W36" s="4">
        <f t="shared" si="25"/>
        <v>56.650000000000006</v>
      </c>
      <c r="X36" s="4">
        <f t="shared" si="26"/>
        <v>15</v>
      </c>
      <c r="Y36" s="4">
        <f t="shared" si="27"/>
        <v>1359.6000000000001</v>
      </c>
      <c r="Z36" s="4">
        <f t="shared" si="28"/>
        <v>3823.8750000000005</v>
      </c>
      <c r="AA36" s="4">
        <f>L36*Rates!$D$6</f>
        <v>95488.425000000032</v>
      </c>
      <c r="AB36" s="4">
        <f>M36*Rates!$D$7</f>
        <v>44708.949000000015</v>
      </c>
      <c r="AC36" s="4">
        <f>N36*Rates!$D$8</f>
        <v>5735.8125</v>
      </c>
      <c r="AD36" s="4">
        <f>O36*Rates!$D$9</f>
        <v>810</v>
      </c>
      <c r="AE36" s="4">
        <f>Q36*Rates!$D$10</f>
        <v>828.50625000000002</v>
      </c>
      <c r="AF36" s="4">
        <f>R36*Rates!$D$11</f>
        <v>2867.90625</v>
      </c>
      <c r="AG36" s="4">
        <f>S36*Rates!$D$12</f>
        <v>2995.3687500000001</v>
      </c>
      <c r="AH36" s="4">
        <f>T36*Rates!$D$13</f>
        <v>573.58125000000007</v>
      </c>
      <c r="AI36" s="4">
        <f>U36*Rates!$D$14</f>
        <v>892.23749999999995</v>
      </c>
      <c r="AJ36" s="4">
        <f>V36*Rates!$D$15</f>
        <v>11.330000000000002</v>
      </c>
      <c r="AK36" s="4">
        <f>W36*Rates!$D$16</f>
        <v>3002.4500000000003</v>
      </c>
      <c r="AL36" s="4">
        <f>X36*Rates!$D$17</f>
        <v>45</v>
      </c>
      <c r="AM36" s="4">
        <f>Y36*Rates!$D$18</f>
        <v>271.92</v>
      </c>
      <c r="AN36" s="4">
        <f>Z36*Rates!$D$19</f>
        <v>15295.500000000002</v>
      </c>
      <c r="AO36" s="4">
        <f t="shared" si="29"/>
        <v>173526.98650000003</v>
      </c>
    </row>
    <row r="37" spans="1:41" x14ac:dyDescent="0.25">
      <c r="A37" s="3">
        <v>36</v>
      </c>
      <c r="B37" s="3" t="s">
        <v>241</v>
      </c>
      <c r="C37" s="3" t="s">
        <v>139</v>
      </c>
      <c r="D37" s="3" t="s">
        <v>278</v>
      </c>
      <c r="E37" s="3" t="s">
        <v>24</v>
      </c>
      <c r="F37" s="3">
        <v>6</v>
      </c>
      <c r="G37" s="3">
        <v>4</v>
      </c>
      <c r="H37" s="3">
        <v>2.5</v>
      </c>
      <c r="I37" s="3">
        <v>45</v>
      </c>
      <c r="J37" s="3" t="s">
        <v>243</v>
      </c>
      <c r="K37" s="4">
        <f>F37*G37+(F37+1)*Rates!$D$31</f>
        <v>25.75</v>
      </c>
      <c r="L37" s="4">
        <f>(F37*((G37+Rates!$D$31)*(H37+0.6)-G37*H37)+0.8)*I37</f>
        <v>893.25000000000023</v>
      </c>
      <c r="M37" s="4">
        <f t="shared" si="15"/>
        <v>107.19000000000003</v>
      </c>
      <c r="N37" s="4">
        <f t="shared" si="16"/>
        <v>127.46250000000001</v>
      </c>
      <c r="O37" s="4">
        <f t="shared" si="17"/>
        <v>405</v>
      </c>
      <c r="P37" s="4">
        <f t="shared" si="18"/>
        <v>1274.625</v>
      </c>
      <c r="Q37" s="4">
        <f t="shared" si="19"/>
        <v>127.46250000000001</v>
      </c>
      <c r="R37" s="4">
        <f t="shared" si="20"/>
        <v>63.731250000000003</v>
      </c>
      <c r="S37" s="4">
        <f t="shared" si="21"/>
        <v>63.731250000000003</v>
      </c>
      <c r="T37" s="4">
        <f t="shared" si="22"/>
        <v>1274.625</v>
      </c>
      <c r="U37" s="4">
        <f t="shared" si="23"/>
        <v>2549.25</v>
      </c>
      <c r="V37" s="4">
        <f t="shared" si="24"/>
        <v>2.8325000000000005</v>
      </c>
      <c r="W37" s="4">
        <f t="shared" si="25"/>
        <v>56.650000000000006</v>
      </c>
      <c r="X37" s="4">
        <f t="shared" si="26"/>
        <v>15</v>
      </c>
      <c r="Y37" s="4">
        <f t="shared" si="27"/>
        <v>1359.6000000000001</v>
      </c>
      <c r="Z37" s="4">
        <f t="shared" si="28"/>
        <v>3823.8750000000005</v>
      </c>
      <c r="AA37" s="4">
        <f>L37*Rates!$D$6</f>
        <v>95488.425000000032</v>
      </c>
      <c r="AB37" s="4">
        <f>M37*Rates!$D$7</f>
        <v>44708.949000000015</v>
      </c>
      <c r="AC37" s="4">
        <f>N37*Rates!$D$8</f>
        <v>5735.8125</v>
      </c>
      <c r="AD37" s="4">
        <f>O37*Rates!$D$9</f>
        <v>810</v>
      </c>
      <c r="AE37" s="4">
        <f>Q37*Rates!$D$10</f>
        <v>828.50625000000002</v>
      </c>
      <c r="AF37" s="4">
        <f>R37*Rates!$D$11</f>
        <v>2867.90625</v>
      </c>
      <c r="AG37" s="4">
        <f>S37*Rates!$D$12</f>
        <v>2995.3687500000001</v>
      </c>
      <c r="AH37" s="4">
        <f>T37*Rates!$D$13</f>
        <v>573.58125000000007</v>
      </c>
      <c r="AI37" s="4">
        <f>U37*Rates!$D$14</f>
        <v>892.23749999999995</v>
      </c>
      <c r="AJ37" s="4">
        <f>V37*Rates!$D$15</f>
        <v>11.330000000000002</v>
      </c>
      <c r="AK37" s="4">
        <f>W37*Rates!$D$16</f>
        <v>3002.4500000000003</v>
      </c>
      <c r="AL37" s="4">
        <f>X37*Rates!$D$17</f>
        <v>45</v>
      </c>
      <c r="AM37" s="4">
        <f>Y37*Rates!$D$18</f>
        <v>271.92</v>
      </c>
      <c r="AN37" s="4">
        <f>Z37*Rates!$D$19</f>
        <v>15295.500000000002</v>
      </c>
      <c r="AO37" s="4">
        <f t="shared" si="29"/>
        <v>173526.98650000003</v>
      </c>
    </row>
    <row r="38" spans="1:41" x14ac:dyDescent="0.25">
      <c r="A38" s="3">
        <v>37</v>
      </c>
      <c r="B38" s="3" t="s">
        <v>244</v>
      </c>
      <c r="C38" s="3" t="s">
        <v>139</v>
      </c>
      <c r="D38" s="3" t="s">
        <v>279</v>
      </c>
      <c r="E38" s="3" t="s">
        <v>24</v>
      </c>
      <c r="F38" s="3">
        <v>3</v>
      </c>
      <c r="G38" s="3">
        <v>4</v>
      </c>
      <c r="H38" s="3">
        <v>2.5</v>
      </c>
      <c r="I38" s="3">
        <v>45</v>
      </c>
      <c r="J38" s="3" t="s">
        <v>240</v>
      </c>
      <c r="K38" s="4">
        <f>F38*G38+(F38+1)*Rates!$D$31</f>
        <v>13</v>
      </c>
      <c r="L38" s="4">
        <f>(F38*((G38+Rates!$D$31)*(H38+0.6)-G38*H38)+0.8)*I38</f>
        <v>464.62500000000011</v>
      </c>
      <c r="M38" s="4">
        <f t="shared" si="15"/>
        <v>55.75500000000001</v>
      </c>
      <c r="N38" s="4">
        <f t="shared" si="16"/>
        <v>64.350000000000009</v>
      </c>
      <c r="O38" s="4">
        <f t="shared" si="17"/>
        <v>405</v>
      </c>
      <c r="P38" s="4">
        <f t="shared" si="18"/>
        <v>643.5</v>
      </c>
      <c r="Q38" s="4">
        <f t="shared" si="19"/>
        <v>64.350000000000009</v>
      </c>
      <c r="R38" s="4">
        <f t="shared" si="20"/>
        <v>32.175000000000004</v>
      </c>
      <c r="S38" s="4">
        <f t="shared" si="21"/>
        <v>32.175000000000004</v>
      </c>
      <c r="T38" s="4">
        <f t="shared" si="22"/>
        <v>643.5</v>
      </c>
      <c r="U38" s="4">
        <f t="shared" si="23"/>
        <v>1287</v>
      </c>
      <c r="V38" s="4">
        <f t="shared" si="24"/>
        <v>1.4300000000000002</v>
      </c>
      <c r="W38" s="4">
        <f t="shared" si="25"/>
        <v>28.6</v>
      </c>
      <c r="X38" s="4">
        <f t="shared" si="26"/>
        <v>8</v>
      </c>
      <c r="Y38" s="4">
        <f t="shared" si="27"/>
        <v>686.40000000000009</v>
      </c>
      <c r="Z38" s="4">
        <f t="shared" si="28"/>
        <v>0</v>
      </c>
      <c r="AA38" s="4">
        <f>L38*Rates!$D$6</f>
        <v>49668.412500000013</v>
      </c>
      <c r="AB38" s="4">
        <f>M38*Rates!$D$7</f>
        <v>23255.410500000005</v>
      </c>
      <c r="AC38" s="4">
        <f>N38*Rates!$D$8</f>
        <v>2895.7500000000005</v>
      </c>
      <c r="AD38" s="4">
        <f>O38*Rates!$D$9</f>
        <v>810</v>
      </c>
      <c r="AE38" s="4">
        <f>Q38*Rates!$D$10</f>
        <v>418.27500000000003</v>
      </c>
      <c r="AF38" s="4">
        <f>R38*Rates!$D$11</f>
        <v>1447.8750000000002</v>
      </c>
      <c r="AG38" s="4">
        <f>S38*Rates!$D$12</f>
        <v>1512.2250000000001</v>
      </c>
      <c r="AH38" s="4">
        <f>T38*Rates!$D$13</f>
        <v>289.57499999999999</v>
      </c>
      <c r="AI38" s="4">
        <f>U38*Rates!$D$14</f>
        <v>450.45</v>
      </c>
      <c r="AJ38" s="4">
        <f>V38*Rates!$D$15</f>
        <v>5.7200000000000006</v>
      </c>
      <c r="AK38" s="4">
        <f>W38*Rates!$D$16</f>
        <v>1515.8000000000002</v>
      </c>
      <c r="AL38" s="4">
        <f>X38*Rates!$D$17</f>
        <v>24</v>
      </c>
      <c r="AM38" s="4">
        <f>Y38*Rates!$D$18</f>
        <v>137.28000000000003</v>
      </c>
      <c r="AN38" s="4">
        <f>Z38*Rates!$D$19</f>
        <v>0</v>
      </c>
      <c r="AO38" s="4">
        <f t="shared" si="29"/>
        <v>82430.773000000016</v>
      </c>
    </row>
    <row r="39" spans="1:41" x14ac:dyDescent="0.25">
      <c r="A39" s="3">
        <v>38</v>
      </c>
      <c r="B39" s="3" t="s">
        <v>241</v>
      </c>
      <c r="C39" s="3" t="s">
        <v>140</v>
      </c>
      <c r="D39" s="3" t="s">
        <v>280</v>
      </c>
      <c r="E39" s="3" t="s">
        <v>24</v>
      </c>
      <c r="F39" s="3">
        <v>5</v>
      </c>
      <c r="G39" s="3">
        <v>4</v>
      </c>
      <c r="H39" s="3">
        <v>2.5</v>
      </c>
      <c r="I39" s="3">
        <v>45</v>
      </c>
      <c r="J39" s="3" t="s">
        <v>243</v>
      </c>
      <c r="K39" s="4">
        <f>F39*G39+(F39+1)*Rates!$D$31</f>
        <v>21.5</v>
      </c>
      <c r="L39" s="4">
        <f>(F39*((G39+Rates!$D$31)*(H39+0.6)-G39*H39)+0.8)*I39</f>
        <v>750.37500000000023</v>
      </c>
      <c r="M39" s="4">
        <f t="shared" si="15"/>
        <v>90.04500000000003</v>
      </c>
      <c r="N39" s="4">
        <f t="shared" si="16"/>
        <v>106.42500000000001</v>
      </c>
      <c r="O39" s="4">
        <f t="shared" si="17"/>
        <v>405</v>
      </c>
      <c r="P39" s="4">
        <f t="shared" si="18"/>
        <v>1064.25</v>
      </c>
      <c r="Q39" s="4">
        <f t="shared" si="19"/>
        <v>106.42500000000001</v>
      </c>
      <c r="R39" s="4">
        <f t="shared" si="20"/>
        <v>53.212500000000006</v>
      </c>
      <c r="S39" s="4">
        <f t="shared" si="21"/>
        <v>53.212500000000006</v>
      </c>
      <c r="T39" s="4">
        <f t="shared" si="22"/>
        <v>1064.25</v>
      </c>
      <c r="U39" s="4">
        <f t="shared" si="23"/>
        <v>2128.5</v>
      </c>
      <c r="V39" s="4">
        <f t="shared" si="24"/>
        <v>2.3650000000000002</v>
      </c>
      <c r="W39" s="4">
        <f t="shared" si="25"/>
        <v>47.300000000000004</v>
      </c>
      <c r="X39" s="4">
        <f t="shared" si="26"/>
        <v>12</v>
      </c>
      <c r="Y39" s="4">
        <f t="shared" si="27"/>
        <v>1135.2</v>
      </c>
      <c r="Z39" s="4">
        <f t="shared" si="28"/>
        <v>3192.7500000000005</v>
      </c>
      <c r="AA39" s="4">
        <f>L39*Rates!$D$6</f>
        <v>80215.087500000023</v>
      </c>
      <c r="AB39" s="4">
        <f>M39*Rates!$D$7</f>
        <v>37557.769500000017</v>
      </c>
      <c r="AC39" s="4">
        <f>N39*Rates!$D$8</f>
        <v>4789.1250000000009</v>
      </c>
      <c r="AD39" s="4">
        <f>O39*Rates!$D$9</f>
        <v>810</v>
      </c>
      <c r="AE39" s="4">
        <f>Q39*Rates!$D$10</f>
        <v>691.76250000000005</v>
      </c>
      <c r="AF39" s="4">
        <f>R39*Rates!$D$11</f>
        <v>2394.5625000000005</v>
      </c>
      <c r="AG39" s="4">
        <f>S39*Rates!$D$12</f>
        <v>2500.9875000000002</v>
      </c>
      <c r="AH39" s="4">
        <f>T39*Rates!$D$13</f>
        <v>478.91250000000002</v>
      </c>
      <c r="AI39" s="4">
        <f>U39*Rates!$D$14</f>
        <v>744.97499999999991</v>
      </c>
      <c r="AJ39" s="4">
        <f>V39*Rates!$D$15</f>
        <v>9.4600000000000009</v>
      </c>
      <c r="AK39" s="4">
        <f>W39*Rates!$D$16</f>
        <v>2506.9</v>
      </c>
      <c r="AL39" s="4">
        <f>X39*Rates!$D$17</f>
        <v>36</v>
      </c>
      <c r="AM39" s="4">
        <f>Y39*Rates!$D$18</f>
        <v>227.04000000000002</v>
      </c>
      <c r="AN39" s="4">
        <f>Z39*Rates!$D$19</f>
        <v>12771.000000000002</v>
      </c>
      <c r="AO39" s="4">
        <f t="shared" si="29"/>
        <v>145733.58200000008</v>
      </c>
    </row>
    <row r="40" spans="1:41" x14ac:dyDescent="0.25">
      <c r="A40" s="3">
        <v>39</v>
      </c>
      <c r="B40" s="3" t="s">
        <v>244</v>
      </c>
      <c r="C40" s="3" t="s">
        <v>140</v>
      </c>
      <c r="D40" s="3" t="s">
        <v>281</v>
      </c>
      <c r="E40" s="3" t="s">
        <v>24</v>
      </c>
      <c r="F40" s="3">
        <v>3</v>
      </c>
      <c r="G40" s="3">
        <v>4</v>
      </c>
      <c r="H40" s="3">
        <v>2.5</v>
      </c>
      <c r="I40" s="3">
        <v>45</v>
      </c>
      <c r="J40" s="3" t="s">
        <v>240</v>
      </c>
      <c r="K40" s="4">
        <f>F40*G40+(F40+1)*Rates!$D$31</f>
        <v>13</v>
      </c>
      <c r="L40" s="4">
        <f>(F40*((G40+Rates!$D$31)*(H40+0.6)-G40*H40)+0.8)*I40</f>
        <v>464.62500000000011</v>
      </c>
      <c r="M40" s="4">
        <f t="shared" si="15"/>
        <v>55.75500000000001</v>
      </c>
      <c r="N40" s="4">
        <f t="shared" si="16"/>
        <v>64.350000000000009</v>
      </c>
      <c r="O40" s="4">
        <f t="shared" si="17"/>
        <v>405</v>
      </c>
      <c r="P40" s="4">
        <f t="shared" si="18"/>
        <v>643.5</v>
      </c>
      <c r="Q40" s="4">
        <f t="shared" si="19"/>
        <v>64.350000000000009</v>
      </c>
      <c r="R40" s="4">
        <f t="shared" si="20"/>
        <v>32.175000000000004</v>
      </c>
      <c r="S40" s="4">
        <f t="shared" si="21"/>
        <v>32.175000000000004</v>
      </c>
      <c r="T40" s="4">
        <f t="shared" si="22"/>
        <v>643.5</v>
      </c>
      <c r="U40" s="4">
        <f t="shared" si="23"/>
        <v>1287</v>
      </c>
      <c r="V40" s="4">
        <f t="shared" si="24"/>
        <v>1.4300000000000002</v>
      </c>
      <c r="W40" s="4">
        <f t="shared" si="25"/>
        <v>28.6</v>
      </c>
      <c r="X40" s="4">
        <f t="shared" si="26"/>
        <v>8</v>
      </c>
      <c r="Y40" s="4">
        <f t="shared" si="27"/>
        <v>686.40000000000009</v>
      </c>
      <c r="Z40" s="4">
        <f t="shared" si="28"/>
        <v>0</v>
      </c>
      <c r="AA40" s="4">
        <f>L40*Rates!$D$6</f>
        <v>49668.412500000013</v>
      </c>
      <c r="AB40" s="4">
        <f>M40*Rates!$D$7</f>
        <v>23255.410500000005</v>
      </c>
      <c r="AC40" s="4">
        <f>N40*Rates!$D$8</f>
        <v>2895.7500000000005</v>
      </c>
      <c r="AD40" s="4">
        <f>O40*Rates!$D$9</f>
        <v>810</v>
      </c>
      <c r="AE40" s="4">
        <f>Q40*Rates!$D$10</f>
        <v>418.27500000000003</v>
      </c>
      <c r="AF40" s="4">
        <f>R40*Rates!$D$11</f>
        <v>1447.8750000000002</v>
      </c>
      <c r="AG40" s="4">
        <f>S40*Rates!$D$12</f>
        <v>1512.2250000000001</v>
      </c>
      <c r="AH40" s="4">
        <f>T40*Rates!$D$13</f>
        <v>289.57499999999999</v>
      </c>
      <c r="AI40" s="4">
        <f>U40*Rates!$D$14</f>
        <v>450.45</v>
      </c>
      <c r="AJ40" s="4">
        <f>V40*Rates!$D$15</f>
        <v>5.7200000000000006</v>
      </c>
      <c r="AK40" s="4">
        <f>W40*Rates!$D$16</f>
        <v>1515.8000000000002</v>
      </c>
      <c r="AL40" s="4">
        <f>X40*Rates!$D$17</f>
        <v>24</v>
      </c>
      <c r="AM40" s="4">
        <f>Y40*Rates!$D$18</f>
        <v>137.28000000000003</v>
      </c>
      <c r="AN40" s="4">
        <f>Z40*Rates!$D$19</f>
        <v>0</v>
      </c>
      <c r="AO40" s="4">
        <f t="shared" si="29"/>
        <v>82430.773000000016</v>
      </c>
    </row>
    <row r="41" spans="1:41" x14ac:dyDescent="0.25">
      <c r="A41" s="3">
        <v>40</v>
      </c>
      <c r="B41" s="3" t="s">
        <v>238</v>
      </c>
      <c r="C41" s="3" t="s">
        <v>141</v>
      </c>
      <c r="D41" s="3" t="s">
        <v>282</v>
      </c>
      <c r="E41" s="3" t="s">
        <v>24</v>
      </c>
      <c r="F41" s="3">
        <v>10</v>
      </c>
      <c r="G41" s="3">
        <v>4</v>
      </c>
      <c r="H41" s="3">
        <v>2.5</v>
      </c>
      <c r="I41" s="3">
        <v>32</v>
      </c>
      <c r="J41" s="3" t="s">
        <v>240</v>
      </c>
      <c r="K41" s="4">
        <f>F41*G41+(F41+1)*Rates!$D$31</f>
        <v>42.75</v>
      </c>
      <c r="L41" s="4">
        <f>(F41*((G41+Rates!$D$31)*(H41+0.6)-G41*H41)+0.8)*I41</f>
        <v>1041.6000000000001</v>
      </c>
      <c r="M41" s="4">
        <f t="shared" si="15"/>
        <v>124.99200000000002</v>
      </c>
      <c r="N41" s="4">
        <f t="shared" si="16"/>
        <v>150.48000000000002</v>
      </c>
      <c r="O41" s="4">
        <f t="shared" si="17"/>
        <v>288</v>
      </c>
      <c r="P41" s="4">
        <f t="shared" si="18"/>
        <v>1504.8000000000002</v>
      </c>
      <c r="Q41" s="4">
        <f t="shared" si="19"/>
        <v>150.48000000000002</v>
      </c>
      <c r="R41" s="4">
        <f t="shared" si="20"/>
        <v>75.240000000000009</v>
      </c>
      <c r="S41" s="4">
        <f t="shared" si="21"/>
        <v>75.240000000000009</v>
      </c>
      <c r="T41" s="4">
        <f t="shared" si="22"/>
        <v>1504.8000000000002</v>
      </c>
      <c r="U41" s="4">
        <f t="shared" si="23"/>
        <v>3009.6000000000004</v>
      </c>
      <c r="V41" s="4">
        <f t="shared" si="24"/>
        <v>4.7025000000000006</v>
      </c>
      <c r="W41" s="4">
        <f t="shared" si="25"/>
        <v>94.050000000000011</v>
      </c>
      <c r="X41" s="4">
        <f t="shared" si="26"/>
        <v>24</v>
      </c>
      <c r="Y41" s="4">
        <f t="shared" si="27"/>
        <v>1645.8750000000002</v>
      </c>
      <c r="Z41" s="4">
        <f t="shared" si="28"/>
        <v>0</v>
      </c>
      <c r="AA41" s="4">
        <f>L41*Rates!$D$6</f>
        <v>111347.04000000002</v>
      </c>
      <c r="AB41" s="4">
        <f>M41*Rates!$D$7</f>
        <v>52134.16320000001</v>
      </c>
      <c r="AC41" s="4">
        <f>N41*Rates!$D$8</f>
        <v>6771.6</v>
      </c>
      <c r="AD41" s="4">
        <f>O41*Rates!$D$9</f>
        <v>576</v>
      </c>
      <c r="AE41" s="4">
        <f>Q41*Rates!$D$10</f>
        <v>978.12000000000012</v>
      </c>
      <c r="AF41" s="4">
        <f>R41*Rates!$D$11</f>
        <v>3385.8</v>
      </c>
      <c r="AG41" s="4">
        <f>S41*Rates!$D$12</f>
        <v>3536.2800000000007</v>
      </c>
      <c r="AH41" s="4">
        <f>T41*Rates!$D$13</f>
        <v>677.16000000000008</v>
      </c>
      <c r="AI41" s="4">
        <f>U41*Rates!$D$14</f>
        <v>1053.3600000000001</v>
      </c>
      <c r="AJ41" s="4">
        <f>V41*Rates!$D$15</f>
        <v>18.810000000000002</v>
      </c>
      <c r="AK41" s="4">
        <f>W41*Rates!$D$16</f>
        <v>4984.6500000000005</v>
      </c>
      <c r="AL41" s="4">
        <f>X41*Rates!$D$17</f>
        <v>72</v>
      </c>
      <c r="AM41" s="4">
        <f>Y41*Rates!$D$18</f>
        <v>329.17500000000007</v>
      </c>
      <c r="AN41" s="4">
        <f>Z41*Rates!$D$19</f>
        <v>0</v>
      </c>
      <c r="AO41" s="4">
        <f t="shared" si="29"/>
        <v>185864.15820000001</v>
      </c>
    </row>
    <row r="42" spans="1:41" x14ac:dyDescent="0.25">
      <c r="A42" s="3">
        <v>41</v>
      </c>
      <c r="B42" s="3" t="s">
        <v>241</v>
      </c>
      <c r="C42" s="3" t="s">
        <v>141</v>
      </c>
      <c r="D42" s="3" t="s">
        <v>283</v>
      </c>
      <c r="E42" s="3" t="s">
        <v>24</v>
      </c>
      <c r="F42" s="3">
        <v>7</v>
      </c>
      <c r="G42" s="3">
        <v>4</v>
      </c>
      <c r="H42" s="3">
        <v>2.5</v>
      </c>
      <c r="I42" s="3">
        <v>45</v>
      </c>
      <c r="J42" s="3" t="s">
        <v>243</v>
      </c>
      <c r="K42" s="4">
        <f>F42*G42+(F42+1)*Rates!$D$31</f>
        <v>30</v>
      </c>
      <c r="L42" s="4">
        <f>(F42*((G42+Rates!$D$31)*(H42+0.6)-G42*H42)+0.8)*I42</f>
        <v>1036.1250000000002</v>
      </c>
      <c r="M42" s="4">
        <f t="shared" si="15"/>
        <v>124.33500000000002</v>
      </c>
      <c r="N42" s="4">
        <f t="shared" si="16"/>
        <v>148.5</v>
      </c>
      <c r="O42" s="4">
        <f t="shared" si="17"/>
        <v>405</v>
      </c>
      <c r="P42" s="4">
        <f t="shared" si="18"/>
        <v>1485.0000000000002</v>
      </c>
      <c r="Q42" s="4">
        <f t="shared" si="19"/>
        <v>148.50000000000003</v>
      </c>
      <c r="R42" s="4">
        <f t="shared" si="20"/>
        <v>74.250000000000014</v>
      </c>
      <c r="S42" s="4">
        <f t="shared" si="21"/>
        <v>74.250000000000014</v>
      </c>
      <c r="T42" s="4">
        <f t="shared" si="22"/>
        <v>1485.0000000000002</v>
      </c>
      <c r="U42" s="4">
        <f t="shared" si="23"/>
        <v>2970.0000000000005</v>
      </c>
      <c r="V42" s="4">
        <f t="shared" si="24"/>
        <v>3.3000000000000003</v>
      </c>
      <c r="W42" s="4">
        <f t="shared" si="25"/>
        <v>66</v>
      </c>
      <c r="X42" s="4">
        <f t="shared" si="26"/>
        <v>17</v>
      </c>
      <c r="Y42" s="4">
        <f t="shared" si="27"/>
        <v>1584.0000000000002</v>
      </c>
      <c r="Z42" s="4">
        <f t="shared" si="28"/>
        <v>4455</v>
      </c>
      <c r="AA42" s="4">
        <f>L42*Rates!$D$6</f>
        <v>110761.76250000003</v>
      </c>
      <c r="AB42" s="4">
        <f>M42*Rates!$D$7</f>
        <v>51860.128500000013</v>
      </c>
      <c r="AC42" s="4">
        <f>N42*Rates!$D$8</f>
        <v>6682.5</v>
      </c>
      <c r="AD42" s="4">
        <f>O42*Rates!$D$9</f>
        <v>810</v>
      </c>
      <c r="AE42" s="4">
        <f>Q42*Rates!$D$10</f>
        <v>965.25000000000023</v>
      </c>
      <c r="AF42" s="4">
        <f>R42*Rates!$D$11</f>
        <v>3341.2500000000005</v>
      </c>
      <c r="AG42" s="4">
        <f>S42*Rates!$D$12</f>
        <v>3489.7500000000005</v>
      </c>
      <c r="AH42" s="4">
        <f>T42*Rates!$D$13</f>
        <v>668.25000000000011</v>
      </c>
      <c r="AI42" s="4">
        <f>U42*Rates!$D$14</f>
        <v>1039.5</v>
      </c>
      <c r="AJ42" s="4">
        <f>V42*Rates!$D$15</f>
        <v>13.200000000000001</v>
      </c>
      <c r="AK42" s="4">
        <f>W42*Rates!$D$16</f>
        <v>3498</v>
      </c>
      <c r="AL42" s="4">
        <f>X42*Rates!$D$17</f>
        <v>51</v>
      </c>
      <c r="AM42" s="4">
        <f>Y42*Rates!$D$18</f>
        <v>316.80000000000007</v>
      </c>
      <c r="AN42" s="4">
        <f>Z42*Rates!$D$19</f>
        <v>17820</v>
      </c>
      <c r="AO42" s="4">
        <f t="shared" si="29"/>
        <v>201317.39100000003</v>
      </c>
    </row>
    <row r="43" spans="1:41" x14ac:dyDescent="0.25">
      <c r="A43" s="3">
        <v>42</v>
      </c>
      <c r="B43" s="3" t="s">
        <v>244</v>
      </c>
      <c r="C43" s="3" t="s">
        <v>141</v>
      </c>
      <c r="D43" s="3" t="s">
        <v>284</v>
      </c>
      <c r="E43" s="3" t="s">
        <v>24</v>
      </c>
      <c r="F43" s="3">
        <v>4</v>
      </c>
      <c r="G43" s="3">
        <v>4</v>
      </c>
      <c r="H43" s="3">
        <v>2.5</v>
      </c>
      <c r="I43" s="3">
        <v>45</v>
      </c>
      <c r="J43" s="3" t="s">
        <v>240</v>
      </c>
      <c r="K43" s="4">
        <f>F43*G43+(F43+1)*Rates!$D$31</f>
        <v>17.25</v>
      </c>
      <c r="L43" s="4">
        <f>(F43*((G43+Rates!$D$31)*(H43+0.6)-G43*H43)+0.8)*I43</f>
        <v>607.50000000000011</v>
      </c>
      <c r="M43" s="4">
        <f t="shared" si="15"/>
        <v>72.900000000000006</v>
      </c>
      <c r="N43" s="4">
        <f t="shared" si="16"/>
        <v>85.387500000000003</v>
      </c>
      <c r="O43" s="4">
        <f t="shared" si="17"/>
        <v>405</v>
      </c>
      <c r="P43" s="4">
        <f t="shared" si="18"/>
        <v>853.87500000000011</v>
      </c>
      <c r="Q43" s="4">
        <f t="shared" si="19"/>
        <v>85.387500000000017</v>
      </c>
      <c r="R43" s="4">
        <f t="shared" si="20"/>
        <v>42.693750000000009</v>
      </c>
      <c r="S43" s="4">
        <f t="shared" si="21"/>
        <v>42.693750000000009</v>
      </c>
      <c r="T43" s="4">
        <f t="shared" si="22"/>
        <v>853.87500000000011</v>
      </c>
      <c r="U43" s="4">
        <f t="shared" si="23"/>
        <v>1707.7500000000002</v>
      </c>
      <c r="V43" s="4">
        <f t="shared" si="24"/>
        <v>1.8975000000000002</v>
      </c>
      <c r="W43" s="4">
        <f t="shared" si="25"/>
        <v>37.950000000000003</v>
      </c>
      <c r="X43" s="4">
        <f t="shared" si="26"/>
        <v>10</v>
      </c>
      <c r="Y43" s="4">
        <f t="shared" si="27"/>
        <v>910.80000000000007</v>
      </c>
      <c r="Z43" s="4">
        <f t="shared" si="28"/>
        <v>0</v>
      </c>
      <c r="AA43" s="4">
        <f>L43*Rates!$D$6</f>
        <v>64941.750000000015</v>
      </c>
      <c r="AB43" s="4">
        <f>M43*Rates!$D$7</f>
        <v>30406.590000000004</v>
      </c>
      <c r="AC43" s="4">
        <f>N43*Rates!$D$8</f>
        <v>3842.4375</v>
      </c>
      <c r="AD43" s="4">
        <f>O43*Rates!$D$9</f>
        <v>810</v>
      </c>
      <c r="AE43" s="4">
        <f>Q43*Rates!$D$10</f>
        <v>555.01875000000007</v>
      </c>
      <c r="AF43" s="4">
        <f>R43*Rates!$D$11</f>
        <v>1921.2187500000005</v>
      </c>
      <c r="AG43" s="4">
        <f>S43*Rates!$D$12</f>
        <v>2006.6062500000005</v>
      </c>
      <c r="AH43" s="4">
        <f>T43*Rates!$D$13</f>
        <v>384.24375000000003</v>
      </c>
      <c r="AI43" s="4">
        <f>U43*Rates!$D$14</f>
        <v>597.71250000000009</v>
      </c>
      <c r="AJ43" s="4">
        <f>V43*Rates!$D$15</f>
        <v>7.5900000000000007</v>
      </c>
      <c r="AK43" s="4">
        <f>W43*Rates!$D$16</f>
        <v>2011.3500000000001</v>
      </c>
      <c r="AL43" s="4">
        <f>X43*Rates!$D$17</f>
        <v>30</v>
      </c>
      <c r="AM43" s="4">
        <f>Y43*Rates!$D$18</f>
        <v>182.16000000000003</v>
      </c>
      <c r="AN43" s="4">
        <f>Z43*Rates!$D$19</f>
        <v>0</v>
      </c>
      <c r="AO43" s="4">
        <f t="shared" si="29"/>
        <v>107696.67750000002</v>
      </c>
    </row>
    <row r="44" spans="1:41" x14ac:dyDescent="0.25">
      <c r="A44" s="3">
        <v>43</v>
      </c>
      <c r="B44" s="3" t="s">
        <v>244</v>
      </c>
      <c r="C44" s="3" t="s">
        <v>142</v>
      </c>
      <c r="D44" s="3" t="s">
        <v>285</v>
      </c>
      <c r="E44" s="3" t="s">
        <v>24</v>
      </c>
      <c r="F44" s="3">
        <v>10</v>
      </c>
      <c r="G44" s="3">
        <v>4</v>
      </c>
      <c r="H44" s="3">
        <v>2.5</v>
      </c>
      <c r="I44" s="3">
        <v>45</v>
      </c>
      <c r="J44" s="3" t="s">
        <v>240</v>
      </c>
      <c r="K44" s="4">
        <f>F44*G44+(F44+1)*Rates!$D$31</f>
        <v>42.75</v>
      </c>
      <c r="L44" s="4">
        <f>(F44*((G44+Rates!$D$31)*(H44+0.6)-G44*H44)+0.8)*I44</f>
        <v>1464.7500000000002</v>
      </c>
      <c r="M44" s="4">
        <f t="shared" si="15"/>
        <v>175.77</v>
      </c>
      <c r="N44" s="4">
        <f t="shared" si="16"/>
        <v>211.61250000000001</v>
      </c>
      <c r="O44" s="4">
        <f t="shared" si="17"/>
        <v>405</v>
      </c>
      <c r="P44" s="4">
        <f t="shared" si="18"/>
        <v>2116.125</v>
      </c>
      <c r="Q44" s="4">
        <f t="shared" si="19"/>
        <v>211.61250000000001</v>
      </c>
      <c r="R44" s="4">
        <f t="shared" si="20"/>
        <v>105.80625000000001</v>
      </c>
      <c r="S44" s="4">
        <f t="shared" si="21"/>
        <v>105.80625000000001</v>
      </c>
      <c r="T44" s="4">
        <f t="shared" si="22"/>
        <v>2116.125</v>
      </c>
      <c r="U44" s="4">
        <f t="shared" si="23"/>
        <v>4232.25</v>
      </c>
      <c r="V44" s="4">
        <f t="shared" si="24"/>
        <v>4.7025000000000006</v>
      </c>
      <c r="W44" s="4">
        <f t="shared" si="25"/>
        <v>94.050000000000011</v>
      </c>
      <c r="X44" s="4">
        <f t="shared" si="26"/>
        <v>24</v>
      </c>
      <c r="Y44" s="4">
        <f t="shared" si="27"/>
        <v>2257.2000000000003</v>
      </c>
      <c r="Z44" s="4">
        <f t="shared" si="28"/>
        <v>0</v>
      </c>
      <c r="AA44" s="4">
        <f>L44*Rates!$D$6</f>
        <v>156581.77500000002</v>
      </c>
      <c r="AB44" s="4">
        <f>M44*Rates!$D$7</f>
        <v>73313.667000000001</v>
      </c>
      <c r="AC44" s="4">
        <f>N44*Rates!$D$8</f>
        <v>9522.5625</v>
      </c>
      <c r="AD44" s="4">
        <f>O44*Rates!$D$9</f>
        <v>810</v>
      </c>
      <c r="AE44" s="4">
        <f>Q44*Rates!$D$10</f>
        <v>1375.48125</v>
      </c>
      <c r="AF44" s="4">
        <f>R44*Rates!$D$11</f>
        <v>4761.28125</v>
      </c>
      <c r="AG44" s="4">
        <f>S44*Rates!$D$12</f>
        <v>4972.8937500000002</v>
      </c>
      <c r="AH44" s="4">
        <f>T44*Rates!$D$13</f>
        <v>952.25625000000002</v>
      </c>
      <c r="AI44" s="4">
        <f>U44*Rates!$D$14</f>
        <v>1481.2874999999999</v>
      </c>
      <c r="AJ44" s="4">
        <f>V44*Rates!$D$15</f>
        <v>18.810000000000002</v>
      </c>
      <c r="AK44" s="4">
        <f>W44*Rates!$D$16</f>
        <v>4984.6500000000005</v>
      </c>
      <c r="AL44" s="4">
        <f>X44*Rates!$D$17</f>
        <v>72</v>
      </c>
      <c r="AM44" s="4">
        <f>Y44*Rates!$D$18</f>
        <v>451.44000000000005</v>
      </c>
      <c r="AN44" s="4">
        <f>Z44*Rates!$D$19</f>
        <v>0</v>
      </c>
      <c r="AO44" s="4">
        <f t="shared" si="29"/>
        <v>259298.10450000004</v>
      </c>
    </row>
    <row r="45" spans="1:41" x14ac:dyDescent="0.25">
      <c r="A45" s="3">
        <v>44</v>
      </c>
      <c r="B45" s="3" t="s">
        <v>244</v>
      </c>
      <c r="C45" s="3" t="s">
        <v>143</v>
      </c>
      <c r="D45" s="3" t="s">
        <v>286</v>
      </c>
      <c r="E45" s="3" t="s">
        <v>24</v>
      </c>
      <c r="F45" s="3">
        <v>10</v>
      </c>
      <c r="G45" s="3">
        <v>4</v>
      </c>
      <c r="H45" s="3">
        <v>2.5</v>
      </c>
      <c r="I45" s="3">
        <v>45</v>
      </c>
      <c r="J45" s="3" t="s">
        <v>240</v>
      </c>
      <c r="K45" s="4">
        <f>F45*G45+(F45+1)*Rates!$D$31</f>
        <v>42.75</v>
      </c>
      <c r="L45" s="4">
        <f>(F45*((G45+Rates!$D$31)*(H45+0.6)-G45*H45)+0.8)*I45</f>
        <v>1464.7500000000002</v>
      </c>
      <c r="M45" s="4">
        <f t="shared" si="15"/>
        <v>175.77</v>
      </c>
      <c r="N45" s="4">
        <f t="shared" si="16"/>
        <v>211.61250000000001</v>
      </c>
      <c r="O45" s="4">
        <f t="shared" si="17"/>
        <v>405</v>
      </c>
      <c r="P45" s="4">
        <f t="shared" si="18"/>
        <v>2116.125</v>
      </c>
      <c r="Q45" s="4">
        <f t="shared" si="19"/>
        <v>211.61250000000001</v>
      </c>
      <c r="R45" s="4">
        <f t="shared" si="20"/>
        <v>105.80625000000001</v>
      </c>
      <c r="S45" s="4">
        <f t="shared" si="21"/>
        <v>105.80625000000001</v>
      </c>
      <c r="T45" s="4">
        <f t="shared" si="22"/>
        <v>2116.125</v>
      </c>
      <c r="U45" s="4">
        <f t="shared" si="23"/>
        <v>4232.25</v>
      </c>
      <c r="V45" s="4">
        <f t="shared" si="24"/>
        <v>4.7025000000000006</v>
      </c>
      <c r="W45" s="4">
        <f t="shared" si="25"/>
        <v>94.050000000000011</v>
      </c>
      <c r="X45" s="4">
        <f t="shared" si="26"/>
        <v>24</v>
      </c>
      <c r="Y45" s="4">
        <f t="shared" si="27"/>
        <v>2257.2000000000003</v>
      </c>
      <c r="Z45" s="4">
        <f t="shared" si="28"/>
        <v>0</v>
      </c>
      <c r="AA45" s="4">
        <f>L45*Rates!$D$6</f>
        <v>156581.77500000002</v>
      </c>
      <c r="AB45" s="4">
        <f>M45*Rates!$D$7</f>
        <v>73313.667000000001</v>
      </c>
      <c r="AC45" s="4">
        <f>N45*Rates!$D$8</f>
        <v>9522.5625</v>
      </c>
      <c r="AD45" s="4">
        <f>O45*Rates!$D$9</f>
        <v>810</v>
      </c>
      <c r="AE45" s="4">
        <f>Q45*Rates!$D$10</f>
        <v>1375.48125</v>
      </c>
      <c r="AF45" s="4">
        <f>R45*Rates!$D$11</f>
        <v>4761.28125</v>
      </c>
      <c r="AG45" s="4">
        <f>S45*Rates!$D$12</f>
        <v>4972.8937500000002</v>
      </c>
      <c r="AH45" s="4">
        <f>T45*Rates!$D$13</f>
        <v>952.25625000000002</v>
      </c>
      <c r="AI45" s="4">
        <f>U45*Rates!$D$14</f>
        <v>1481.2874999999999</v>
      </c>
      <c r="AJ45" s="4">
        <f>V45*Rates!$D$15</f>
        <v>18.810000000000002</v>
      </c>
      <c r="AK45" s="4">
        <f>W45*Rates!$D$16</f>
        <v>4984.6500000000005</v>
      </c>
      <c r="AL45" s="4">
        <f>X45*Rates!$D$17</f>
        <v>72</v>
      </c>
      <c r="AM45" s="4">
        <f>Y45*Rates!$D$18</f>
        <v>451.44000000000005</v>
      </c>
      <c r="AN45" s="4">
        <f>Z45*Rates!$D$19</f>
        <v>0</v>
      </c>
      <c r="AO45" s="4">
        <f t="shared" si="29"/>
        <v>259298.10450000004</v>
      </c>
    </row>
    <row r="46" spans="1:41" x14ac:dyDescent="0.25">
      <c r="A46" s="3">
        <v>45</v>
      </c>
      <c r="B46" s="3" t="s">
        <v>238</v>
      </c>
      <c r="C46" s="3" t="s">
        <v>144</v>
      </c>
      <c r="D46" s="3" t="s">
        <v>287</v>
      </c>
      <c r="E46" s="3" t="s">
        <v>24</v>
      </c>
      <c r="F46" s="3">
        <v>3</v>
      </c>
      <c r="G46" s="3">
        <v>4</v>
      </c>
      <c r="H46" s="3">
        <v>2.5</v>
      </c>
      <c r="I46" s="3">
        <v>32</v>
      </c>
      <c r="J46" s="3" t="s">
        <v>240</v>
      </c>
      <c r="K46" s="4">
        <f>F46*G46+(F46+1)*Rates!$D$31</f>
        <v>13</v>
      </c>
      <c r="L46" s="4">
        <f>(F46*((G46+Rates!$D$31)*(H46+0.6)-G46*H46)+0.8)*I46</f>
        <v>330.40000000000009</v>
      </c>
      <c r="M46" s="4">
        <f t="shared" si="15"/>
        <v>39.64800000000001</v>
      </c>
      <c r="N46" s="4">
        <f t="shared" si="16"/>
        <v>45.760000000000005</v>
      </c>
      <c r="O46" s="4">
        <f t="shared" si="17"/>
        <v>288</v>
      </c>
      <c r="P46" s="4">
        <f t="shared" si="18"/>
        <v>457.6</v>
      </c>
      <c r="Q46" s="4">
        <f t="shared" si="19"/>
        <v>45.760000000000005</v>
      </c>
      <c r="R46" s="4">
        <f t="shared" si="20"/>
        <v>22.880000000000003</v>
      </c>
      <c r="S46" s="4">
        <f t="shared" si="21"/>
        <v>22.880000000000003</v>
      </c>
      <c r="T46" s="4">
        <f t="shared" si="22"/>
        <v>457.6</v>
      </c>
      <c r="U46" s="4">
        <f t="shared" si="23"/>
        <v>915.2</v>
      </c>
      <c r="V46" s="4">
        <f t="shared" si="24"/>
        <v>1.4300000000000002</v>
      </c>
      <c r="W46" s="4">
        <f t="shared" si="25"/>
        <v>28.6</v>
      </c>
      <c r="X46" s="4">
        <f t="shared" si="26"/>
        <v>8</v>
      </c>
      <c r="Y46" s="4">
        <f t="shared" si="27"/>
        <v>500.50000000000006</v>
      </c>
      <c r="Z46" s="4">
        <f t="shared" si="28"/>
        <v>0</v>
      </c>
      <c r="AA46" s="4">
        <f>L46*Rates!$D$6</f>
        <v>35319.760000000009</v>
      </c>
      <c r="AB46" s="4">
        <f>M46*Rates!$D$7</f>
        <v>16537.180800000006</v>
      </c>
      <c r="AC46" s="4">
        <f>N46*Rates!$D$8</f>
        <v>2059.2000000000003</v>
      </c>
      <c r="AD46" s="4">
        <f>O46*Rates!$D$9</f>
        <v>576</v>
      </c>
      <c r="AE46" s="4">
        <f>Q46*Rates!$D$10</f>
        <v>297.44000000000005</v>
      </c>
      <c r="AF46" s="4">
        <f>R46*Rates!$D$11</f>
        <v>1029.6000000000001</v>
      </c>
      <c r="AG46" s="4">
        <f>S46*Rates!$D$12</f>
        <v>1075.3600000000001</v>
      </c>
      <c r="AH46" s="4">
        <f>T46*Rates!$D$13</f>
        <v>205.92000000000002</v>
      </c>
      <c r="AI46" s="4">
        <f>U46*Rates!$D$14</f>
        <v>320.32</v>
      </c>
      <c r="AJ46" s="4">
        <f>V46*Rates!$D$15</f>
        <v>5.7200000000000006</v>
      </c>
      <c r="AK46" s="4">
        <f>W46*Rates!$D$16</f>
        <v>1515.8000000000002</v>
      </c>
      <c r="AL46" s="4">
        <f>X46*Rates!$D$17</f>
        <v>24</v>
      </c>
      <c r="AM46" s="4">
        <f>Y46*Rates!$D$18</f>
        <v>100.10000000000002</v>
      </c>
      <c r="AN46" s="4">
        <f>Z46*Rates!$D$19</f>
        <v>0</v>
      </c>
      <c r="AO46" s="4">
        <f t="shared" si="29"/>
        <v>59066.40080000001</v>
      </c>
    </row>
    <row r="47" spans="1:41" x14ac:dyDescent="0.25">
      <c r="A47" s="3">
        <v>46</v>
      </c>
      <c r="B47" s="3" t="s">
        <v>244</v>
      </c>
      <c r="C47" s="3" t="s">
        <v>145</v>
      </c>
      <c r="D47" s="3" t="s">
        <v>288</v>
      </c>
      <c r="E47" s="3" t="s">
        <v>24</v>
      </c>
      <c r="F47" s="3">
        <v>4</v>
      </c>
      <c r="G47" s="3">
        <v>4</v>
      </c>
      <c r="H47" s="3">
        <v>2.5</v>
      </c>
      <c r="I47" s="3">
        <v>45</v>
      </c>
      <c r="J47" s="3" t="s">
        <v>240</v>
      </c>
      <c r="K47" s="4">
        <f>F47*G47+(F47+1)*Rates!$D$31</f>
        <v>17.25</v>
      </c>
      <c r="L47" s="4">
        <f>(F47*((G47+Rates!$D$31)*(H47+0.6)-G47*H47)+0.8)*I47</f>
        <v>607.50000000000011</v>
      </c>
      <c r="M47" s="4">
        <f t="shared" si="15"/>
        <v>72.900000000000006</v>
      </c>
      <c r="N47" s="4">
        <f t="shared" si="16"/>
        <v>85.387500000000003</v>
      </c>
      <c r="O47" s="4">
        <f t="shared" si="17"/>
        <v>405</v>
      </c>
      <c r="P47" s="4">
        <f t="shared" si="18"/>
        <v>853.87500000000011</v>
      </c>
      <c r="Q47" s="4">
        <f t="shared" si="19"/>
        <v>85.387500000000017</v>
      </c>
      <c r="R47" s="4">
        <f t="shared" si="20"/>
        <v>42.693750000000009</v>
      </c>
      <c r="S47" s="4">
        <f t="shared" si="21"/>
        <v>42.693750000000009</v>
      </c>
      <c r="T47" s="4">
        <f t="shared" si="22"/>
        <v>853.87500000000011</v>
      </c>
      <c r="U47" s="4">
        <f t="shared" si="23"/>
        <v>1707.7500000000002</v>
      </c>
      <c r="V47" s="4">
        <f t="shared" si="24"/>
        <v>1.8975000000000002</v>
      </c>
      <c r="W47" s="4">
        <f t="shared" si="25"/>
        <v>37.950000000000003</v>
      </c>
      <c r="X47" s="4">
        <f t="shared" si="26"/>
        <v>10</v>
      </c>
      <c r="Y47" s="4">
        <f t="shared" si="27"/>
        <v>910.80000000000007</v>
      </c>
      <c r="Z47" s="4">
        <f t="shared" si="28"/>
        <v>0</v>
      </c>
      <c r="AA47" s="4">
        <f>L47*Rates!$D$6</f>
        <v>64941.750000000015</v>
      </c>
      <c r="AB47" s="4">
        <f>M47*Rates!$D$7</f>
        <v>30406.590000000004</v>
      </c>
      <c r="AC47" s="4">
        <f>N47*Rates!$D$8</f>
        <v>3842.4375</v>
      </c>
      <c r="AD47" s="4">
        <f>O47*Rates!$D$9</f>
        <v>810</v>
      </c>
      <c r="AE47" s="4">
        <f>Q47*Rates!$D$10</f>
        <v>555.01875000000007</v>
      </c>
      <c r="AF47" s="4">
        <f>R47*Rates!$D$11</f>
        <v>1921.2187500000005</v>
      </c>
      <c r="AG47" s="4">
        <f>S47*Rates!$D$12</f>
        <v>2006.6062500000005</v>
      </c>
      <c r="AH47" s="4">
        <f>T47*Rates!$D$13</f>
        <v>384.24375000000003</v>
      </c>
      <c r="AI47" s="4">
        <f>U47*Rates!$D$14</f>
        <v>597.71250000000009</v>
      </c>
      <c r="AJ47" s="4">
        <f>V47*Rates!$D$15</f>
        <v>7.5900000000000007</v>
      </c>
      <c r="AK47" s="4">
        <f>W47*Rates!$D$16</f>
        <v>2011.3500000000001</v>
      </c>
      <c r="AL47" s="4">
        <f>X47*Rates!$D$17</f>
        <v>30</v>
      </c>
      <c r="AM47" s="4">
        <f>Y47*Rates!$D$18</f>
        <v>182.16000000000003</v>
      </c>
      <c r="AN47" s="4">
        <f>Z47*Rates!$D$19</f>
        <v>0</v>
      </c>
      <c r="AO47" s="4">
        <f t="shared" si="29"/>
        <v>107696.67750000002</v>
      </c>
    </row>
    <row r="48" spans="1:41" x14ac:dyDescent="0.25">
      <c r="A48" s="3">
        <v>47</v>
      </c>
      <c r="B48" s="3" t="s">
        <v>238</v>
      </c>
      <c r="C48" s="3" t="s">
        <v>147</v>
      </c>
      <c r="D48" s="3" t="s">
        <v>289</v>
      </c>
      <c r="E48" s="3" t="s">
        <v>25</v>
      </c>
      <c r="F48" s="3">
        <v>86</v>
      </c>
      <c r="G48" s="3">
        <v>4</v>
      </c>
      <c r="H48" s="3">
        <v>2.5</v>
      </c>
      <c r="I48" s="3">
        <v>32</v>
      </c>
      <c r="J48" s="3" t="s">
        <v>240</v>
      </c>
      <c r="K48" s="4">
        <f>F48*G48+(F48+1)*Rates!$D$31</f>
        <v>365.75</v>
      </c>
      <c r="L48" s="4">
        <f>(F48*((G48+Rates!$D$31)*(H48+0.6)-G48*H48)+0.8)*I48</f>
        <v>8763.2000000000025</v>
      </c>
      <c r="M48" s="4">
        <f t="shared" si="15"/>
        <v>1051.5840000000003</v>
      </c>
      <c r="N48" s="4">
        <f t="shared" si="16"/>
        <v>1287.4400000000003</v>
      </c>
      <c r="O48" s="4">
        <f t="shared" si="17"/>
        <v>288</v>
      </c>
      <c r="P48" s="4">
        <f t="shared" si="18"/>
        <v>12874.400000000001</v>
      </c>
      <c r="Q48" s="4">
        <f t="shared" si="19"/>
        <v>1287.4400000000003</v>
      </c>
      <c r="R48" s="4">
        <f t="shared" si="20"/>
        <v>643.72000000000014</v>
      </c>
      <c r="S48" s="4">
        <f t="shared" si="21"/>
        <v>643.72000000000014</v>
      </c>
      <c r="T48" s="4">
        <f t="shared" si="22"/>
        <v>12874.400000000001</v>
      </c>
      <c r="U48" s="4">
        <f t="shared" si="23"/>
        <v>25748.800000000003</v>
      </c>
      <c r="V48" s="4">
        <f t="shared" si="24"/>
        <v>40.232500000000009</v>
      </c>
      <c r="W48" s="4">
        <f t="shared" si="25"/>
        <v>804.65000000000009</v>
      </c>
      <c r="X48" s="4">
        <f t="shared" si="26"/>
        <v>202</v>
      </c>
      <c r="Y48" s="4">
        <f t="shared" si="27"/>
        <v>14081.375000000002</v>
      </c>
      <c r="Z48" s="4">
        <f t="shared" si="28"/>
        <v>0</v>
      </c>
      <c r="AA48" s="4">
        <f>L48*Rates!$D$6</f>
        <v>936786.08000000031</v>
      </c>
      <c r="AB48" s="4">
        <f>M48*Rates!$D$7</f>
        <v>438615.68640000012</v>
      </c>
      <c r="AC48" s="4">
        <f>N48*Rates!$D$8</f>
        <v>57934.80000000001</v>
      </c>
      <c r="AD48" s="4">
        <f>O48*Rates!$D$9</f>
        <v>576</v>
      </c>
      <c r="AE48" s="4">
        <f>Q48*Rates!$D$10</f>
        <v>8368.3600000000024</v>
      </c>
      <c r="AF48" s="4">
        <f>R48*Rates!$D$11</f>
        <v>28967.400000000005</v>
      </c>
      <c r="AG48" s="4">
        <f>S48*Rates!$D$12</f>
        <v>30254.840000000007</v>
      </c>
      <c r="AH48" s="4">
        <f>T48*Rates!$D$13</f>
        <v>5793.4800000000005</v>
      </c>
      <c r="AI48" s="4">
        <f>U48*Rates!$D$14</f>
        <v>9012.08</v>
      </c>
      <c r="AJ48" s="4">
        <f>V48*Rates!$D$15</f>
        <v>160.93000000000004</v>
      </c>
      <c r="AK48" s="4">
        <f>W48*Rates!$D$16</f>
        <v>42646.450000000004</v>
      </c>
      <c r="AL48" s="4">
        <f>X48*Rates!$D$17</f>
        <v>606</v>
      </c>
      <c r="AM48" s="4">
        <f>Y48*Rates!$D$18</f>
        <v>2816.2750000000005</v>
      </c>
      <c r="AN48" s="4">
        <f>Z48*Rates!$D$19</f>
        <v>0</v>
      </c>
      <c r="AO48" s="4">
        <f t="shared" si="29"/>
        <v>1562538.3814000005</v>
      </c>
    </row>
    <row r="49" spans="1:41" x14ac:dyDescent="0.25">
      <c r="A49" s="3">
        <v>48</v>
      </c>
      <c r="B49" s="3" t="s">
        <v>241</v>
      </c>
      <c r="C49" s="3" t="s">
        <v>147</v>
      </c>
      <c r="D49" s="3" t="s">
        <v>290</v>
      </c>
      <c r="E49" s="3" t="s">
        <v>25</v>
      </c>
      <c r="F49" s="3">
        <v>53</v>
      </c>
      <c r="G49" s="3">
        <v>4</v>
      </c>
      <c r="H49" s="3">
        <v>2.5</v>
      </c>
      <c r="I49" s="3">
        <v>45</v>
      </c>
      <c r="J49" s="3" t="s">
        <v>243</v>
      </c>
      <c r="K49" s="4">
        <f>F49*G49+(F49+1)*Rates!$D$31</f>
        <v>225.5</v>
      </c>
      <c r="L49" s="4">
        <f>(F49*((G49+Rates!$D$31)*(H49+0.6)-G49*H49)+0.8)*I49</f>
        <v>7608.3750000000018</v>
      </c>
      <c r="M49" s="4">
        <f t="shared" si="15"/>
        <v>913.00500000000022</v>
      </c>
      <c r="N49" s="4">
        <f t="shared" si="16"/>
        <v>1116.2250000000001</v>
      </c>
      <c r="O49" s="4">
        <f t="shared" si="17"/>
        <v>405</v>
      </c>
      <c r="P49" s="4">
        <f t="shared" si="18"/>
        <v>11162.25</v>
      </c>
      <c r="Q49" s="4">
        <f t="shared" si="19"/>
        <v>1116.2250000000001</v>
      </c>
      <c r="R49" s="4">
        <f t="shared" si="20"/>
        <v>558.11250000000007</v>
      </c>
      <c r="S49" s="4">
        <f t="shared" si="21"/>
        <v>558.11250000000007</v>
      </c>
      <c r="T49" s="4">
        <f t="shared" si="22"/>
        <v>11162.25</v>
      </c>
      <c r="U49" s="4">
        <f t="shared" si="23"/>
        <v>22324.5</v>
      </c>
      <c r="V49" s="4">
        <f t="shared" si="24"/>
        <v>24.805000000000003</v>
      </c>
      <c r="W49" s="4">
        <f t="shared" si="25"/>
        <v>496.1</v>
      </c>
      <c r="X49" s="4">
        <f t="shared" si="26"/>
        <v>125</v>
      </c>
      <c r="Y49" s="4">
        <f t="shared" si="27"/>
        <v>11906.400000000001</v>
      </c>
      <c r="Z49" s="4">
        <f t="shared" si="28"/>
        <v>33486.75</v>
      </c>
      <c r="AA49" s="4">
        <f>L49*Rates!$D$6</f>
        <v>813335.28750000021</v>
      </c>
      <c r="AB49" s="4">
        <f>M49*Rates!$D$7</f>
        <v>380814.38550000009</v>
      </c>
      <c r="AC49" s="4">
        <f>N49*Rates!$D$8</f>
        <v>50230.125000000007</v>
      </c>
      <c r="AD49" s="4">
        <f>O49*Rates!$D$9</f>
        <v>810</v>
      </c>
      <c r="AE49" s="4">
        <f>Q49*Rates!$D$10</f>
        <v>7255.4625000000005</v>
      </c>
      <c r="AF49" s="4">
        <f>R49*Rates!$D$11</f>
        <v>25115.062500000004</v>
      </c>
      <c r="AG49" s="4">
        <f>S49*Rates!$D$12</f>
        <v>26231.287500000002</v>
      </c>
      <c r="AH49" s="4">
        <f>T49*Rates!$D$13</f>
        <v>5023.0124999999998</v>
      </c>
      <c r="AI49" s="4">
        <f>U49*Rates!$D$14</f>
        <v>7813.5749999999998</v>
      </c>
      <c r="AJ49" s="4">
        <f>V49*Rates!$D$15</f>
        <v>99.220000000000013</v>
      </c>
      <c r="AK49" s="4">
        <f>W49*Rates!$D$16</f>
        <v>26293.300000000003</v>
      </c>
      <c r="AL49" s="4">
        <f>X49*Rates!$D$17</f>
        <v>375</v>
      </c>
      <c r="AM49" s="4">
        <f>Y49*Rates!$D$18</f>
        <v>2381.2800000000002</v>
      </c>
      <c r="AN49" s="4">
        <f>Z49*Rates!$D$19</f>
        <v>133947</v>
      </c>
      <c r="AO49" s="4">
        <f t="shared" si="29"/>
        <v>1479723.9980000004</v>
      </c>
    </row>
    <row r="50" spans="1:41" x14ac:dyDescent="0.25">
      <c r="A50" s="3">
        <v>49</v>
      </c>
      <c r="B50" s="3" t="s">
        <v>244</v>
      </c>
      <c r="C50" s="3" t="s">
        <v>147</v>
      </c>
      <c r="D50" s="3" t="s">
        <v>291</v>
      </c>
      <c r="E50" s="3" t="s">
        <v>25</v>
      </c>
      <c r="F50" s="3">
        <v>22</v>
      </c>
      <c r="G50" s="3">
        <v>4</v>
      </c>
      <c r="H50" s="3">
        <v>2.5</v>
      </c>
      <c r="I50" s="3">
        <v>45</v>
      </c>
      <c r="J50" s="3" t="s">
        <v>240</v>
      </c>
      <c r="K50" s="4">
        <f>F50*G50+(F50+1)*Rates!$D$31</f>
        <v>93.75</v>
      </c>
      <c r="L50" s="4">
        <f>(F50*((G50+Rates!$D$31)*(H50+0.6)-G50*H50)+0.8)*I50</f>
        <v>3179.2500000000009</v>
      </c>
      <c r="M50" s="4">
        <f t="shared" si="15"/>
        <v>381.5100000000001</v>
      </c>
      <c r="N50" s="4">
        <f t="shared" si="16"/>
        <v>464.06250000000006</v>
      </c>
      <c r="O50" s="4">
        <f t="shared" si="17"/>
        <v>405</v>
      </c>
      <c r="P50" s="4">
        <f t="shared" si="18"/>
        <v>4640.625</v>
      </c>
      <c r="Q50" s="4">
        <f t="shared" si="19"/>
        <v>464.0625</v>
      </c>
      <c r="R50" s="4">
        <f t="shared" si="20"/>
        <v>232.03125</v>
      </c>
      <c r="S50" s="4">
        <f t="shared" si="21"/>
        <v>232.03125</v>
      </c>
      <c r="T50" s="4">
        <f t="shared" si="22"/>
        <v>4640.625</v>
      </c>
      <c r="U50" s="4">
        <f t="shared" si="23"/>
        <v>9281.25</v>
      </c>
      <c r="V50" s="4">
        <f t="shared" si="24"/>
        <v>10.3125</v>
      </c>
      <c r="W50" s="4">
        <f t="shared" si="25"/>
        <v>206.25000000000003</v>
      </c>
      <c r="X50" s="4">
        <f t="shared" si="26"/>
        <v>52</v>
      </c>
      <c r="Y50" s="4">
        <f t="shared" si="27"/>
        <v>4950</v>
      </c>
      <c r="Z50" s="4">
        <f t="shared" si="28"/>
        <v>0</v>
      </c>
      <c r="AA50" s="4">
        <f>L50*Rates!$D$6</f>
        <v>339861.82500000013</v>
      </c>
      <c r="AB50" s="4">
        <f>M50*Rates!$D$7</f>
        <v>159127.82100000005</v>
      </c>
      <c r="AC50" s="4">
        <f>N50*Rates!$D$8</f>
        <v>20882.812500000004</v>
      </c>
      <c r="AD50" s="4">
        <f>O50*Rates!$D$9</f>
        <v>810</v>
      </c>
      <c r="AE50" s="4">
        <f>Q50*Rates!$D$10</f>
        <v>3016.40625</v>
      </c>
      <c r="AF50" s="4">
        <f>R50*Rates!$D$11</f>
        <v>10441.40625</v>
      </c>
      <c r="AG50" s="4">
        <f>S50*Rates!$D$12</f>
        <v>10905.46875</v>
      </c>
      <c r="AH50" s="4">
        <f>T50*Rates!$D$13</f>
        <v>2088.28125</v>
      </c>
      <c r="AI50" s="4">
        <f>U50*Rates!$D$14</f>
        <v>3248.4375</v>
      </c>
      <c r="AJ50" s="4">
        <f>V50*Rates!$D$15</f>
        <v>41.25</v>
      </c>
      <c r="AK50" s="4">
        <f>W50*Rates!$D$16</f>
        <v>10931.250000000002</v>
      </c>
      <c r="AL50" s="4">
        <f>X50*Rates!$D$17</f>
        <v>156</v>
      </c>
      <c r="AM50" s="4">
        <f>Y50*Rates!$D$18</f>
        <v>990</v>
      </c>
      <c r="AN50" s="4">
        <f>Z50*Rates!$D$19</f>
        <v>0</v>
      </c>
      <c r="AO50" s="4">
        <f t="shared" si="29"/>
        <v>562500.95850000018</v>
      </c>
    </row>
    <row r="51" spans="1:41" x14ac:dyDescent="0.25">
      <c r="A51" s="3">
        <v>50</v>
      </c>
      <c r="B51" s="3" t="s">
        <v>238</v>
      </c>
      <c r="C51" s="3" t="s">
        <v>148</v>
      </c>
      <c r="D51" s="3" t="s">
        <v>292</v>
      </c>
      <c r="E51" s="3" t="s">
        <v>25</v>
      </c>
      <c r="F51" s="3">
        <v>24</v>
      </c>
      <c r="G51" s="3">
        <v>4</v>
      </c>
      <c r="H51" s="3">
        <v>2.5</v>
      </c>
      <c r="I51" s="3">
        <v>32</v>
      </c>
      <c r="J51" s="3" t="s">
        <v>240</v>
      </c>
      <c r="K51" s="4">
        <f>F51*G51+(F51+1)*Rates!$D$31</f>
        <v>102.25</v>
      </c>
      <c r="L51" s="4">
        <f>(F51*((G51+Rates!$D$31)*(H51+0.6)-G51*H51)+0.8)*I51</f>
        <v>2464.0000000000005</v>
      </c>
      <c r="M51" s="4">
        <f t="shared" si="15"/>
        <v>295.68000000000006</v>
      </c>
      <c r="N51" s="4">
        <f t="shared" si="16"/>
        <v>359.92000000000007</v>
      </c>
      <c r="O51" s="4">
        <f t="shared" si="17"/>
        <v>288</v>
      </c>
      <c r="P51" s="4">
        <f t="shared" si="18"/>
        <v>3599.2000000000003</v>
      </c>
      <c r="Q51" s="4">
        <f t="shared" si="19"/>
        <v>359.92000000000007</v>
      </c>
      <c r="R51" s="4">
        <f t="shared" si="20"/>
        <v>179.96000000000004</v>
      </c>
      <c r="S51" s="4">
        <f t="shared" si="21"/>
        <v>179.96000000000004</v>
      </c>
      <c r="T51" s="4">
        <f t="shared" si="22"/>
        <v>3599.2000000000003</v>
      </c>
      <c r="U51" s="4">
        <f t="shared" si="23"/>
        <v>7198.4000000000005</v>
      </c>
      <c r="V51" s="4">
        <f t="shared" si="24"/>
        <v>11.247500000000002</v>
      </c>
      <c r="W51" s="4">
        <f t="shared" si="25"/>
        <v>224.95000000000002</v>
      </c>
      <c r="X51" s="4">
        <f t="shared" si="26"/>
        <v>57</v>
      </c>
      <c r="Y51" s="4">
        <f t="shared" si="27"/>
        <v>3936.6250000000005</v>
      </c>
      <c r="Z51" s="4">
        <f t="shared" si="28"/>
        <v>0</v>
      </c>
      <c r="AA51" s="4">
        <f>L51*Rates!$D$6</f>
        <v>263401.60000000003</v>
      </c>
      <c r="AB51" s="4">
        <f>M51*Rates!$D$7</f>
        <v>123328.12800000003</v>
      </c>
      <c r="AC51" s="4">
        <f>N51*Rates!$D$8</f>
        <v>16196.400000000003</v>
      </c>
      <c r="AD51" s="4">
        <f>O51*Rates!$D$9</f>
        <v>576</v>
      </c>
      <c r="AE51" s="4">
        <f>Q51*Rates!$D$10</f>
        <v>2339.4800000000005</v>
      </c>
      <c r="AF51" s="4">
        <f>R51*Rates!$D$11</f>
        <v>8098.2000000000016</v>
      </c>
      <c r="AG51" s="4">
        <f>S51*Rates!$D$12</f>
        <v>8458.1200000000026</v>
      </c>
      <c r="AH51" s="4">
        <f>T51*Rates!$D$13</f>
        <v>1619.64</v>
      </c>
      <c r="AI51" s="4">
        <f>U51*Rates!$D$14</f>
        <v>2519.44</v>
      </c>
      <c r="AJ51" s="4">
        <f>V51*Rates!$D$15</f>
        <v>44.990000000000009</v>
      </c>
      <c r="AK51" s="4">
        <f>W51*Rates!$D$16</f>
        <v>11922.35</v>
      </c>
      <c r="AL51" s="4">
        <f>X51*Rates!$D$17</f>
        <v>171</v>
      </c>
      <c r="AM51" s="4">
        <f>Y51*Rates!$D$18</f>
        <v>787.32500000000016</v>
      </c>
      <c r="AN51" s="4">
        <f>Z51*Rates!$D$19</f>
        <v>0</v>
      </c>
      <c r="AO51" s="4">
        <f t="shared" si="29"/>
        <v>439462.67300000007</v>
      </c>
    </row>
    <row r="52" spans="1:41" x14ac:dyDescent="0.25">
      <c r="A52" s="3">
        <v>51</v>
      </c>
      <c r="B52" s="3" t="s">
        <v>241</v>
      </c>
      <c r="C52" s="3" t="s">
        <v>148</v>
      </c>
      <c r="D52" s="3" t="s">
        <v>293</v>
      </c>
      <c r="E52" s="3" t="s">
        <v>25</v>
      </c>
      <c r="F52" s="3">
        <v>24</v>
      </c>
      <c r="G52" s="3">
        <v>4</v>
      </c>
      <c r="H52" s="3">
        <v>2.5</v>
      </c>
      <c r="I52" s="3">
        <v>45</v>
      </c>
      <c r="J52" s="3" t="s">
        <v>243</v>
      </c>
      <c r="K52" s="4">
        <f>F52*G52+(F52+1)*Rates!$D$31</f>
        <v>102.25</v>
      </c>
      <c r="L52" s="4">
        <f>(F52*((G52+Rates!$D$31)*(H52+0.6)-G52*H52)+0.8)*I52</f>
        <v>3465.0000000000005</v>
      </c>
      <c r="M52" s="4">
        <f t="shared" si="15"/>
        <v>415.8</v>
      </c>
      <c r="N52" s="4">
        <f t="shared" si="16"/>
        <v>506.13750000000005</v>
      </c>
      <c r="O52" s="4">
        <f t="shared" si="17"/>
        <v>405</v>
      </c>
      <c r="P52" s="4">
        <f t="shared" si="18"/>
        <v>5061.375</v>
      </c>
      <c r="Q52" s="4">
        <f t="shared" si="19"/>
        <v>506.13750000000005</v>
      </c>
      <c r="R52" s="4">
        <f t="shared" si="20"/>
        <v>253.06875000000002</v>
      </c>
      <c r="S52" s="4">
        <f t="shared" si="21"/>
        <v>253.06875000000002</v>
      </c>
      <c r="T52" s="4">
        <f t="shared" si="22"/>
        <v>5061.375</v>
      </c>
      <c r="U52" s="4">
        <f t="shared" si="23"/>
        <v>10122.75</v>
      </c>
      <c r="V52" s="4">
        <f t="shared" si="24"/>
        <v>11.247500000000002</v>
      </c>
      <c r="W52" s="4">
        <f t="shared" si="25"/>
        <v>224.95000000000002</v>
      </c>
      <c r="X52" s="4">
        <f t="shared" si="26"/>
        <v>57</v>
      </c>
      <c r="Y52" s="4">
        <f t="shared" si="27"/>
        <v>5398.8</v>
      </c>
      <c r="Z52" s="4">
        <f t="shared" si="28"/>
        <v>15184.125000000002</v>
      </c>
      <c r="AA52" s="4">
        <f>L52*Rates!$D$6</f>
        <v>370408.50000000006</v>
      </c>
      <c r="AB52" s="4">
        <f>M52*Rates!$D$7</f>
        <v>173430.18000000002</v>
      </c>
      <c r="AC52" s="4">
        <f>N52*Rates!$D$8</f>
        <v>22776.187500000004</v>
      </c>
      <c r="AD52" s="4">
        <f>O52*Rates!$D$9</f>
        <v>810</v>
      </c>
      <c r="AE52" s="4">
        <f>Q52*Rates!$D$10</f>
        <v>3289.8937500000002</v>
      </c>
      <c r="AF52" s="4">
        <f>R52*Rates!$D$11</f>
        <v>11388.093750000002</v>
      </c>
      <c r="AG52" s="4">
        <f>S52*Rates!$D$12</f>
        <v>11894.231250000001</v>
      </c>
      <c r="AH52" s="4">
        <f>T52*Rates!$D$13</f>
        <v>2277.6187500000001</v>
      </c>
      <c r="AI52" s="4">
        <f>U52*Rates!$D$14</f>
        <v>3542.9624999999996</v>
      </c>
      <c r="AJ52" s="4">
        <f>V52*Rates!$D$15</f>
        <v>44.990000000000009</v>
      </c>
      <c r="AK52" s="4">
        <f>W52*Rates!$D$16</f>
        <v>11922.35</v>
      </c>
      <c r="AL52" s="4">
        <f>X52*Rates!$D$17</f>
        <v>171</v>
      </c>
      <c r="AM52" s="4">
        <f>Y52*Rates!$D$18</f>
        <v>1079.76</v>
      </c>
      <c r="AN52" s="4">
        <f>Z52*Rates!$D$19</f>
        <v>60736.500000000007</v>
      </c>
      <c r="AO52" s="4">
        <f t="shared" si="29"/>
        <v>673772.26750000007</v>
      </c>
    </row>
    <row r="53" spans="1:41" x14ac:dyDescent="0.25">
      <c r="A53" s="3">
        <v>52</v>
      </c>
      <c r="B53" s="3" t="s">
        <v>244</v>
      </c>
      <c r="C53" s="3" t="s">
        <v>148</v>
      </c>
      <c r="D53" s="3" t="s">
        <v>294</v>
      </c>
      <c r="E53" s="3" t="s">
        <v>25</v>
      </c>
      <c r="F53" s="3">
        <v>13</v>
      </c>
      <c r="G53" s="3">
        <v>4</v>
      </c>
      <c r="H53" s="3">
        <v>2.5</v>
      </c>
      <c r="I53" s="3">
        <v>45</v>
      </c>
      <c r="J53" s="3" t="s">
        <v>240</v>
      </c>
      <c r="K53" s="4">
        <f>F53*G53+(F53+1)*Rates!$D$31</f>
        <v>55.5</v>
      </c>
      <c r="L53" s="4">
        <f>(F53*((G53+Rates!$D$31)*(H53+0.6)-G53*H53)+0.8)*I53</f>
        <v>1893.3750000000002</v>
      </c>
      <c r="M53" s="4">
        <f t="shared" si="15"/>
        <v>227.20500000000001</v>
      </c>
      <c r="N53" s="4">
        <f t="shared" si="16"/>
        <v>274.72500000000002</v>
      </c>
      <c r="O53" s="4">
        <f t="shared" si="17"/>
        <v>405</v>
      </c>
      <c r="P53" s="4">
        <f t="shared" si="18"/>
        <v>2747.25</v>
      </c>
      <c r="Q53" s="4">
        <f t="shared" si="19"/>
        <v>274.72500000000002</v>
      </c>
      <c r="R53" s="4">
        <f t="shared" si="20"/>
        <v>137.36250000000001</v>
      </c>
      <c r="S53" s="4">
        <f t="shared" si="21"/>
        <v>137.36250000000001</v>
      </c>
      <c r="T53" s="4">
        <f t="shared" si="22"/>
        <v>2747.25</v>
      </c>
      <c r="U53" s="4">
        <f t="shared" si="23"/>
        <v>5494.5</v>
      </c>
      <c r="V53" s="4">
        <f t="shared" si="24"/>
        <v>6.1050000000000013</v>
      </c>
      <c r="W53" s="4">
        <f t="shared" si="25"/>
        <v>122.10000000000001</v>
      </c>
      <c r="X53" s="4">
        <f t="shared" si="26"/>
        <v>31</v>
      </c>
      <c r="Y53" s="4">
        <f t="shared" si="27"/>
        <v>2930.4</v>
      </c>
      <c r="Z53" s="4">
        <f t="shared" si="28"/>
        <v>0</v>
      </c>
      <c r="AA53" s="4">
        <f>L53*Rates!$D$6</f>
        <v>202401.78750000003</v>
      </c>
      <c r="AB53" s="4">
        <f>M53*Rates!$D$7</f>
        <v>94767.205500000011</v>
      </c>
      <c r="AC53" s="4">
        <f>N53*Rates!$D$8</f>
        <v>12362.625000000002</v>
      </c>
      <c r="AD53" s="4">
        <f>O53*Rates!$D$9</f>
        <v>810</v>
      </c>
      <c r="AE53" s="4">
        <f>Q53*Rates!$D$10</f>
        <v>1785.7125000000001</v>
      </c>
      <c r="AF53" s="4">
        <f>R53*Rates!$D$11</f>
        <v>6181.3125000000009</v>
      </c>
      <c r="AG53" s="4">
        <f>S53*Rates!$D$12</f>
        <v>6456.0375000000004</v>
      </c>
      <c r="AH53" s="4">
        <f>T53*Rates!$D$13</f>
        <v>1236.2625</v>
      </c>
      <c r="AI53" s="4">
        <f>U53*Rates!$D$14</f>
        <v>1923.0749999999998</v>
      </c>
      <c r="AJ53" s="4">
        <f>V53*Rates!$D$15</f>
        <v>24.420000000000005</v>
      </c>
      <c r="AK53" s="4">
        <f>W53*Rates!$D$16</f>
        <v>6471.3</v>
      </c>
      <c r="AL53" s="4">
        <f>X53*Rates!$D$17</f>
        <v>93</v>
      </c>
      <c r="AM53" s="4">
        <f>Y53*Rates!$D$18</f>
        <v>586.08000000000004</v>
      </c>
      <c r="AN53" s="4">
        <f>Z53*Rates!$D$19</f>
        <v>0</v>
      </c>
      <c r="AO53" s="4">
        <f t="shared" si="29"/>
        <v>335098.81800000003</v>
      </c>
    </row>
    <row r="54" spans="1:41" x14ac:dyDescent="0.25">
      <c r="A54" s="3">
        <v>53</v>
      </c>
      <c r="B54" s="3" t="s">
        <v>241</v>
      </c>
      <c r="C54" s="3" t="s">
        <v>150</v>
      </c>
      <c r="D54" s="3" t="s">
        <v>295</v>
      </c>
      <c r="E54" s="3" t="s">
        <v>25</v>
      </c>
      <c r="F54" s="3">
        <v>4</v>
      </c>
      <c r="G54" s="3">
        <v>4</v>
      </c>
      <c r="H54" s="3">
        <v>2.5</v>
      </c>
      <c r="I54" s="3">
        <v>45</v>
      </c>
      <c r="J54" s="3" t="s">
        <v>243</v>
      </c>
      <c r="K54" s="4">
        <f>F54*G54+(F54+1)*Rates!$D$31</f>
        <v>17.25</v>
      </c>
      <c r="L54" s="4">
        <f>(F54*((G54+Rates!$D$31)*(H54+0.6)-G54*H54)+0.8)*I54</f>
        <v>607.50000000000011</v>
      </c>
      <c r="M54" s="4">
        <f t="shared" si="15"/>
        <v>72.900000000000006</v>
      </c>
      <c r="N54" s="4">
        <f t="shared" si="16"/>
        <v>85.387500000000003</v>
      </c>
      <c r="O54" s="4">
        <f t="shared" si="17"/>
        <v>405</v>
      </c>
      <c r="P54" s="4">
        <f t="shared" si="18"/>
        <v>853.87500000000011</v>
      </c>
      <c r="Q54" s="4">
        <f t="shared" si="19"/>
        <v>85.387500000000017</v>
      </c>
      <c r="R54" s="4">
        <f t="shared" si="20"/>
        <v>42.693750000000009</v>
      </c>
      <c r="S54" s="4">
        <f t="shared" si="21"/>
        <v>42.693750000000009</v>
      </c>
      <c r="T54" s="4">
        <f t="shared" si="22"/>
        <v>853.87500000000011</v>
      </c>
      <c r="U54" s="4">
        <f t="shared" si="23"/>
        <v>1707.7500000000002</v>
      </c>
      <c r="V54" s="4">
        <f t="shared" si="24"/>
        <v>1.8975000000000002</v>
      </c>
      <c r="W54" s="4">
        <f t="shared" si="25"/>
        <v>37.950000000000003</v>
      </c>
      <c r="X54" s="4">
        <f t="shared" si="26"/>
        <v>10</v>
      </c>
      <c r="Y54" s="4">
        <f t="shared" si="27"/>
        <v>910.80000000000007</v>
      </c>
      <c r="Z54" s="4">
        <f t="shared" si="28"/>
        <v>2561.625</v>
      </c>
      <c r="AA54" s="4">
        <f>L54*Rates!$D$6</f>
        <v>64941.750000000015</v>
      </c>
      <c r="AB54" s="4">
        <f>M54*Rates!$D$7</f>
        <v>30406.590000000004</v>
      </c>
      <c r="AC54" s="4">
        <f>N54*Rates!$D$8</f>
        <v>3842.4375</v>
      </c>
      <c r="AD54" s="4">
        <f>O54*Rates!$D$9</f>
        <v>810</v>
      </c>
      <c r="AE54" s="4">
        <f>Q54*Rates!$D$10</f>
        <v>555.01875000000007</v>
      </c>
      <c r="AF54" s="4">
        <f>R54*Rates!$D$11</f>
        <v>1921.2187500000005</v>
      </c>
      <c r="AG54" s="4">
        <f>S54*Rates!$D$12</f>
        <v>2006.6062500000005</v>
      </c>
      <c r="AH54" s="4">
        <f>T54*Rates!$D$13</f>
        <v>384.24375000000003</v>
      </c>
      <c r="AI54" s="4">
        <f>U54*Rates!$D$14</f>
        <v>597.71250000000009</v>
      </c>
      <c r="AJ54" s="4">
        <f>V54*Rates!$D$15</f>
        <v>7.5900000000000007</v>
      </c>
      <c r="AK54" s="4">
        <f>W54*Rates!$D$16</f>
        <v>2011.3500000000001</v>
      </c>
      <c r="AL54" s="4">
        <f>X54*Rates!$D$17</f>
        <v>30</v>
      </c>
      <c r="AM54" s="4">
        <f>Y54*Rates!$D$18</f>
        <v>182.16000000000003</v>
      </c>
      <c r="AN54" s="4">
        <f>Z54*Rates!$D$19</f>
        <v>10246.5</v>
      </c>
      <c r="AO54" s="4">
        <f t="shared" si="29"/>
        <v>117943.17750000002</v>
      </c>
    </row>
    <row r="55" spans="1:41" x14ac:dyDescent="0.25">
      <c r="A55" s="3">
        <v>54</v>
      </c>
      <c r="B55" s="3" t="s">
        <v>238</v>
      </c>
      <c r="C55" s="3" t="s">
        <v>152</v>
      </c>
      <c r="D55" s="3" t="s">
        <v>296</v>
      </c>
      <c r="E55" s="3" t="s">
        <v>26</v>
      </c>
      <c r="F55" s="3">
        <v>122</v>
      </c>
      <c r="G55" s="3">
        <v>4</v>
      </c>
      <c r="H55" s="3">
        <v>2.5</v>
      </c>
      <c r="I55" s="3">
        <v>32</v>
      </c>
      <c r="J55" s="3" t="s">
        <v>240</v>
      </c>
      <c r="K55" s="4">
        <f>F55*G55+(F55+1)*Rates!$D$31</f>
        <v>518.75</v>
      </c>
      <c r="L55" s="4">
        <f>(F55*((G55+Rates!$D$31)*(H55+0.6)-G55*H55)+0.8)*I55</f>
        <v>12420.800000000003</v>
      </c>
      <c r="M55" s="4">
        <f t="shared" si="15"/>
        <v>1490.4960000000003</v>
      </c>
      <c r="N55" s="4">
        <f t="shared" si="16"/>
        <v>1826.0000000000002</v>
      </c>
      <c r="O55" s="4">
        <f t="shared" si="17"/>
        <v>288</v>
      </c>
      <c r="P55" s="4">
        <f t="shared" si="18"/>
        <v>18260</v>
      </c>
      <c r="Q55" s="4">
        <f t="shared" si="19"/>
        <v>1826</v>
      </c>
      <c r="R55" s="4">
        <f t="shared" si="20"/>
        <v>913</v>
      </c>
      <c r="S55" s="4">
        <f t="shared" si="21"/>
        <v>913</v>
      </c>
      <c r="T55" s="4">
        <f t="shared" si="22"/>
        <v>18260</v>
      </c>
      <c r="U55" s="4">
        <f t="shared" si="23"/>
        <v>36520</v>
      </c>
      <c r="V55" s="4">
        <f t="shared" si="24"/>
        <v>57.062500000000007</v>
      </c>
      <c r="W55" s="4">
        <f t="shared" si="25"/>
        <v>1141.25</v>
      </c>
      <c r="X55" s="4">
        <f t="shared" si="26"/>
        <v>286</v>
      </c>
      <c r="Y55" s="4">
        <f t="shared" si="27"/>
        <v>19971.875</v>
      </c>
      <c r="Z55" s="4">
        <f t="shared" si="28"/>
        <v>0</v>
      </c>
      <c r="AA55" s="4">
        <f>L55*Rates!$D$6</f>
        <v>1327783.5200000005</v>
      </c>
      <c r="AB55" s="4">
        <f>M55*Rates!$D$7</f>
        <v>621685.8816000002</v>
      </c>
      <c r="AC55" s="4">
        <f>N55*Rates!$D$8</f>
        <v>82170.000000000015</v>
      </c>
      <c r="AD55" s="4">
        <f>O55*Rates!$D$9</f>
        <v>576</v>
      </c>
      <c r="AE55" s="4">
        <f>Q55*Rates!$D$10</f>
        <v>11869</v>
      </c>
      <c r="AF55" s="4">
        <f>R55*Rates!$D$11</f>
        <v>41085</v>
      </c>
      <c r="AG55" s="4">
        <f>S55*Rates!$D$12</f>
        <v>42911</v>
      </c>
      <c r="AH55" s="4">
        <f>T55*Rates!$D$13</f>
        <v>8217</v>
      </c>
      <c r="AI55" s="4">
        <f>U55*Rates!$D$14</f>
        <v>12782</v>
      </c>
      <c r="AJ55" s="4">
        <f>V55*Rates!$D$15</f>
        <v>228.25000000000003</v>
      </c>
      <c r="AK55" s="4">
        <f>W55*Rates!$D$16</f>
        <v>60486.25</v>
      </c>
      <c r="AL55" s="4">
        <f>X55*Rates!$D$17</f>
        <v>858</v>
      </c>
      <c r="AM55" s="4">
        <f>Y55*Rates!$D$18</f>
        <v>3994.375</v>
      </c>
      <c r="AN55" s="4">
        <f>Z55*Rates!$D$19</f>
        <v>0</v>
      </c>
      <c r="AO55" s="4">
        <f t="shared" si="29"/>
        <v>2214646.2766000004</v>
      </c>
    </row>
    <row r="56" spans="1:41" x14ac:dyDescent="0.25">
      <c r="A56" s="3">
        <v>55</v>
      </c>
      <c r="B56" s="3" t="s">
        <v>241</v>
      </c>
      <c r="C56" s="3" t="s">
        <v>152</v>
      </c>
      <c r="D56" s="3" t="s">
        <v>296</v>
      </c>
      <c r="E56" s="3" t="s">
        <v>26</v>
      </c>
      <c r="F56" s="3">
        <v>122</v>
      </c>
      <c r="G56" s="3">
        <v>4</v>
      </c>
      <c r="H56" s="3">
        <v>2.5</v>
      </c>
      <c r="I56" s="3">
        <v>45</v>
      </c>
      <c r="J56" s="3" t="s">
        <v>243</v>
      </c>
      <c r="K56" s="4">
        <f>F56*G56+(F56+1)*Rates!$D$31</f>
        <v>518.75</v>
      </c>
      <c r="L56" s="4">
        <f>(F56*((G56+Rates!$D$31)*(H56+0.6)-G56*H56)+0.8)*I56</f>
        <v>17466.750000000004</v>
      </c>
      <c r="M56" s="4">
        <f t="shared" si="15"/>
        <v>2096.0100000000002</v>
      </c>
      <c r="N56" s="4">
        <f t="shared" si="16"/>
        <v>2567.8125</v>
      </c>
      <c r="O56" s="4">
        <f t="shared" si="17"/>
        <v>405</v>
      </c>
      <c r="P56" s="4">
        <f t="shared" si="18"/>
        <v>25678.125000000004</v>
      </c>
      <c r="Q56" s="4">
        <f t="shared" si="19"/>
        <v>2567.8125000000005</v>
      </c>
      <c r="R56" s="4">
        <f t="shared" si="20"/>
        <v>1283.9062500000002</v>
      </c>
      <c r="S56" s="4">
        <f t="shared" si="21"/>
        <v>1283.9062500000002</v>
      </c>
      <c r="T56" s="4">
        <f t="shared" si="22"/>
        <v>25678.125000000004</v>
      </c>
      <c r="U56" s="4">
        <f t="shared" si="23"/>
        <v>51356.250000000007</v>
      </c>
      <c r="V56" s="4">
        <f t="shared" si="24"/>
        <v>57.062500000000007</v>
      </c>
      <c r="W56" s="4">
        <f t="shared" si="25"/>
        <v>1141.25</v>
      </c>
      <c r="X56" s="4">
        <f t="shared" si="26"/>
        <v>286</v>
      </c>
      <c r="Y56" s="4">
        <f t="shared" si="27"/>
        <v>27390.000000000004</v>
      </c>
      <c r="Z56" s="4">
        <f t="shared" si="28"/>
        <v>77034.375</v>
      </c>
      <c r="AA56" s="4">
        <f>L56*Rates!$D$6</f>
        <v>1867195.5750000004</v>
      </c>
      <c r="AB56" s="4">
        <f>M56*Rates!$D$7</f>
        <v>874245.77100000018</v>
      </c>
      <c r="AC56" s="4">
        <f>N56*Rates!$D$8</f>
        <v>115551.5625</v>
      </c>
      <c r="AD56" s="4">
        <f>O56*Rates!$D$9</f>
        <v>810</v>
      </c>
      <c r="AE56" s="4">
        <f>Q56*Rates!$D$10</f>
        <v>16690.781250000004</v>
      </c>
      <c r="AF56" s="4">
        <f>R56*Rates!$D$11</f>
        <v>57775.781250000007</v>
      </c>
      <c r="AG56" s="4">
        <f>S56*Rates!$D$12</f>
        <v>60343.593750000007</v>
      </c>
      <c r="AH56" s="4">
        <f>T56*Rates!$D$13</f>
        <v>11555.156250000002</v>
      </c>
      <c r="AI56" s="4">
        <f>U56*Rates!$D$14</f>
        <v>17974.6875</v>
      </c>
      <c r="AJ56" s="4">
        <f>V56*Rates!$D$15</f>
        <v>228.25000000000003</v>
      </c>
      <c r="AK56" s="4">
        <f>W56*Rates!$D$16</f>
        <v>60486.25</v>
      </c>
      <c r="AL56" s="4">
        <f>X56*Rates!$D$17</f>
        <v>858</v>
      </c>
      <c r="AM56" s="4">
        <f>Y56*Rates!$D$18</f>
        <v>5478.0000000000009</v>
      </c>
      <c r="AN56" s="4">
        <f>Z56*Rates!$D$19</f>
        <v>308137.5</v>
      </c>
      <c r="AO56" s="4">
        <f t="shared" si="29"/>
        <v>3397330.9085000008</v>
      </c>
    </row>
    <row r="57" spans="1:41" x14ac:dyDescent="0.25">
      <c r="A57" s="3">
        <v>56</v>
      </c>
      <c r="B57" s="3" t="s">
        <v>244</v>
      </c>
      <c r="C57" s="3" t="s">
        <v>152</v>
      </c>
      <c r="D57" s="3" t="s">
        <v>297</v>
      </c>
      <c r="E57" s="3" t="s">
        <v>26</v>
      </c>
      <c r="F57" s="3">
        <v>60</v>
      </c>
      <c r="G57" s="3">
        <v>4</v>
      </c>
      <c r="H57" s="3">
        <v>2.5</v>
      </c>
      <c r="I57" s="3">
        <v>45</v>
      </c>
      <c r="J57" s="3" t="s">
        <v>240</v>
      </c>
      <c r="K57" s="4">
        <f>F57*G57+(F57+1)*Rates!$D$31</f>
        <v>255.25</v>
      </c>
      <c r="L57" s="4">
        <f>(F57*((G57+Rates!$D$31)*(H57+0.6)-G57*H57)+0.8)*I57</f>
        <v>8608.5000000000036</v>
      </c>
      <c r="M57" s="4">
        <f t="shared" si="15"/>
        <v>1033.0200000000004</v>
      </c>
      <c r="N57" s="4">
        <f t="shared" si="16"/>
        <v>1263.4875000000002</v>
      </c>
      <c r="O57" s="4">
        <f t="shared" si="17"/>
        <v>405</v>
      </c>
      <c r="P57" s="4">
        <f t="shared" si="18"/>
        <v>12634.875000000002</v>
      </c>
      <c r="Q57" s="4">
        <f t="shared" si="19"/>
        <v>1263.4875000000002</v>
      </c>
      <c r="R57" s="4">
        <f t="shared" si="20"/>
        <v>631.74375000000009</v>
      </c>
      <c r="S57" s="4">
        <f t="shared" si="21"/>
        <v>631.74375000000009</v>
      </c>
      <c r="T57" s="4">
        <f t="shared" si="22"/>
        <v>12634.875000000002</v>
      </c>
      <c r="U57" s="4">
        <f t="shared" si="23"/>
        <v>25269.750000000004</v>
      </c>
      <c r="V57" s="4">
        <f t="shared" si="24"/>
        <v>28.077500000000004</v>
      </c>
      <c r="W57" s="4">
        <f t="shared" si="25"/>
        <v>561.55000000000007</v>
      </c>
      <c r="X57" s="4">
        <f t="shared" si="26"/>
        <v>141</v>
      </c>
      <c r="Y57" s="4">
        <f t="shared" si="27"/>
        <v>13477.2</v>
      </c>
      <c r="Z57" s="4">
        <f t="shared" si="28"/>
        <v>0</v>
      </c>
      <c r="AA57" s="4">
        <f>L57*Rates!$D$6</f>
        <v>920248.65000000049</v>
      </c>
      <c r="AB57" s="4">
        <f>M57*Rates!$D$7</f>
        <v>430872.64200000023</v>
      </c>
      <c r="AC57" s="4">
        <f>N57*Rates!$D$8</f>
        <v>56856.937500000007</v>
      </c>
      <c r="AD57" s="4">
        <f>O57*Rates!$D$9</f>
        <v>810</v>
      </c>
      <c r="AE57" s="4">
        <f>Q57*Rates!$D$10</f>
        <v>8212.6687500000007</v>
      </c>
      <c r="AF57" s="4">
        <f>R57*Rates!$D$11</f>
        <v>28428.468750000004</v>
      </c>
      <c r="AG57" s="4">
        <f>S57*Rates!$D$12</f>
        <v>29691.956250000003</v>
      </c>
      <c r="AH57" s="4">
        <f>T57*Rates!$D$13</f>
        <v>5685.6937500000013</v>
      </c>
      <c r="AI57" s="4">
        <f>U57*Rates!$D$14</f>
        <v>8844.4125000000004</v>
      </c>
      <c r="AJ57" s="4">
        <f>V57*Rates!$D$15</f>
        <v>112.31000000000002</v>
      </c>
      <c r="AK57" s="4">
        <f>W57*Rates!$D$16</f>
        <v>29762.150000000005</v>
      </c>
      <c r="AL57" s="4">
        <f>X57*Rates!$D$17</f>
        <v>423</v>
      </c>
      <c r="AM57" s="4">
        <f>Y57*Rates!$D$18</f>
        <v>2695.4400000000005</v>
      </c>
      <c r="AN57" s="4">
        <f>Z57*Rates!$D$19</f>
        <v>0</v>
      </c>
      <c r="AO57" s="4">
        <f t="shared" si="29"/>
        <v>1522644.3295000009</v>
      </c>
    </row>
    <row r="58" spans="1:41" x14ac:dyDescent="0.25">
      <c r="A58" s="3">
        <v>57</v>
      </c>
      <c r="B58" s="3" t="s">
        <v>238</v>
      </c>
      <c r="C58" s="3" t="s">
        <v>153</v>
      </c>
      <c r="D58" s="3" t="s">
        <v>298</v>
      </c>
      <c r="E58" s="3" t="s">
        <v>26</v>
      </c>
      <c r="F58" s="3">
        <v>23</v>
      </c>
      <c r="G58" s="3">
        <v>4</v>
      </c>
      <c r="H58" s="3">
        <v>2.5</v>
      </c>
      <c r="I58" s="3">
        <v>32</v>
      </c>
      <c r="J58" s="3" t="s">
        <v>240</v>
      </c>
      <c r="K58" s="4">
        <f>F58*G58+(F58+1)*Rates!$D$31</f>
        <v>98</v>
      </c>
      <c r="L58" s="4">
        <f>(F58*((G58+Rates!$D$31)*(H58+0.6)-G58*H58)+0.8)*I58</f>
        <v>2362.4000000000005</v>
      </c>
      <c r="M58" s="4">
        <f t="shared" si="15"/>
        <v>283.48800000000006</v>
      </c>
      <c r="N58" s="4">
        <f t="shared" si="16"/>
        <v>344.96000000000004</v>
      </c>
      <c r="O58" s="4">
        <f t="shared" si="17"/>
        <v>288</v>
      </c>
      <c r="P58" s="4">
        <f t="shared" si="18"/>
        <v>3449.6000000000004</v>
      </c>
      <c r="Q58" s="4">
        <f t="shared" si="19"/>
        <v>344.96000000000004</v>
      </c>
      <c r="R58" s="4">
        <f t="shared" si="20"/>
        <v>172.48000000000002</v>
      </c>
      <c r="S58" s="4">
        <f t="shared" si="21"/>
        <v>172.48000000000002</v>
      </c>
      <c r="T58" s="4">
        <f t="shared" si="22"/>
        <v>3449.6000000000004</v>
      </c>
      <c r="U58" s="4">
        <f t="shared" si="23"/>
        <v>6899.2000000000007</v>
      </c>
      <c r="V58" s="4">
        <f t="shared" si="24"/>
        <v>10.780000000000001</v>
      </c>
      <c r="W58" s="4">
        <f t="shared" si="25"/>
        <v>215.60000000000002</v>
      </c>
      <c r="X58" s="4">
        <f t="shared" si="26"/>
        <v>54</v>
      </c>
      <c r="Y58" s="4">
        <f t="shared" si="27"/>
        <v>3773.0000000000005</v>
      </c>
      <c r="Z58" s="4">
        <f t="shared" si="28"/>
        <v>0</v>
      </c>
      <c r="AA58" s="4">
        <f>L58*Rates!$D$6</f>
        <v>252540.56000000008</v>
      </c>
      <c r="AB58" s="4">
        <f>M58*Rates!$D$7</f>
        <v>118242.84480000004</v>
      </c>
      <c r="AC58" s="4">
        <f>N58*Rates!$D$8</f>
        <v>15523.2</v>
      </c>
      <c r="AD58" s="4">
        <f>O58*Rates!$D$9</f>
        <v>576</v>
      </c>
      <c r="AE58" s="4">
        <f>Q58*Rates!$D$10</f>
        <v>2242.2400000000002</v>
      </c>
      <c r="AF58" s="4">
        <f>R58*Rates!$D$11</f>
        <v>7761.6</v>
      </c>
      <c r="AG58" s="4">
        <f>S58*Rates!$D$12</f>
        <v>8106.5600000000013</v>
      </c>
      <c r="AH58" s="4">
        <f>T58*Rates!$D$13</f>
        <v>1552.3200000000002</v>
      </c>
      <c r="AI58" s="4">
        <f>U58*Rates!$D$14</f>
        <v>2414.7200000000003</v>
      </c>
      <c r="AJ58" s="4">
        <f>V58*Rates!$D$15</f>
        <v>43.120000000000005</v>
      </c>
      <c r="AK58" s="4">
        <f>W58*Rates!$D$16</f>
        <v>11426.800000000001</v>
      </c>
      <c r="AL58" s="4">
        <f>X58*Rates!$D$17</f>
        <v>162</v>
      </c>
      <c r="AM58" s="4">
        <f>Y58*Rates!$D$18</f>
        <v>754.60000000000014</v>
      </c>
      <c r="AN58" s="4">
        <f>Z58*Rates!$D$19</f>
        <v>0</v>
      </c>
      <c r="AO58" s="4">
        <f t="shared" si="29"/>
        <v>421346.56480000005</v>
      </c>
    </row>
    <row r="59" spans="1:41" x14ac:dyDescent="0.25">
      <c r="A59" s="3">
        <v>58</v>
      </c>
      <c r="B59" s="3" t="s">
        <v>241</v>
      </c>
      <c r="C59" s="3" t="s">
        <v>153</v>
      </c>
      <c r="D59" s="3" t="s">
        <v>299</v>
      </c>
      <c r="E59" s="3" t="s">
        <v>26</v>
      </c>
      <c r="F59" s="3">
        <v>15</v>
      </c>
      <c r="G59" s="3">
        <v>4</v>
      </c>
      <c r="H59" s="3">
        <v>2.5</v>
      </c>
      <c r="I59" s="3">
        <v>45</v>
      </c>
      <c r="J59" s="3" t="s">
        <v>240</v>
      </c>
      <c r="K59" s="4">
        <f>F59*G59+(F59+1)*Rates!$D$31</f>
        <v>64</v>
      </c>
      <c r="L59" s="4">
        <f>(F59*((G59+Rates!$D$31)*(H59+0.6)-G59*H59)+0.8)*I59</f>
        <v>2179.1250000000005</v>
      </c>
      <c r="M59" s="4">
        <f t="shared" si="15"/>
        <v>261.49500000000006</v>
      </c>
      <c r="N59" s="4">
        <f t="shared" si="16"/>
        <v>316.8</v>
      </c>
      <c r="O59" s="4">
        <f t="shared" si="17"/>
        <v>405</v>
      </c>
      <c r="P59" s="4">
        <f t="shared" si="18"/>
        <v>3168.0000000000005</v>
      </c>
      <c r="Q59" s="4">
        <f t="shared" si="19"/>
        <v>316.80000000000007</v>
      </c>
      <c r="R59" s="4">
        <f t="shared" si="20"/>
        <v>158.40000000000003</v>
      </c>
      <c r="S59" s="4">
        <f t="shared" si="21"/>
        <v>158.40000000000003</v>
      </c>
      <c r="T59" s="4">
        <f t="shared" si="22"/>
        <v>3168.0000000000005</v>
      </c>
      <c r="U59" s="4">
        <f t="shared" si="23"/>
        <v>6336.0000000000009</v>
      </c>
      <c r="V59" s="4">
        <f t="shared" si="24"/>
        <v>7.0400000000000009</v>
      </c>
      <c r="W59" s="4">
        <f t="shared" si="25"/>
        <v>140.80000000000001</v>
      </c>
      <c r="X59" s="4">
        <f t="shared" si="26"/>
        <v>36</v>
      </c>
      <c r="Y59" s="4">
        <f t="shared" si="27"/>
        <v>3379.2000000000003</v>
      </c>
      <c r="Z59" s="4">
        <f t="shared" si="28"/>
        <v>0</v>
      </c>
      <c r="AA59" s="4">
        <f>L59*Rates!$D$6</f>
        <v>232948.46250000005</v>
      </c>
      <c r="AB59" s="4">
        <f>M59*Rates!$D$7</f>
        <v>109069.56450000004</v>
      </c>
      <c r="AC59" s="4">
        <f>N59*Rates!$D$8</f>
        <v>14256</v>
      </c>
      <c r="AD59" s="4">
        <f>O59*Rates!$D$9</f>
        <v>810</v>
      </c>
      <c r="AE59" s="4">
        <f>Q59*Rates!$D$10</f>
        <v>2059.2000000000003</v>
      </c>
      <c r="AF59" s="4">
        <f>R59*Rates!$D$11</f>
        <v>7128.0000000000018</v>
      </c>
      <c r="AG59" s="4">
        <f>S59*Rates!$D$12</f>
        <v>7444.800000000002</v>
      </c>
      <c r="AH59" s="4">
        <f>T59*Rates!$D$13</f>
        <v>1425.6000000000001</v>
      </c>
      <c r="AI59" s="4">
        <f>U59*Rates!$D$14</f>
        <v>2217.6000000000004</v>
      </c>
      <c r="AJ59" s="4">
        <f>V59*Rates!$D$15</f>
        <v>28.160000000000004</v>
      </c>
      <c r="AK59" s="4">
        <f>W59*Rates!$D$16</f>
        <v>7462.4000000000005</v>
      </c>
      <c r="AL59" s="4">
        <f>X59*Rates!$D$17</f>
        <v>108</v>
      </c>
      <c r="AM59" s="4">
        <f>Y59*Rates!$D$18</f>
        <v>675.84000000000015</v>
      </c>
      <c r="AN59" s="4">
        <f>Z59*Rates!$D$19</f>
        <v>0</v>
      </c>
      <c r="AO59" s="4">
        <f t="shared" si="29"/>
        <v>385633.62700000009</v>
      </c>
    </row>
    <row r="60" spans="1:41" x14ac:dyDescent="0.25">
      <c r="A60" s="3">
        <v>59</v>
      </c>
      <c r="B60" s="3" t="s">
        <v>244</v>
      </c>
      <c r="C60" s="3" t="s">
        <v>153</v>
      </c>
      <c r="D60" s="3" t="s">
        <v>300</v>
      </c>
      <c r="E60" s="3" t="s">
        <v>26</v>
      </c>
      <c r="F60" s="3">
        <v>12</v>
      </c>
      <c r="G60" s="3">
        <v>4</v>
      </c>
      <c r="H60" s="3">
        <v>2.5</v>
      </c>
      <c r="I60" s="3">
        <v>45</v>
      </c>
      <c r="J60" s="3" t="s">
        <v>240</v>
      </c>
      <c r="K60" s="4">
        <f>F60*G60+(F60+1)*Rates!$D$31</f>
        <v>51.25</v>
      </c>
      <c r="L60" s="4">
        <f>(F60*((G60+Rates!$D$31)*(H60+0.6)-G60*H60)+0.8)*I60</f>
        <v>1750.5000000000002</v>
      </c>
      <c r="M60" s="4">
        <f t="shared" si="15"/>
        <v>210.06000000000003</v>
      </c>
      <c r="N60" s="4">
        <f t="shared" si="16"/>
        <v>253.68750000000003</v>
      </c>
      <c r="O60" s="4">
        <f t="shared" si="17"/>
        <v>405</v>
      </c>
      <c r="P60" s="4">
        <f t="shared" si="18"/>
        <v>2536.875</v>
      </c>
      <c r="Q60" s="4">
        <f t="shared" si="19"/>
        <v>253.6875</v>
      </c>
      <c r="R60" s="4">
        <f t="shared" si="20"/>
        <v>126.84375</v>
      </c>
      <c r="S60" s="4">
        <f t="shared" si="21"/>
        <v>126.84375</v>
      </c>
      <c r="T60" s="4">
        <f t="shared" si="22"/>
        <v>2536.875</v>
      </c>
      <c r="U60" s="4">
        <f t="shared" si="23"/>
        <v>5073.75</v>
      </c>
      <c r="V60" s="4">
        <f t="shared" si="24"/>
        <v>5.6375000000000002</v>
      </c>
      <c r="W60" s="4">
        <f t="shared" si="25"/>
        <v>112.75000000000001</v>
      </c>
      <c r="X60" s="4">
        <f t="shared" si="26"/>
        <v>29</v>
      </c>
      <c r="Y60" s="4">
        <f t="shared" si="27"/>
        <v>2706</v>
      </c>
      <c r="Z60" s="4">
        <f t="shared" si="28"/>
        <v>0</v>
      </c>
      <c r="AA60" s="4">
        <f>L60*Rates!$D$6</f>
        <v>187128.45000000004</v>
      </c>
      <c r="AB60" s="4">
        <f>M60*Rates!$D$7</f>
        <v>87616.026000000013</v>
      </c>
      <c r="AC60" s="4">
        <f>N60*Rates!$D$8</f>
        <v>11415.937500000002</v>
      </c>
      <c r="AD60" s="4">
        <f>O60*Rates!$D$9</f>
        <v>810</v>
      </c>
      <c r="AE60" s="4">
        <f>Q60*Rates!$D$10</f>
        <v>1648.96875</v>
      </c>
      <c r="AF60" s="4">
        <f>R60*Rates!$D$11</f>
        <v>5707.96875</v>
      </c>
      <c r="AG60" s="4">
        <f>S60*Rates!$D$12</f>
        <v>5961.65625</v>
      </c>
      <c r="AH60" s="4">
        <f>T60*Rates!$D$13</f>
        <v>1141.59375</v>
      </c>
      <c r="AI60" s="4">
        <f>U60*Rates!$D$14</f>
        <v>1775.8125</v>
      </c>
      <c r="AJ60" s="4">
        <f>V60*Rates!$D$15</f>
        <v>22.55</v>
      </c>
      <c r="AK60" s="4">
        <f>W60*Rates!$D$16</f>
        <v>5975.7500000000009</v>
      </c>
      <c r="AL60" s="4">
        <f>X60*Rates!$D$17</f>
        <v>87</v>
      </c>
      <c r="AM60" s="4">
        <f>Y60*Rates!$D$18</f>
        <v>541.20000000000005</v>
      </c>
      <c r="AN60" s="4">
        <f>Z60*Rates!$D$19</f>
        <v>0</v>
      </c>
      <c r="AO60" s="4">
        <f t="shared" si="29"/>
        <v>309832.91350000002</v>
      </c>
    </row>
    <row r="61" spans="1:41" x14ac:dyDescent="0.25">
      <c r="A61" s="3">
        <v>60</v>
      </c>
      <c r="B61" s="3" t="s">
        <v>244</v>
      </c>
      <c r="C61" s="3" t="s">
        <v>154</v>
      </c>
      <c r="D61" s="3" t="s">
        <v>301</v>
      </c>
      <c r="E61" s="3" t="s">
        <v>26</v>
      </c>
      <c r="F61" s="3">
        <v>3</v>
      </c>
      <c r="G61" s="3">
        <v>4</v>
      </c>
      <c r="H61" s="3">
        <v>2.5</v>
      </c>
      <c r="I61" s="3">
        <v>45</v>
      </c>
      <c r="J61" s="3" t="s">
        <v>240</v>
      </c>
      <c r="K61" s="4">
        <f>F61*G61+(F61+1)*Rates!$D$31</f>
        <v>13</v>
      </c>
      <c r="L61" s="4">
        <f>(F61*((G61+Rates!$D$31)*(H61+0.6)-G61*H61)+0.8)*I61</f>
        <v>464.62500000000011</v>
      </c>
      <c r="M61" s="4">
        <f t="shared" si="15"/>
        <v>55.75500000000001</v>
      </c>
      <c r="N61" s="4">
        <f t="shared" si="16"/>
        <v>64.350000000000009</v>
      </c>
      <c r="O61" s="4">
        <f t="shared" si="17"/>
        <v>405</v>
      </c>
      <c r="P61" s="4">
        <f t="shared" si="18"/>
        <v>643.5</v>
      </c>
      <c r="Q61" s="4">
        <f t="shared" si="19"/>
        <v>64.350000000000009</v>
      </c>
      <c r="R61" s="4">
        <f t="shared" si="20"/>
        <v>32.175000000000004</v>
      </c>
      <c r="S61" s="4">
        <f t="shared" si="21"/>
        <v>32.175000000000004</v>
      </c>
      <c r="T61" s="4">
        <f t="shared" si="22"/>
        <v>643.5</v>
      </c>
      <c r="U61" s="4">
        <f t="shared" si="23"/>
        <v>1287</v>
      </c>
      <c r="V61" s="4">
        <f t="shared" si="24"/>
        <v>1.4300000000000002</v>
      </c>
      <c r="W61" s="4">
        <f t="shared" si="25"/>
        <v>28.6</v>
      </c>
      <c r="X61" s="4">
        <f t="shared" si="26"/>
        <v>8</v>
      </c>
      <c r="Y61" s="4">
        <f t="shared" si="27"/>
        <v>686.40000000000009</v>
      </c>
      <c r="Z61" s="4">
        <f t="shared" si="28"/>
        <v>0</v>
      </c>
      <c r="AA61" s="4">
        <f>L61*Rates!$D$6</f>
        <v>49668.412500000013</v>
      </c>
      <c r="AB61" s="4">
        <f>M61*Rates!$D$7</f>
        <v>23255.410500000005</v>
      </c>
      <c r="AC61" s="4">
        <f>N61*Rates!$D$8</f>
        <v>2895.7500000000005</v>
      </c>
      <c r="AD61" s="4">
        <f>O61*Rates!$D$9</f>
        <v>810</v>
      </c>
      <c r="AE61" s="4">
        <f>Q61*Rates!$D$10</f>
        <v>418.27500000000003</v>
      </c>
      <c r="AF61" s="4">
        <f>R61*Rates!$D$11</f>
        <v>1447.8750000000002</v>
      </c>
      <c r="AG61" s="4">
        <f>S61*Rates!$D$12</f>
        <v>1512.2250000000001</v>
      </c>
      <c r="AH61" s="4">
        <f>T61*Rates!$D$13</f>
        <v>289.57499999999999</v>
      </c>
      <c r="AI61" s="4">
        <f>U61*Rates!$D$14</f>
        <v>450.45</v>
      </c>
      <c r="AJ61" s="4">
        <f>V61*Rates!$D$15</f>
        <v>5.7200000000000006</v>
      </c>
      <c r="AK61" s="4">
        <f>W61*Rates!$D$16</f>
        <v>1515.8000000000002</v>
      </c>
      <c r="AL61" s="4">
        <f>X61*Rates!$D$17</f>
        <v>24</v>
      </c>
      <c r="AM61" s="4">
        <f>Y61*Rates!$D$18</f>
        <v>137.28000000000003</v>
      </c>
      <c r="AN61" s="4">
        <f>Z61*Rates!$D$19</f>
        <v>0</v>
      </c>
      <c r="AO61" s="4">
        <f t="shared" si="29"/>
        <v>82430.773000000016</v>
      </c>
    </row>
    <row r="62" spans="1:41" x14ac:dyDescent="0.25">
      <c r="A62" s="3">
        <v>61</v>
      </c>
      <c r="B62" s="3" t="s">
        <v>238</v>
      </c>
      <c r="C62" s="3" t="s">
        <v>155</v>
      </c>
      <c r="D62" s="3" t="s">
        <v>302</v>
      </c>
      <c r="E62" s="3" t="s">
        <v>26</v>
      </c>
      <c r="F62" s="3">
        <v>14</v>
      </c>
      <c r="G62" s="3">
        <v>4</v>
      </c>
      <c r="H62" s="3">
        <v>2.5</v>
      </c>
      <c r="I62" s="3">
        <v>32</v>
      </c>
      <c r="J62" s="3" t="s">
        <v>240</v>
      </c>
      <c r="K62" s="4">
        <f>F62*G62+(F62+1)*Rates!$D$31</f>
        <v>59.75</v>
      </c>
      <c r="L62" s="4">
        <f>(F62*((G62+Rates!$D$31)*(H62+0.6)-G62*H62)+0.8)*I62</f>
        <v>1448.0000000000002</v>
      </c>
      <c r="M62" s="4">
        <f t="shared" si="15"/>
        <v>173.76000000000002</v>
      </c>
      <c r="N62" s="4">
        <f t="shared" si="16"/>
        <v>210.32000000000002</v>
      </c>
      <c r="O62" s="4">
        <f t="shared" si="17"/>
        <v>288</v>
      </c>
      <c r="P62" s="4">
        <f t="shared" si="18"/>
        <v>2103.2000000000003</v>
      </c>
      <c r="Q62" s="4">
        <f t="shared" si="19"/>
        <v>210.32000000000005</v>
      </c>
      <c r="R62" s="4">
        <f t="shared" si="20"/>
        <v>105.16000000000003</v>
      </c>
      <c r="S62" s="4">
        <f t="shared" si="21"/>
        <v>105.16000000000003</v>
      </c>
      <c r="T62" s="4">
        <f t="shared" si="22"/>
        <v>2103.2000000000003</v>
      </c>
      <c r="U62" s="4">
        <f t="shared" si="23"/>
        <v>4206.4000000000005</v>
      </c>
      <c r="V62" s="4">
        <f t="shared" si="24"/>
        <v>6.5725000000000007</v>
      </c>
      <c r="W62" s="4">
        <f t="shared" si="25"/>
        <v>131.45000000000002</v>
      </c>
      <c r="X62" s="4">
        <f t="shared" si="26"/>
        <v>33</v>
      </c>
      <c r="Y62" s="4">
        <f t="shared" si="27"/>
        <v>2300.375</v>
      </c>
      <c r="Z62" s="4">
        <f t="shared" si="28"/>
        <v>0</v>
      </c>
      <c r="AA62" s="4">
        <f>L62*Rates!$D$6</f>
        <v>154791.20000000004</v>
      </c>
      <c r="AB62" s="4">
        <f>M62*Rates!$D$7</f>
        <v>72475.296000000017</v>
      </c>
      <c r="AC62" s="4">
        <f>N62*Rates!$D$8</f>
        <v>9464.4000000000015</v>
      </c>
      <c r="AD62" s="4">
        <f>O62*Rates!$D$9</f>
        <v>576</v>
      </c>
      <c r="AE62" s="4">
        <f>Q62*Rates!$D$10</f>
        <v>1367.0800000000004</v>
      </c>
      <c r="AF62" s="4">
        <f>R62*Rates!$D$11</f>
        <v>4732.2000000000007</v>
      </c>
      <c r="AG62" s="4">
        <f>S62*Rates!$D$12</f>
        <v>4942.5200000000013</v>
      </c>
      <c r="AH62" s="4">
        <f>T62*Rates!$D$13</f>
        <v>946.44000000000017</v>
      </c>
      <c r="AI62" s="4">
        <f>U62*Rates!$D$14</f>
        <v>1472.24</v>
      </c>
      <c r="AJ62" s="4">
        <f>V62*Rates!$D$15</f>
        <v>26.290000000000003</v>
      </c>
      <c r="AK62" s="4">
        <f>W62*Rates!$D$16</f>
        <v>6966.8500000000013</v>
      </c>
      <c r="AL62" s="4">
        <f>X62*Rates!$D$17</f>
        <v>99</v>
      </c>
      <c r="AM62" s="4">
        <f>Y62*Rates!$D$18</f>
        <v>460.07500000000005</v>
      </c>
      <c r="AN62" s="4">
        <f>Z62*Rates!$D$19</f>
        <v>0</v>
      </c>
      <c r="AO62" s="4">
        <f t="shared" si="29"/>
        <v>258319.59100000004</v>
      </c>
    </row>
    <row r="63" spans="1:41" x14ac:dyDescent="0.25">
      <c r="A63" s="6" t="s">
        <v>19</v>
      </c>
      <c r="B63" s="6"/>
      <c r="C63" s="6"/>
      <c r="D63" s="6"/>
      <c r="E63" s="6"/>
      <c r="F63" s="6">
        <f>SUM(F2:F62)</f>
        <v>1304</v>
      </c>
      <c r="G63" s="6"/>
      <c r="H63" s="6"/>
      <c r="I63" s="6">
        <f>SUM(I2:I62)</f>
        <v>2563</v>
      </c>
      <c r="J63" s="6"/>
      <c r="K63" s="7">
        <f t="shared" ref="K63:AO63" si="30">SUM(K2:K62)</f>
        <v>5557.25</v>
      </c>
      <c r="L63" s="7">
        <f t="shared" si="30"/>
        <v>166960.75000000003</v>
      </c>
      <c r="M63" s="7">
        <f t="shared" si="30"/>
        <v>20035.29</v>
      </c>
      <c r="N63" s="7">
        <f t="shared" si="30"/>
        <v>24306.6175</v>
      </c>
      <c r="O63" s="7">
        <f t="shared" si="30"/>
        <v>23131</v>
      </c>
      <c r="P63" s="7">
        <f t="shared" si="30"/>
        <v>243066.17500000002</v>
      </c>
      <c r="Q63" s="7">
        <f t="shared" si="30"/>
        <v>24306.6175</v>
      </c>
      <c r="R63" s="7">
        <f t="shared" si="30"/>
        <v>12153.30875</v>
      </c>
      <c r="S63" s="7">
        <f t="shared" si="30"/>
        <v>12153.30875</v>
      </c>
      <c r="T63" s="7">
        <f t="shared" si="30"/>
        <v>243066.17500000002</v>
      </c>
      <c r="U63" s="7">
        <f t="shared" si="30"/>
        <v>486132.35000000003</v>
      </c>
      <c r="V63" s="7">
        <f t="shared" si="30"/>
        <v>611.2974999999999</v>
      </c>
      <c r="W63" s="7">
        <f t="shared" si="30"/>
        <v>12225.950000000004</v>
      </c>
      <c r="X63" s="7">
        <f t="shared" si="30"/>
        <v>3088</v>
      </c>
      <c r="Y63" s="7">
        <f t="shared" si="30"/>
        <v>261405.1</v>
      </c>
      <c r="Z63" s="7">
        <f t="shared" si="30"/>
        <v>279736.875</v>
      </c>
      <c r="AA63" s="7">
        <f t="shared" si="30"/>
        <v>17848104.175000001</v>
      </c>
      <c r="AB63" s="7">
        <f t="shared" si="30"/>
        <v>8356719.4590000045</v>
      </c>
      <c r="AC63" s="7">
        <f t="shared" si="30"/>
        <v>1093797.7874999999</v>
      </c>
      <c r="AD63" s="7">
        <f t="shared" si="30"/>
        <v>46262</v>
      </c>
      <c r="AE63" s="7">
        <f t="shared" si="30"/>
        <v>157993.01374999998</v>
      </c>
      <c r="AF63" s="7">
        <f t="shared" si="30"/>
        <v>546898.89374999993</v>
      </c>
      <c r="AG63" s="7">
        <f t="shared" si="30"/>
        <v>571205.5112500001</v>
      </c>
      <c r="AH63" s="7">
        <f t="shared" si="30"/>
        <v>109379.77875000001</v>
      </c>
      <c r="AI63" s="7">
        <f t="shared" si="30"/>
        <v>170146.32250000001</v>
      </c>
      <c r="AJ63" s="7">
        <f t="shared" si="30"/>
        <v>2445.1899999999996</v>
      </c>
      <c r="AK63" s="7">
        <f t="shared" si="30"/>
        <v>647975.35000000009</v>
      </c>
      <c r="AL63" s="7">
        <f t="shared" si="30"/>
        <v>9264</v>
      </c>
      <c r="AM63" s="7">
        <f t="shared" si="30"/>
        <v>52281.01999999999</v>
      </c>
      <c r="AN63" s="7">
        <f t="shared" si="30"/>
        <v>1118947.5</v>
      </c>
      <c r="AO63" s="7">
        <f t="shared" si="30"/>
        <v>30731420.001500018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Rates</vt:lpstr>
      <vt:lpstr>Channels</vt:lpstr>
      <vt:lpstr>Dykes</vt:lpstr>
      <vt:lpstr>Culverts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Mojtaba Keivanlou</cp:lastModifiedBy>
  <dcterms:created xsi:type="dcterms:W3CDTF">2026-10-14T11:20:54Z</dcterms:created>
  <dcterms:modified xsi:type="dcterms:W3CDTF">2026-10-14T11:20:55Z</dcterms:modified>
</cp:coreProperties>
</file>