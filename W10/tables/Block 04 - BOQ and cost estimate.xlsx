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ojtaba\Renardet\2224 WS11\Batinah\Block 4\Claude Block 04\W10\tables\"/>
    </mc:Choice>
  </mc:AlternateContent>
  <xr:revisionPtr revIDLastSave="0" documentId="13_ncr:1_{18B4C956-04B0-49F8-858B-CECD1B1865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Rates" sheetId="2" r:id="rId2"/>
    <sheet name="Channels" sheetId="3" r:id="rId3"/>
    <sheet name="Dykes" sheetId="4" r:id="rId4"/>
    <sheet name="Culver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63" i="5" l="1"/>
  <c r="W63" i="5"/>
  <c r="V63" i="5"/>
  <c r="U63" i="5"/>
  <c r="T63" i="5"/>
  <c r="S63" i="5"/>
  <c r="R63" i="5"/>
  <c r="Q63" i="5"/>
  <c r="P63" i="5"/>
  <c r="O63" i="5"/>
  <c r="N63" i="5"/>
  <c r="M63" i="5"/>
  <c r="L63" i="5"/>
  <c r="J63" i="5"/>
  <c r="I63" i="5"/>
  <c r="H63" i="5"/>
  <c r="G63" i="5"/>
  <c r="F63" i="5"/>
  <c r="E63" i="5"/>
  <c r="B10" i="1" s="1"/>
  <c r="AL62" i="5"/>
  <c r="AK62" i="5"/>
  <c r="AJ62" i="5"/>
  <c r="AI62" i="5"/>
  <c r="AH62" i="5"/>
  <c r="AG62" i="5"/>
  <c r="AF62" i="5"/>
  <c r="AE62" i="5"/>
  <c r="AD62" i="5"/>
  <c r="AC62" i="5"/>
  <c r="AB62" i="5"/>
  <c r="AA62" i="5"/>
  <c r="Y62" i="5"/>
  <c r="K62" i="5"/>
  <c r="Z62" i="5" s="1"/>
  <c r="AL61" i="5"/>
  <c r="AK61" i="5"/>
  <c r="AJ61" i="5"/>
  <c r="AI61" i="5"/>
  <c r="AH61" i="5"/>
  <c r="AG61" i="5"/>
  <c r="AF61" i="5"/>
  <c r="AE61" i="5"/>
  <c r="AD61" i="5"/>
  <c r="AC61" i="5"/>
  <c r="AB61" i="5"/>
  <c r="AA61" i="5"/>
  <c r="Y61" i="5"/>
  <c r="K61" i="5"/>
  <c r="Z61" i="5" s="1"/>
  <c r="AL60" i="5"/>
  <c r="AK60" i="5"/>
  <c r="AJ60" i="5"/>
  <c r="AI60" i="5"/>
  <c r="AH60" i="5"/>
  <c r="AG60" i="5"/>
  <c r="AF60" i="5"/>
  <c r="AE60" i="5"/>
  <c r="AD60" i="5"/>
  <c r="AC60" i="5"/>
  <c r="AB60" i="5"/>
  <c r="AA60" i="5"/>
  <c r="Y60" i="5"/>
  <c r="K60" i="5"/>
  <c r="Z60" i="5" s="1"/>
  <c r="AL59" i="5"/>
  <c r="AK59" i="5"/>
  <c r="AJ59" i="5"/>
  <c r="AI59" i="5"/>
  <c r="AH59" i="5"/>
  <c r="AG59" i="5"/>
  <c r="AF59" i="5"/>
  <c r="AE59" i="5"/>
  <c r="AD59" i="5"/>
  <c r="AC59" i="5"/>
  <c r="AB59" i="5"/>
  <c r="AA59" i="5"/>
  <c r="Y59" i="5"/>
  <c r="K59" i="5"/>
  <c r="Z59" i="5" s="1"/>
  <c r="AL58" i="5"/>
  <c r="AK58" i="5"/>
  <c r="AJ58" i="5"/>
  <c r="AI58" i="5"/>
  <c r="AH58" i="5"/>
  <c r="AG58" i="5"/>
  <c r="AF58" i="5"/>
  <c r="AE58" i="5"/>
  <c r="AD58" i="5"/>
  <c r="AC58" i="5"/>
  <c r="AB58" i="5"/>
  <c r="AA58" i="5"/>
  <c r="Y58" i="5"/>
  <c r="K58" i="5"/>
  <c r="Z58" i="5" s="1"/>
  <c r="AL57" i="5"/>
  <c r="AK57" i="5"/>
  <c r="AJ57" i="5"/>
  <c r="AI57" i="5"/>
  <c r="AH57" i="5"/>
  <c r="AG57" i="5"/>
  <c r="AF57" i="5"/>
  <c r="AE57" i="5"/>
  <c r="AD57" i="5"/>
  <c r="AC57" i="5"/>
  <c r="AB57" i="5"/>
  <c r="AA57" i="5"/>
  <c r="Y57" i="5"/>
  <c r="K57" i="5"/>
  <c r="Z57" i="5" s="1"/>
  <c r="AL56" i="5"/>
  <c r="AK56" i="5"/>
  <c r="AJ56" i="5"/>
  <c r="AI56" i="5"/>
  <c r="AH56" i="5"/>
  <c r="AG56" i="5"/>
  <c r="AF56" i="5"/>
  <c r="AE56" i="5"/>
  <c r="AD56" i="5"/>
  <c r="AC56" i="5"/>
  <c r="AB56" i="5"/>
  <c r="AA56" i="5"/>
  <c r="Y56" i="5"/>
  <c r="K56" i="5"/>
  <c r="Z56" i="5" s="1"/>
  <c r="AL55" i="5"/>
  <c r="AK55" i="5"/>
  <c r="AJ55" i="5"/>
  <c r="AI55" i="5"/>
  <c r="AH55" i="5"/>
  <c r="AG55" i="5"/>
  <c r="AF55" i="5"/>
  <c r="AE55" i="5"/>
  <c r="AD55" i="5"/>
  <c r="AC55" i="5"/>
  <c r="AB55" i="5"/>
  <c r="AA55" i="5"/>
  <c r="Y55" i="5"/>
  <c r="K55" i="5"/>
  <c r="Z55" i="5" s="1"/>
  <c r="AL54" i="5"/>
  <c r="AK54" i="5"/>
  <c r="AJ54" i="5"/>
  <c r="AI54" i="5"/>
  <c r="AH54" i="5"/>
  <c r="AG54" i="5"/>
  <c r="AF54" i="5"/>
  <c r="AE54" i="5"/>
  <c r="AD54" i="5"/>
  <c r="AC54" i="5"/>
  <c r="AB54" i="5"/>
  <c r="AA54" i="5"/>
  <c r="Y54" i="5"/>
  <c r="K54" i="5"/>
  <c r="Z54" i="5" s="1"/>
  <c r="AL53" i="5"/>
  <c r="AK53" i="5"/>
  <c r="AJ53" i="5"/>
  <c r="AI53" i="5"/>
  <c r="AH53" i="5"/>
  <c r="AG53" i="5"/>
  <c r="AF53" i="5"/>
  <c r="AE53" i="5"/>
  <c r="AD53" i="5"/>
  <c r="AC53" i="5"/>
  <c r="AB53" i="5"/>
  <c r="AA53" i="5"/>
  <c r="Y53" i="5"/>
  <c r="K53" i="5"/>
  <c r="Z53" i="5" s="1"/>
  <c r="AL52" i="5"/>
  <c r="AK52" i="5"/>
  <c r="AJ52" i="5"/>
  <c r="AI52" i="5"/>
  <c r="AH52" i="5"/>
  <c r="AG52" i="5"/>
  <c r="AF52" i="5"/>
  <c r="AE52" i="5"/>
  <c r="AD52" i="5"/>
  <c r="AC52" i="5"/>
  <c r="AB52" i="5"/>
  <c r="AA52" i="5"/>
  <c r="Y52" i="5"/>
  <c r="K52" i="5"/>
  <c r="Z52" i="5" s="1"/>
  <c r="AL51" i="5"/>
  <c r="AK51" i="5"/>
  <c r="AJ51" i="5"/>
  <c r="AI51" i="5"/>
  <c r="AH51" i="5"/>
  <c r="AG51" i="5"/>
  <c r="AF51" i="5"/>
  <c r="AE51" i="5"/>
  <c r="AD51" i="5"/>
  <c r="AC51" i="5"/>
  <c r="AB51" i="5"/>
  <c r="AA51" i="5"/>
  <c r="Y51" i="5"/>
  <c r="K51" i="5"/>
  <c r="Z51" i="5" s="1"/>
  <c r="AL50" i="5"/>
  <c r="AK50" i="5"/>
  <c r="AJ50" i="5"/>
  <c r="AI50" i="5"/>
  <c r="AH50" i="5"/>
  <c r="AG50" i="5"/>
  <c r="AF50" i="5"/>
  <c r="AE50" i="5"/>
  <c r="AD50" i="5"/>
  <c r="AC50" i="5"/>
  <c r="AB50" i="5"/>
  <c r="AA50" i="5"/>
  <c r="Y50" i="5"/>
  <c r="K50" i="5"/>
  <c r="Z50" i="5" s="1"/>
  <c r="AL49" i="5"/>
  <c r="AK49" i="5"/>
  <c r="AJ49" i="5"/>
  <c r="AI49" i="5"/>
  <c r="AH49" i="5"/>
  <c r="AG49" i="5"/>
  <c r="AF49" i="5"/>
  <c r="AE49" i="5"/>
  <c r="AD49" i="5"/>
  <c r="AC49" i="5"/>
  <c r="AB49" i="5"/>
  <c r="AA49" i="5"/>
  <c r="Y49" i="5"/>
  <c r="K49" i="5"/>
  <c r="Z49" i="5" s="1"/>
  <c r="AL48" i="5"/>
  <c r="AK48" i="5"/>
  <c r="AJ48" i="5"/>
  <c r="AI48" i="5"/>
  <c r="AH48" i="5"/>
  <c r="AG48" i="5"/>
  <c r="AF48" i="5"/>
  <c r="AE48" i="5"/>
  <c r="AD48" i="5"/>
  <c r="AC48" i="5"/>
  <c r="AB48" i="5"/>
  <c r="AA48" i="5"/>
  <c r="Y48" i="5"/>
  <c r="K48" i="5"/>
  <c r="Z48" i="5" s="1"/>
  <c r="AL47" i="5"/>
  <c r="AK47" i="5"/>
  <c r="AJ47" i="5"/>
  <c r="AI47" i="5"/>
  <c r="AH47" i="5"/>
  <c r="AG47" i="5"/>
  <c r="AF47" i="5"/>
  <c r="AE47" i="5"/>
  <c r="AD47" i="5"/>
  <c r="AC47" i="5"/>
  <c r="AB47" i="5"/>
  <c r="AA47" i="5"/>
  <c r="Y47" i="5"/>
  <c r="K47" i="5"/>
  <c r="Z47" i="5" s="1"/>
  <c r="AL46" i="5"/>
  <c r="AK46" i="5"/>
  <c r="AJ46" i="5"/>
  <c r="AI46" i="5"/>
  <c r="AH46" i="5"/>
  <c r="AG46" i="5"/>
  <c r="AF46" i="5"/>
  <c r="AE46" i="5"/>
  <c r="AD46" i="5"/>
  <c r="AC46" i="5"/>
  <c r="AB46" i="5"/>
  <c r="AA46" i="5"/>
  <c r="Y46" i="5"/>
  <c r="K46" i="5"/>
  <c r="Z46" i="5" s="1"/>
  <c r="AL45" i="5"/>
  <c r="AK45" i="5"/>
  <c r="AJ45" i="5"/>
  <c r="AI45" i="5"/>
  <c r="AH45" i="5"/>
  <c r="AG45" i="5"/>
  <c r="AF45" i="5"/>
  <c r="AE45" i="5"/>
  <c r="AD45" i="5"/>
  <c r="AC45" i="5"/>
  <c r="AB45" i="5"/>
  <c r="AA45" i="5"/>
  <c r="Y45" i="5"/>
  <c r="K45" i="5"/>
  <c r="Z45" i="5" s="1"/>
  <c r="AL44" i="5"/>
  <c r="AK44" i="5"/>
  <c r="AJ44" i="5"/>
  <c r="AI44" i="5"/>
  <c r="AH44" i="5"/>
  <c r="AG44" i="5"/>
  <c r="AF44" i="5"/>
  <c r="AE44" i="5"/>
  <c r="AD44" i="5"/>
  <c r="AC44" i="5"/>
  <c r="AB44" i="5"/>
  <c r="AA44" i="5"/>
  <c r="Y44" i="5"/>
  <c r="K44" i="5"/>
  <c r="Z44" i="5" s="1"/>
  <c r="AM44" i="5" s="1"/>
  <c r="AL43" i="5"/>
  <c r="AK43" i="5"/>
  <c r="AJ43" i="5"/>
  <c r="AI43" i="5"/>
  <c r="AH43" i="5"/>
  <c r="AG43" i="5"/>
  <c r="AF43" i="5"/>
  <c r="AE43" i="5"/>
  <c r="AD43" i="5"/>
  <c r="AC43" i="5"/>
  <c r="AB43" i="5"/>
  <c r="AA43" i="5"/>
  <c r="Y43" i="5"/>
  <c r="K43" i="5"/>
  <c r="Z43" i="5" s="1"/>
  <c r="AL42" i="5"/>
  <c r="AK42" i="5"/>
  <c r="AJ42" i="5"/>
  <c r="AI42" i="5"/>
  <c r="AH42" i="5"/>
  <c r="AG42" i="5"/>
  <c r="AF42" i="5"/>
  <c r="AE42" i="5"/>
  <c r="AD42" i="5"/>
  <c r="AC42" i="5"/>
  <c r="AB42" i="5"/>
  <c r="AA42" i="5"/>
  <c r="Y42" i="5"/>
  <c r="K42" i="5"/>
  <c r="Z42" i="5" s="1"/>
  <c r="AL41" i="5"/>
  <c r="AK41" i="5"/>
  <c r="AJ41" i="5"/>
  <c r="AI41" i="5"/>
  <c r="AH41" i="5"/>
  <c r="AG41" i="5"/>
  <c r="AF41" i="5"/>
  <c r="AE41" i="5"/>
  <c r="AD41" i="5"/>
  <c r="AC41" i="5"/>
  <c r="AB41" i="5"/>
  <c r="AA41" i="5"/>
  <c r="Y41" i="5"/>
  <c r="K41" i="5"/>
  <c r="Z41" i="5" s="1"/>
  <c r="AL40" i="5"/>
  <c r="AK40" i="5"/>
  <c r="AJ40" i="5"/>
  <c r="AI40" i="5"/>
  <c r="AH40" i="5"/>
  <c r="AG40" i="5"/>
  <c r="AF40" i="5"/>
  <c r="AE40" i="5"/>
  <c r="AD40" i="5"/>
  <c r="AC40" i="5"/>
  <c r="AB40" i="5"/>
  <c r="AA40" i="5"/>
  <c r="Y40" i="5"/>
  <c r="K40" i="5"/>
  <c r="Z40" i="5" s="1"/>
  <c r="AL39" i="5"/>
  <c r="AK39" i="5"/>
  <c r="AJ39" i="5"/>
  <c r="AI39" i="5"/>
  <c r="AH39" i="5"/>
  <c r="AG39" i="5"/>
  <c r="AF39" i="5"/>
  <c r="AE39" i="5"/>
  <c r="AD39" i="5"/>
  <c r="AC39" i="5"/>
  <c r="AB39" i="5"/>
  <c r="AA39" i="5"/>
  <c r="Y39" i="5"/>
  <c r="K39" i="5"/>
  <c r="Z39" i="5" s="1"/>
  <c r="AL38" i="5"/>
  <c r="AK38" i="5"/>
  <c r="AJ38" i="5"/>
  <c r="AI38" i="5"/>
  <c r="AH38" i="5"/>
  <c r="AG38" i="5"/>
  <c r="AF38" i="5"/>
  <c r="AE38" i="5"/>
  <c r="AD38" i="5"/>
  <c r="AC38" i="5"/>
  <c r="AB38" i="5"/>
  <c r="AA38" i="5"/>
  <c r="Y38" i="5"/>
  <c r="K38" i="5"/>
  <c r="Z38" i="5" s="1"/>
  <c r="AL37" i="5"/>
  <c r="AK37" i="5"/>
  <c r="AJ37" i="5"/>
  <c r="AI37" i="5"/>
  <c r="AH37" i="5"/>
  <c r="AG37" i="5"/>
  <c r="AF37" i="5"/>
  <c r="AE37" i="5"/>
  <c r="AD37" i="5"/>
  <c r="AC37" i="5"/>
  <c r="AB37" i="5"/>
  <c r="AA37" i="5"/>
  <c r="Y37" i="5"/>
  <c r="K37" i="5"/>
  <c r="Z37" i="5" s="1"/>
  <c r="AL36" i="5"/>
  <c r="AK36" i="5"/>
  <c r="AJ36" i="5"/>
  <c r="AI36" i="5"/>
  <c r="AH36" i="5"/>
  <c r="AG36" i="5"/>
  <c r="AF36" i="5"/>
  <c r="AE36" i="5"/>
  <c r="AD36" i="5"/>
  <c r="AC36" i="5"/>
  <c r="AB36" i="5"/>
  <c r="AA36" i="5"/>
  <c r="Y36" i="5"/>
  <c r="K36" i="5"/>
  <c r="Z36" i="5" s="1"/>
  <c r="AL35" i="5"/>
  <c r="AK35" i="5"/>
  <c r="AJ35" i="5"/>
  <c r="AI35" i="5"/>
  <c r="AH35" i="5"/>
  <c r="AG35" i="5"/>
  <c r="AF35" i="5"/>
  <c r="AE35" i="5"/>
  <c r="AD35" i="5"/>
  <c r="AC35" i="5"/>
  <c r="AB35" i="5"/>
  <c r="AA35" i="5"/>
  <c r="Y35" i="5"/>
  <c r="K35" i="5"/>
  <c r="Z35" i="5" s="1"/>
  <c r="AL34" i="5"/>
  <c r="AK34" i="5"/>
  <c r="AJ34" i="5"/>
  <c r="AI34" i="5"/>
  <c r="AH34" i="5"/>
  <c r="AG34" i="5"/>
  <c r="AF34" i="5"/>
  <c r="AE34" i="5"/>
  <c r="AD34" i="5"/>
  <c r="AC34" i="5"/>
  <c r="AB34" i="5"/>
  <c r="AA34" i="5"/>
  <c r="Y34" i="5"/>
  <c r="K34" i="5"/>
  <c r="Z34" i="5" s="1"/>
  <c r="AL33" i="5"/>
  <c r="AK33" i="5"/>
  <c r="AJ33" i="5"/>
  <c r="AI33" i="5"/>
  <c r="AH33" i="5"/>
  <c r="AG33" i="5"/>
  <c r="AF33" i="5"/>
  <c r="AE33" i="5"/>
  <c r="AD33" i="5"/>
  <c r="AC33" i="5"/>
  <c r="AB33" i="5"/>
  <c r="AA33" i="5"/>
  <c r="Y33" i="5"/>
  <c r="K33" i="5"/>
  <c r="Z33" i="5" s="1"/>
  <c r="AL32" i="5"/>
  <c r="AK32" i="5"/>
  <c r="AJ32" i="5"/>
  <c r="AI32" i="5"/>
  <c r="AH32" i="5"/>
  <c r="AG32" i="5"/>
  <c r="AF32" i="5"/>
  <c r="AE32" i="5"/>
  <c r="AD32" i="5"/>
  <c r="AC32" i="5"/>
  <c r="AB32" i="5"/>
  <c r="AA32" i="5"/>
  <c r="Y32" i="5"/>
  <c r="K32" i="5"/>
  <c r="Z32" i="5" s="1"/>
  <c r="AL31" i="5"/>
  <c r="AK31" i="5"/>
  <c r="AJ31" i="5"/>
  <c r="AI31" i="5"/>
  <c r="AH31" i="5"/>
  <c r="AG31" i="5"/>
  <c r="AF31" i="5"/>
  <c r="AE31" i="5"/>
  <c r="AD31" i="5"/>
  <c r="AC31" i="5"/>
  <c r="AB31" i="5"/>
  <c r="AA31" i="5"/>
  <c r="Y31" i="5"/>
  <c r="K31" i="5"/>
  <c r="Z31" i="5" s="1"/>
  <c r="AL30" i="5"/>
  <c r="AK30" i="5"/>
  <c r="AJ30" i="5"/>
  <c r="AI30" i="5"/>
  <c r="AH30" i="5"/>
  <c r="AG30" i="5"/>
  <c r="AF30" i="5"/>
  <c r="AE30" i="5"/>
  <c r="AD30" i="5"/>
  <c r="AC30" i="5"/>
  <c r="AB30" i="5"/>
  <c r="AA30" i="5"/>
  <c r="Y30" i="5"/>
  <c r="K30" i="5"/>
  <c r="Z30" i="5" s="1"/>
  <c r="AL29" i="5"/>
  <c r="AK29" i="5"/>
  <c r="AJ29" i="5"/>
  <c r="AI29" i="5"/>
  <c r="AH29" i="5"/>
  <c r="AG29" i="5"/>
  <c r="AF29" i="5"/>
  <c r="AE29" i="5"/>
  <c r="AD29" i="5"/>
  <c r="AC29" i="5"/>
  <c r="AB29" i="5"/>
  <c r="AA29" i="5"/>
  <c r="Y29" i="5"/>
  <c r="K29" i="5"/>
  <c r="Z29" i="5" s="1"/>
  <c r="AL28" i="5"/>
  <c r="AK28" i="5"/>
  <c r="AJ28" i="5"/>
  <c r="AI28" i="5"/>
  <c r="AH28" i="5"/>
  <c r="AG28" i="5"/>
  <c r="AF28" i="5"/>
  <c r="AE28" i="5"/>
  <c r="AD28" i="5"/>
  <c r="AC28" i="5"/>
  <c r="AB28" i="5"/>
  <c r="AA28" i="5"/>
  <c r="Y28" i="5"/>
  <c r="K28" i="5"/>
  <c r="Z28" i="5" s="1"/>
  <c r="AM28" i="5" s="1"/>
  <c r="AL27" i="5"/>
  <c r="AK27" i="5"/>
  <c r="AJ27" i="5"/>
  <c r="AI27" i="5"/>
  <c r="AH27" i="5"/>
  <c r="AG27" i="5"/>
  <c r="AF27" i="5"/>
  <c r="AE27" i="5"/>
  <c r="AD27" i="5"/>
  <c r="AC27" i="5"/>
  <c r="AB27" i="5"/>
  <c r="AA27" i="5"/>
  <c r="Y27" i="5"/>
  <c r="K27" i="5"/>
  <c r="Z27" i="5" s="1"/>
  <c r="AL26" i="5"/>
  <c r="AK26" i="5"/>
  <c r="AJ26" i="5"/>
  <c r="AI26" i="5"/>
  <c r="AH26" i="5"/>
  <c r="AG26" i="5"/>
  <c r="AF26" i="5"/>
  <c r="AE26" i="5"/>
  <c r="AD26" i="5"/>
  <c r="AC26" i="5"/>
  <c r="AB26" i="5"/>
  <c r="AA26" i="5"/>
  <c r="Y26" i="5"/>
  <c r="K26" i="5"/>
  <c r="Z26" i="5" s="1"/>
  <c r="AL25" i="5"/>
  <c r="AK25" i="5"/>
  <c r="AJ25" i="5"/>
  <c r="AI25" i="5"/>
  <c r="AH25" i="5"/>
  <c r="AG25" i="5"/>
  <c r="AF25" i="5"/>
  <c r="AE25" i="5"/>
  <c r="AD25" i="5"/>
  <c r="AC25" i="5"/>
  <c r="AB25" i="5"/>
  <c r="AA25" i="5"/>
  <c r="Y25" i="5"/>
  <c r="K25" i="5"/>
  <c r="Z25" i="5" s="1"/>
  <c r="AL24" i="5"/>
  <c r="AK24" i="5"/>
  <c r="AJ24" i="5"/>
  <c r="AI24" i="5"/>
  <c r="AH24" i="5"/>
  <c r="AG24" i="5"/>
  <c r="AF24" i="5"/>
  <c r="AE24" i="5"/>
  <c r="AD24" i="5"/>
  <c r="AC24" i="5"/>
  <c r="AB24" i="5"/>
  <c r="AA24" i="5"/>
  <c r="Y24" i="5"/>
  <c r="K24" i="5"/>
  <c r="Z24" i="5" s="1"/>
  <c r="AL23" i="5"/>
  <c r="AK23" i="5"/>
  <c r="AJ23" i="5"/>
  <c r="AI23" i="5"/>
  <c r="AH23" i="5"/>
  <c r="AG23" i="5"/>
  <c r="AF23" i="5"/>
  <c r="AE23" i="5"/>
  <c r="AD23" i="5"/>
  <c r="AC23" i="5"/>
  <c r="AB23" i="5"/>
  <c r="AA23" i="5"/>
  <c r="Y23" i="5"/>
  <c r="K23" i="5"/>
  <c r="Z23" i="5" s="1"/>
  <c r="AL22" i="5"/>
  <c r="AK22" i="5"/>
  <c r="AJ22" i="5"/>
  <c r="AI22" i="5"/>
  <c r="AH22" i="5"/>
  <c r="AG22" i="5"/>
  <c r="AF22" i="5"/>
  <c r="AE22" i="5"/>
  <c r="AD22" i="5"/>
  <c r="AC22" i="5"/>
  <c r="AB22" i="5"/>
  <c r="AA22" i="5"/>
  <c r="Y22" i="5"/>
  <c r="K22" i="5"/>
  <c r="Z22" i="5" s="1"/>
  <c r="AL21" i="5"/>
  <c r="AK21" i="5"/>
  <c r="AJ21" i="5"/>
  <c r="AI21" i="5"/>
  <c r="AH21" i="5"/>
  <c r="AG21" i="5"/>
  <c r="AF21" i="5"/>
  <c r="AE21" i="5"/>
  <c r="AD21" i="5"/>
  <c r="AC21" i="5"/>
  <c r="AB21" i="5"/>
  <c r="AA21" i="5"/>
  <c r="Y21" i="5"/>
  <c r="K21" i="5"/>
  <c r="Z21" i="5" s="1"/>
  <c r="AL20" i="5"/>
  <c r="AK20" i="5"/>
  <c r="AJ20" i="5"/>
  <c r="AI20" i="5"/>
  <c r="AH20" i="5"/>
  <c r="AG20" i="5"/>
  <c r="AF20" i="5"/>
  <c r="AE20" i="5"/>
  <c r="AD20" i="5"/>
  <c r="AC20" i="5"/>
  <c r="AB20" i="5"/>
  <c r="AA20" i="5"/>
  <c r="Y20" i="5"/>
  <c r="K20" i="5"/>
  <c r="Z20" i="5" s="1"/>
  <c r="AL19" i="5"/>
  <c r="AK19" i="5"/>
  <c r="AJ19" i="5"/>
  <c r="AI19" i="5"/>
  <c r="AH19" i="5"/>
  <c r="AG19" i="5"/>
  <c r="AF19" i="5"/>
  <c r="AE19" i="5"/>
  <c r="AD19" i="5"/>
  <c r="AC19" i="5"/>
  <c r="AB19" i="5"/>
  <c r="AA19" i="5"/>
  <c r="Y19" i="5"/>
  <c r="K19" i="5"/>
  <c r="Z19" i="5" s="1"/>
  <c r="AL18" i="5"/>
  <c r="AK18" i="5"/>
  <c r="AJ18" i="5"/>
  <c r="AI18" i="5"/>
  <c r="AH18" i="5"/>
  <c r="AG18" i="5"/>
  <c r="AF18" i="5"/>
  <c r="AE18" i="5"/>
  <c r="AD18" i="5"/>
  <c r="AC18" i="5"/>
  <c r="AB18" i="5"/>
  <c r="AA18" i="5"/>
  <c r="Y18" i="5"/>
  <c r="K18" i="5"/>
  <c r="Z18" i="5" s="1"/>
  <c r="AL17" i="5"/>
  <c r="AK17" i="5"/>
  <c r="AJ17" i="5"/>
  <c r="AI17" i="5"/>
  <c r="AH17" i="5"/>
  <c r="AG17" i="5"/>
  <c r="AF17" i="5"/>
  <c r="AE17" i="5"/>
  <c r="AD17" i="5"/>
  <c r="AC17" i="5"/>
  <c r="AB17" i="5"/>
  <c r="AA17" i="5"/>
  <c r="Y17" i="5"/>
  <c r="K17" i="5"/>
  <c r="Z17" i="5" s="1"/>
  <c r="AL16" i="5"/>
  <c r="AK16" i="5"/>
  <c r="AJ16" i="5"/>
  <c r="AI16" i="5"/>
  <c r="AH16" i="5"/>
  <c r="AG16" i="5"/>
  <c r="AF16" i="5"/>
  <c r="AE16" i="5"/>
  <c r="AD16" i="5"/>
  <c r="AC16" i="5"/>
  <c r="AB16" i="5"/>
  <c r="AA16" i="5"/>
  <c r="Y16" i="5"/>
  <c r="K16" i="5"/>
  <c r="Z16" i="5" s="1"/>
  <c r="AL15" i="5"/>
  <c r="AK15" i="5"/>
  <c r="AJ15" i="5"/>
  <c r="AI15" i="5"/>
  <c r="AH15" i="5"/>
  <c r="AG15" i="5"/>
  <c r="AF15" i="5"/>
  <c r="AE15" i="5"/>
  <c r="AD15" i="5"/>
  <c r="AC15" i="5"/>
  <c r="AB15" i="5"/>
  <c r="AA15" i="5"/>
  <c r="Y15" i="5"/>
  <c r="K15" i="5"/>
  <c r="Z15" i="5" s="1"/>
  <c r="AL14" i="5"/>
  <c r="AK14" i="5"/>
  <c r="AJ14" i="5"/>
  <c r="AI14" i="5"/>
  <c r="AH14" i="5"/>
  <c r="AG14" i="5"/>
  <c r="AF14" i="5"/>
  <c r="AE14" i="5"/>
  <c r="AD14" i="5"/>
  <c r="AC14" i="5"/>
  <c r="AB14" i="5"/>
  <c r="AA14" i="5"/>
  <c r="Y14" i="5"/>
  <c r="K14" i="5"/>
  <c r="Z14" i="5" s="1"/>
  <c r="AL13" i="5"/>
  <c r="AK13" i="5"/>
  <c r="AJ13" i="5"/>
  <c r="AI13" i="5"/>
  <c r="AH13" i="5"/>
  <c r="AG13" i="5"/>
  <c r="AF13" i="5"/>
  <c r="AE13" i="5"/>
  <c r="AD13" i="5"/>
  <c r="AC13" i="5"/>
  <c r="AB13" i="5"/>
  <c r="AA13" i="5"/>
  <c r="Y13" i="5"/>
  <c r="K13" i="5"/>
  <c r="Z13" i="5" s="1"/>
  <c r="AL12" i="5"/>
  <c r="AK12" i="5"/>
  <c r="AJ12" i="5"/>
  <c r="AI12" i="5"/>
  <c r="AH12" i="5"/>
  <c r="AG12" i="5"/>
  <c r="AF12" i="5"/>
  <c r="AE12" i="5"/>
  <c r="AD12" i="5"/>
  <c r="AC12" i="5"/>
  <c r="AB12" i="5"/>
  <c r="AA12" i="5"/>
  <c r="Y12" i="5"/>
  <c r="K12" i="5"/>
  <c r="Z12" i="5" s="1"/>
  <c r="AM12" i="5" s="1"/>
  <c r="AL11" i="5"/>
  <c r="AK11" i="5"/>
  <c r="AJ11" i="5"/>
  <c r="AI11" i="5"/>
  <c r="AH11" i="5"/>
  <c r="AG11" i="5"/>
  <c r="AF11" i="5"/>
  <c r="AE11" i="5"/>
  <c r="AD11" i="5"/>
  <c r="AC11" i="5"/>
  <c r="AB11" i="5"/>
  <c r="AA11" i="5"/>
  <c r="Y11" i="5"/>
  <c r="K11" i="5"/>
  <c r="Z11" i="5" s="1"/>
  <c r="AL10" i="5"/>
  <c r="AK10" i="5"/>
  <c r="AJ10" i="5"/>
  <c r="AI10" i="5"/>
  <c r="AH10" i="5"/>
  <c r="AG10" i="5"/>
  <c r="AF10" i="5"/>
  <c r="AE10" i="5"/>
  <c r="AD10" i="5"/>
  <c r="AC10" i="5"/>
  <c r="AB10" i="5"/>
  <c r="AA10" i="5"/>
  <c r="Y10" i="5"/>
  <c r="K10" i="5"/>
  <c r="Z10" i="5" s="1"/>
  <c r="AL9" i="5"/>
  <c r="AK9" i="5"/>
  <c r="AJ9" i="5"/>
  <c r="AI9" i="5"/>
  <c r="AH9" i="5"/>
  <c r="AG9" i="5"/>
  <c r="AF9" i="5"/>
  <c r="AE9" i="5"/>
  <c r="AD9" i="5"/>
  <c r="AC9" i="5"/>
  <c r="AB9" i="5"/>
  <c r="AA9" i="5"/>
  <c r="Y9" i="5"/>
  <c r="K9" i="5"/>
  <c r="Z9" i="5" s="1"/>
  <c r="AL8" i="5"/>
  <c r="AK8" i="5"/>
  <c r="AJ8" i="5"/>
  <c r="AI8" i="5"/>
  <c r="AH8" i="5"/>
  <c r="AG8" i="5"/>
  <c r="AF8" i="5"/>
  <c r="AE8" i="5"/>
  <c r="AD8" i="5"/>
  <c r="AC8" i="5"/>
  <c r="AB8" i="5"/>
  <c r="AA8" i="5"/>
  <c r="Y8" i="5"/>
  <c r="K8" i="5"/>
  <c r="Z8" i="5" s="1"/>
  <c r="AL7" i="5"/>
  <c r="AK7" i="5"/>
  <c r="AJ7" i="5"/>
  <c r="AI7" i="5"/>
  <c r="AH7" i="5"/>
  <c r="AG7" i="5"/>
  <c r="AF7" i="5"/>
  <c r="AE7" i="5"/>
  <c r="AD7" i="5"/>
  <c r="AC7" i="5"/>
  <c r="AB7" i="5"/>
  <c r="AA7" i="5"/>
  <c r="Y7" i="5"/>
  <c r="K7" i="5"/>
  <c r="Z7" i="5" s="1"/>
  <c r="AL6" i="5"/>
  <c r="AK6" i="5"/>
  <c r="AJ6" i="5"/>
  <c r="AI6" i="5"/>
  <c r="AH6" i="5"/>
  <c r="AG6" i="5"/>
  <c r="AF6" i="5"/>
  <c r="AE6" i="5"/>
  <c r="AD6" i="5"/>
  <c r="AC6" i="5"/>
  <c r="AB6" i="5"/>
  <c r="AA6" i="5"/>
  <c r="Y6" i="5"/>
  <c r="K6" i="5"/>
  <c r="Z6" i="5" s="1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K5" i="5"/>
  <c r="AL4" i="5"/>
  <c r="AK4" i="5"/>
  <c r="AJ4" i="5"/>
  <c r="AI4" i="5"/>
  <c r="AH4" i="5"/>
  <c r="AG4" i="5"/>
  <c r="AF4" i="5"/>
  <c r="AE4" i="5"/>
  <c r="AD4" i="5"/>
  <c r="AC4" i="5"/>
  <c r="AB4" i="5"/>
  <c r="AA4" i="5"/>
  <c r="Y4" i="5"/>
  <c r="K4" i="5"/>
  <c r="Z4" i="5" s="1"/>
  <c r="AL3" i="5"/>
  <c r="AK3" i="5"/>
  <c r="AJ3" i="5"/>
  <c r="AI3" i="5"/>
  <c r="AH3" i="5"/>
  <c r="AG3" i="5"/>
  <c r="AF3" i="5"/>
  <c r="AE3" i="5"/>
  <c r="AD3" i="5"/>
  <c r="AC3" i="5"/>
  <c r="AB3" i="5"/>
  <c r="AA3" i="5"/>
  <c r="Y3" i="5"/>
  <c r="K3" i="5"/>
  <c r="Z3" i="5" s="1"/>
  <c r="AL2" i="5"/>
  <c r="AK2" i="5"/>
  <c r="AJ2" i="5"/>
  <c r="AI2" i="5"/>
  <c r="AH2" i="5"/>
  <c r="AG2" i="5"/>
  <c r="AF2" i="5"/>
  <c r="AE2" i="5"/>
  <c r="AD2" i="5"/>
  <c r="AC2" i="5"/>
  <c r="AB2" i="5"/>
  <c r="AA2" i="5"/>
  <c r="Y2" i="5"/>
  <c r="K2" i="5"/>
  <c r="Z2" i="5" s="1"/>
  <c r="H38" i="4"/>
  <c r="G38" i="4"/>
  <c r="F38" i="4"/>
  <c r="E38" i="4"/>
  <c r="D38" i="4"/>
  <c r="C38" i="4"/>
  <c r="B9" i="1" s="1"/>
  <c r="L37" i="4"/>
  <c r="K37" i="4"/>
  <c r="J37" i="4"/>
  <c r="I37" i="4"/>
  <c r="L36" i="4"/>
  <c r="M36" i="4" s="1"/>
  <c r="K36" i="4"/>
  <c r="J36" i="4"/>
  <c r="I36" i="4"/>
  <c r="L35" i="4"/>
  <c r="K35" i="4"/>
  <c r="J35" i="4"/>
  <c r="M35" i="4" s="1"/>
  <c r="I35" i="4"/>
  <c r="L34" i="4"/>
  <c r="K34" i="4"/>
  <c r="J34" i="4"/>
  <c r="I34" i="4"/>
  <c r="M34" i="4" s="1"/>
  <c r="L33" i="4"/>
  <c r="K33" i="4"/>
  <c r="J33" i="4"/>
  <c r="I33" i="4"/>
  <c r="M33" i="4" s="1"/>
  <c r="L32" i="4"/>
  <c r="K32" i="4"/>
  <c r="J32" i="4"/>
  <c r="M32" i="4" s="1"/>
  <c r="I32" i="4"/>
  <c r="L31" i="4"/>
  <c r="K31" i="4"/>
  <c r="J31" i="4"/>
  <c r="I31" i="4"/>
  <c r="L30" i="4"/>
  <c r="K30" i="4"/>
  <c r="J30" i="4"/>
  <c r="I30" i="4"/>
  <c r="M30" i="4" s="1"/>
  <c r="L29" i="4"/>
  <c r="K29" i="4"/>
  <c r="J29" i="4"/>
  <c r="I29" i="4"/>
  <c r="M29" i="4" s="1"/>
  <c r="L28" i="4"/>
  <c r="M28" i="4" s="1"/>
  <c r="K28" i="4"/>
  <c r="J28" i="4"/>
  <c r="I28" i="4"/>
  <c r="L27" i="4"/>
  <c r="K27" i="4"/>
  <c r="J27" i="4"/>
  <c r="I27" i="4"/>
  <c r="M27" i="4" s="1"/>
  <c r="L26" i="4"/>
  <c r="K26" i="4"/>
  <c r="J26" i="4"/>
  <c r="I26" i="4"/>
  <c r="L25" i="4"/>
  <c r="K25" i="4"/>
  <c r="J25" i="4"/>
  <c r="I25" i="4"/>
  <c r="L24" i="4"/>
  <c r="K24" i="4"/>
  <c r="J24" i="4"/>
  <c r="I24" i="4"/>
  <c r="L23" i="4"/>
  <c r="K23" i="4"/>
  <c r="J23" i="4"/>
  <c r="I23" i="4"/>
  <c r="M23" i="4" s="1"/>
  <c r="L22" i="4"/>
  <c r="K22" i="4"/>
  <c r="J22" i="4"/>
  <c r="I22" i="4"/>
  <c r="M22" i="4" s="1"/>
  <c r="L21" i="4"/>
  <c r="K21" i="4"/>
  <c r="J21" i="4"/>
  <c r="I21" i="4"/>
  <c r="L20" i="4"/>
  <c r="K20" i="4"/>
  <c r="J20" i="4"/>
  <c r="I20" i="4"/>
  <c r="M20" i="4" s="1"/>
  <c r="L19" i="4"/>
  <c r="K19" i="4"/>
  <c r="J19" i="4"/>
  <c r="I19" i="4"/>
  <c r="L18" i="4"/>
  <c r="K18" i="4"/>
  <c r="J18" i="4"/>
  <c r="I18" i="4"/>
  <c r="L17" i="4"/>
  <c r="K17" i="4"/>
  <c r="M17" i="4" s="1"/>
  <c r="J17" i="4"/>
  <c r="I17" i="4"/>
  <c r="L16" i="4"/>
  <c r="K16" i="4"/>
  <c r="J16" i="4"/>
  <c r="I16" i="4"/>
  <c r="M16" i="4" s="1"/>
  <c r="L15" i="4"/>
  <c r="M15" i="4" s="1"/>
  <c r="K15" i="4"/>
  <c r="J15" i="4"/>
  <c r="I15" i="4"/>
  <c r="L14" i="4"/>
  <c r="K14" i="4"/>
  <c r="J14" i="4"/>
  <c r="M14" i="4" s="1"/>
  <c r="I14" i="4"/>
  <c r="L13" i="4"/>
  <c r="K13" i="4"/>
  <c r="J13" i="4"/>
  <c r="I13" i="4"/>
  <c r="L12" i="4"/>
  <c r="K12" i="4"/>
  <c r="J12" i="4"/>
  <c r="I12" i="4"/>
  <c r="M12" i="4" s="1"/>
  <c r="L11" i="4"/>
  <c r="K11" i="4"/>
  <c r="J11" i="4"/>
  <c r="I11" i="4"/>
  <c r="M11" i="4" s="1"/>
  <c r="L10" i="4"/>
  <c r="K10" i="4"/>
  <c r="M10" i="4" s="1"/>
  <c r="J10" i="4"/>
  <c r="I10" i="4"/>
  <c r="L9" i="4"/>
  <c r="K9" i="4"/>
  <c r="J9" i="4"/>
  <c r="I9" i="4"/>
  <c r="M9" i="4" s="1"/>
  <c r="M8" i="4"/>
  <c r="L8" i="4"/>
  <c r="K8" i="4"/>
  <c r="J8" i="4"/>
  <c r="I8" i="4"/>
  <c r="L7" i="4"/>
  <c r="K7" i="4"/>
  <c r="J7" i="4"/>
  <c r="I7" i="4"/>
  <c r="L6" i="4"/>
  <c r="K6" i="4"/>
  <c r="J6" i="4"/>
  <c r="I6" i="4"/>
  <c r="M6" i="4" s="1"/>
  <c r="L5" i="4"/>
  <c r="K5" i="4"/>
  <c r="J5" i="4"/>
  <c r="I5" i="4"/>
  <c r="L4" i="4"/>
  <c r="K4" i="4"/>
  <c r="J4" i="4"/>
  <c r="I4" i="4"/>
  <c r="L3" i="4"/>
  <c r="K3" i="4"/>
  <c r="J3" i="4"/>
  <c r="I3" i="4"/>
  <c r="M3" i="4" s="1"/>
  <c r="L2" i="4"/>
  <c r="K2" i="4"/>
  <c r="J2" i="4"/>
  <c r="M2" i="4" s="1"/>
  <c r="I2" i="4"/>
  <c r="T39" i="3"/>
  <c r="S39" i="3"/>
  <c r="R39" i="3"/>
  <c r="Q39" i="3"/>
  <c r="P39" i="3"/>
  <c r="O39" i="3"/>
  <c r="N39" i="3"/>
  <c r="B8" i="1" s="1"/>
  <c r="G39" i="3"/>
  <c r="F39" i="3"/>
  <c r="B5" i="1" s="1"/>
  <c r="E39" i="3"/>
  <c r="B4" i="1" s="1"/>
  <c r="D39" i="3"/>
  <c r="B3" i="1" s="1"/>
  <c r="C39" i="3"/>
  <c r="B7" i="1" s="1"/>
  <c r="U38" i="3"/>
  <c r="K38" i="3"/>
  <c r="J38" i="3"/>
  <c r="I38" i="3"/>
  <c r="H38" i="3"/>
  <c r="L38" i="3" s="1"/>
  <c r="U37" i="3"/>
  <c r="K37" i="3"/>
  <c r="J37" i="3"/>
  <c r="I37" i="3"/>
  <c r="H37" i="3"/>
  <c r="L37" i="3" s="1"/>
  <c r="U36" i="3"/>
  <c r="K36" i="3"/>
  <c r="J36" i="3"/>
  <c r="I36" i="3"/>
  <c r="H36" i="3"/>
  <c r="L36" i="3" s="1"/>
  <c r="U35" i="3"/>
  <c r="K35" i="3"/>
  <c r="J35" i="3"/>
  <c r="I35" i="3"/>
  <c r="H35" i="3"/>
  <c r="L35" i="3" s="1"/>
  <c r="U34" i="3"/>
  <c r="K34" i="3"/>
  <c r="J34" i="3"/>
  <c r="I34" i="3"/>
  <c r="H34" i="3"/>
  <c r="L34" i="3" s="1"/>
  <c r="U33" i="3"/>
  <c r="L33" i="3"/>
  <c r="K33" i="3"/>
  <c r="J33" i="3"/>
  <c r="I33" i="3"/>
  <c r="H33" i="3"/>
  <c r="U32" i="3"/>
  <c r="K32" i="3"/>
  <c r="J32" i="3"/>
  <c r="I32" i="3"/>
  <c r="H32" i="3"/>
  <c r="L32" i="3" s="1"/>
  <c r="U31" i="3"/>
  <c r="K31" i="3"/>
  <c r="J31" i="3"/>
  <c r="I31" i="3"/>
  <c r="H31" i="3"/>
  <c r="L31" i="3" s="1"/>
  <c r="U30" i="3"/>
  <c r="K30" i="3"/>
  <c r="J30" i="3"/>
  <c r="I30" i="3"/>
  <c r="H30" i="3"/>
  <c r="L30" i="3" s="1"/>
  <c r="U29" i="3"/>
  <c r="L29" i="3"/>
  <c r="K29" i="3"/>
  <c r="J29" i="3"/>
  <c r="I29" i="3"/>
  <c r="H29" i="3"/>
  <c r="U28" i="3"/>
  <c r="K28" i="3"/>
  <c r="J28" i="3"/>
  <c r="I28" i="3"/>
  <c r="H28" i="3"/>
  <c r="L28" i="3" s="1"/>
  <c r="U27" i="3"/>
  <c r="K27" i="3"/>
  <c r="J27" i="3"/>
  <c r="I27" i="3"/>
  <c r="H27" i="3"/>
  <c r="L27" i="3" s="1"/>
  <c r="U26" i="3"/>
  <c r="K26" i="3"/>
  <c r="J26" i="3"/>
  <c r="I26" i="3"/>
  <c r="H26" i="3"/>
  <c r="L26" i="3" s="1"/>
  <c r="U25" i="3"/>
  <c r="K25" i="3"/>
  <c r="J25" i="3"/>
  <c r="I25" i="3"/>
  <c r="H25" i="3"/>
  <c r="L25" i="3" s="1"/>
  <c r="U24" i="3"/>
  <c r="K24" i="3"/>
  <c r="J24" i="3"/>
  <c r="I24" i="3"/>
  <c r="H24" i="3"/>
  <c r="L24" i="3" s="1"/>
  <c r="U23" i="3"/>
  <c r="K23" i="3"/>
  <c r="J23" i="3"/>
  <c r="I23" i="3"/>
  <c r="H23" i="3"/>
  <c r="L23" i="3" s="1"/>
  <c r="U22" i="3"/>
  <c r="K22" i="3"/>
  <c r="J22" i="3"/>
  <c r="I22" i="3"/>
  <c r="M22" i="3" s="1"/>
  <c r="V22" i="3" s="1"/>
  <c r="H22" i="3"/>
  <c r="L22" i="3" s="1"/>
  <c r="U21" i="3"/>
  <c r="L21" i="3"/>
  <c r="K21" i="3"/>
  <c r="J21" i="3"/>
  <c r="I21" i="3"/>
  <c r="H21" i="3"/>
  <c r="U20" i="3"/>
  <c r="K20" i="3"/>
  <c r="J20" i="3"/>
  <c r="I20" i="3"/>
  <c r="H20" i="3"/>
  <c r="L20" i="3" s="1"/>
  <c r="U19" i="3"/>
  <c r="K19" i="3"/>
  <c r="J19" i="3"/>
  <c r="I19" i="3"/>
  <c r="H19" i="3"/>
  <c r="L19" i="3" s="1"/>
  <c r="U18" i="3"/>
  <c r="K18" i="3"/>
  <c r="J18" i="3"/>
  <c r="I18" i="3"/>
  <c r="M18" i="3" s="1"/>
  <c r="V18" i="3" s="1"/>
  <c r="H18" i="3"/>
  <c r="L18" i="3" s="1"/>
  <c r="U17" i="3"/>
  <c r="L17" i="3"/>
  <c r="K17" i="3"/>
  <c r="J17" i="3"/>
  <c r="I17" i="3"/>
  <c r="H17" i="3"/>
  <c r="U16" i="3"/>
  <c r="K16" i="3"/>
  <c r="J16" i="3"/>
  <c r="I16" i="3"/>
  <c r="H16" i="3"/>
  <c r="L16" i="3" s="1"/>
  <c r="U15" i="3"/>
  <c r="K15" i="3"/>
  <c r="J15" i="3"/>
  <c r="I15" i="3"/>
  <c r="H15" i="3"/>
  <c r="L15" i="3" s="1"/>
  <c r="U14" i="3"/>
  <c r="K14" i="3"/>
  <c r="J14" i="3"/>
  <c r="I14" i="3"/>
  <c r="H14" i="3"/>
  <c r="L14" i="3" s="1"/>
  <c r="U13" i="3"/>
  <c r="K13" i="3"/>
  <c r="J13" i="3"/>
  <c r="I13" i="3"/>
  <c r="H13" i="3"/>
  <c r="L13" i="3" s="1"/>
  <c r="U12" i="3"/>
  <c r="K12" i="3"/>
  <c r="J12" i="3"/>
  <c r="I12" i="3"/>
  <c r="H12" i="3"/>
  <c r="L12" i="3" s="1"/>
  <c r="U11" i="3"/>
  <c r="K11" i="3"/>
  <c r="J11" i="3"/>
  <c r="I11" i="3"/>
  <c r="H11" i="3"/>
  <c r="L11" i="3" s="1"/>
  <c r="U10" i="3"/>
  <c r="K10" i="3"/>
  <c r="J10" i="3"/>
  <c r="I10" i="3"/>
  <c r="H10" i="3"/>
  <c r="L10" i="3" s="1"/>
  <c r="U9" i="3"/>
  <c r="K9" i="3"/>
  <c r="J9" i="3"/>
  <c r="I9" i="3"/>
  <c r="H9" i="3"/>
  <c r="L9" i="3" s="1"/>
  <c r="U8" i="3"/>
  <c r="K8" i="3"/>
  <c r="J8" i="3"/>
  <c r="I8" i="3"/>
  <c r="H8" i="3"/>
  <c r="L8" i="3" s="1"/>
  <c r="U7" i="3"/>
  <c r="K7" i="3"/>
  <c r="J7" i="3"/>
  <c r="I7" i="3"/>
  <c r="H7" i="3"/>
  <c r="L7" i="3" s="1"/>
  <c r="U6" i="3"/>
  <c r="K6" i="3"/>
  <c r="J6" i="3"/>
  <c r="I6" i="3"/>
  <c r="H6" i="3"/>
  <c r="L6" i="3" s="1"/>
  <c r="U5" i="3"/>
  <c r="L5" i="3"/>
  <c r="K5" i="3"/>
  <c r="J5" i="3"/>
  <c r="I5" i="3"/>
  <c r="H5" i="3"/>
  <c r="U4" i="3"/>
  <c r="K4" i="3"/>
  <c r="J4" i="3"/>
  <c r="I4" i="3"/>
  <c r="H4" i="3"/>
  <c r="L4" i="3" s="1"/>
  <c r="U3" i="3"/>
  <c r="K3" i="3"/>
  <c r="J3" i="3"/>
  <c r="I3" i="3"/>
  <c r="H3" i="3"/>
  <c r="U2" i="3"/>
  <c r="K2" i="3"/>
  <c r="J2" i="3"/>
  <c r="I2" i="3"/>
  <c r="H2" i="3"/>
  <c r="L2" i="3" s="1"/>
  <c r="AL63" i="5" l="1"/>
  <c r="AM21" i="5"/>
  <c r="AM37" i="5"/>
  <c r="AM53" i="5"/>
  <c r="H39" i="3"/>
  <c r="B6" i="1" s="1"/>
  <c r="M15" i="3"/>
  <c r="V15" i="3" s="1"/>
  <c r="M21" i="3"/>
  <c r="V21" i="3" s="1"/>
  <c r="M27" i="3"/>
  <c r="V27" i="3" s="1"/>
  <c r="M33" i="3"/>
  <c r="V33" i="3" s="1"/>
  <c r="AM5" i="5"/>
  <c r="AM60" i="5"/>
  <c r="AM3" i="5"/>
  <c r="AM19" i="5"/>
  <c r="AM35" i="5"/>
  <c r="AM51" i="5"/>
  <c r="J39" i="3"/>
  <c r="D4" i="1" s="1"/>
  <c r="E4" i="1" s="1"/>
  <c r="K39" i="3"/>
  <c r="D5" i="1" s="1"/>
  <c r="E5" i="1" s="1"/>
  <c r="U39" i="3"/>
  <c r="D8" i="1" s="1"/>
  <c r="M34" i="3"/>
  <c r="V34" i="3" s="1"/>
  <c r="AM10" i="5"/>
  <c r="AM26" i="5"/>
  <c r="AM42" i="5"/>
  <c r="AM58" i="5"/>
  <c r="AM17" i="5"/>
  <c r="AM33" i="5"/>
  <c r="AM49" i="5"/>
  <c r="AF63" i="5"/>
  <c r="AM8" i="5"/>
  <c r="AM24" i="5"/>
  <c r="AM40" i="5"/>
  <c r="AM56" i="5"/>
  <c r="M24" i="4"/>
  <c r="M37" i="4"/>
  <c r="AM15" i="5"/>
  <c r="AM31" i="5"/>
  <c r="AM47" i="5"/>
  <c r="AM6" i="5"/>
  <c r="M11" i="3"/>
  <c r="V11" i="3" s="1"/>
  <c r="M17" i="3"/>
  <c r="V17" i="3" s="1"/>
  <c r="M23" i="3"/>
  <c r="V23" i="3" s="1"/>
  <c r="M29" i="3"/>
  <c r="V29" i="3" s="1"/>
  <c r="M5" i="3"/>
  <c r="V5" i="3" s="1"/>
  <c r="M31" i="4"/>
  <c r="AM22" i="5"/>
  <c r="AM38" i="5"/>
  <c r="AM54" i="5"/>
  <c r="J38" i="4"/>
  <c r="M25" i="4"/>
  <c r="AM4" i="5"/>
  <c r="AM13" i="5"/>
  <c r="AM29" i="5"/>
  <c r="AM45" i="5"/>
  <c r="AM61" i="5"/>
  <c r="M9" i="3"/>
  <c r="V9" i="3" s="1"/>
  <c r="L38" i="4"/>
  <c r="M18" i="4"/>
  <c r="AM20" i="5"/>
  <c r="AM36" i="5"/>
  <c r="AM52" i="5"/>
  <c r="K63" i="5"/>
  <c r="Y63" i="5"/>
  <c r="AM11" i="5"/>
  <c r="AM27" i="5"/>
  <c r="AM43" i="5"/>
  <c r="AM59" i="5"/>
  <c r="AA63" i="5"/>
  <c r="M4" i="4"/>
  <c r="M26" i="4"/>
  <c r="M19" i="3"/>
  <c r="V19" i="3" s="1"/>
  <c r="M37" i="3"/>
  <c r="V37" i="3" s="1"/>
  <c r="M19" i="4"/>
  <c r="AB63" i="5"/>
  <c r="AM18" i="5"/>
  <c r="AM34" i="5"/>
  <c r="AM50" i="5"/>
  <c r="M5" i="4"/>
  <c r="M30" i="3"/>
  <c r="V30" i="3" s="1"/>
  <c r="M6" i="3"/>
  <c r="V6" i="3" s="1"/>
  <c r="AD63" i="5"/>
  <c r="AM9" i="5"/>
  <c r="AM25" i="5"/>
  <c r="AM41" i="5"/>
  <c r="AM57" i="5"/>
  <c r="AM48" i="5"/>
  <c r="K38" i="4"/>
  <c r="M13" i="3"/>
  <c r="V13" i="3" s="1"/>
  <c r="M25" i="3"/>
  <c r="V25" i="3" s="1"/>
  <c r="AE63" i="5"/>
  <c r="AM32" i="5"/>
  <c r="AG63" i="5"/>
  <c r="AH63" i="5"/>
  <c r="AM23" i="5"/>
  <c r="AM39" i="5"/>
  <c r="AM55" i="5"/>
  <c r="AC63" i="5"/>
  <c r="AI63" i="5"/>
  <c r="AM16" i="5"/>
  <c r="M13" i="4"/>
  <c r="M21" i="4"/>
  <c r="AJ63" i="5"/>
  <c r="AM7" i="5"/>
  <c r="AM14" i="5"/>
  <c r="AM30" i="5"/>
  <c r="AM46" i="5"/>
  <c r="AM62" i="5"/>
  <c r="M7" i="4"/>
  <c r="AK63" i="5"/>
  <c r="M4" i="3"/>
  <c r="V4" i="3" s="1"/>
  <c r="M16" i="3"/>
  <c r="V16" i="3" s="1"/>
  <c r="M10" i="3"/>
  <c r="V10" i="3" s="1"/>
  <c r="M28" i="3"/>
  <c r="V28" i="3" s="1"/>
  <c r="M12" i="3"/>
  <c r="V12" i="3" s="1"/>
  <c r="M35" i="3"/>
  <c r="V35" i="3" s="1"/>
  <c r="Z63" i="5"/>
  <c r="AM2" i="5"/>
  <c r="M7" i="3"/>
  <c r="V7" i="3" s="1"/>
  <c r="M38" i="4"/>
  <c r="D9" i="1" s="1"/>
  <c r="E9" i="1" s="1"/>
  <c r="M24" i="3"/>
  <c r="V24" i="3" s="1"/>
  <c r="M36" i="3"/>
  <c r="V36" i="3" s="1"/>
  <c r="M2" i="3"/>
  <c r="M31" i="3"/>
  <c r="V31" i="3" s="1"/>
  <c r="M8" i="3"/>
  <c r="V8" i="3" s="1"/>
  <c r="M14" i="3"/>
  <c r="V14" i="3" s="1"/>
  <c r="M20" i="3"/>
  <c r="V20" i="3" s="1"/>
  <c r="M26" i="3"/>
  <c r="V26" i="3" s="1"/>
  <c r="M38" i="3"/>
  <c r="V38" i="3" s="1"/>
  <c r="M32" i="3"/>
  <c r="V32" i="3" s="1"/>
  <c r="E8" i="1"/>
  <c r="I39" i="3"/>
  <c r="D3" i="1" s="1"/>
  <c r="E3" i="1" s="1"/>
  <c r="I38" i="4"/>
  <c r="L3" i="3"/>
  <c r="L39" i="3" s="1"/>
  <c r="D6" i="1" s="1"/>
  <c r="E6" i="1" s="1"/>
  <c r="AM63" i="5" l="1"/>
  <c r="D10" i="1" s="1"/>
  <c r="E10" i="1" s="1"/>
  <c r="M3" i="3"/>
  <c r="V3" i="3" s="1"/>
  <c r="V2" i="3"/>
  <c r="V39" i="3" s="1"/>
  <c r="M39" i="3" l="1"/>
  <c r="D7" i="1" s="1"/>
  <c r="E7" i="1"/>
  <c r="D11" i="1"/>
  <c r="E11" i="1" s="1"/>
</calcChain>
</file>

<file path=xl/sharedStrings.xml><?xml version="1.0" encoding="utf-8"?>
<sst xmlns="http://schemas.openxmlformats.org/spreadsheetml/2006/main" count="508" uniqueCount="282">
  <si>
    <t>Block 04 - bill of quantities and cost estimate of the channel scheme (200-year design)</t>
  </si>
  <si>
    <t>Item</t>
  </si>
  <si>
    <t>Quantity</t>
  </si>
  <si>
    <t>Unit</t>
  </si>
  <si>
    <t>Cost (OMR)</t>
  </si>
  <si>
    <t>Cost (million OMR)</t>
  </si>
  <si>
    <t>Channels - clearing and grubbing</t>
  </si>
  <si>
    <t>m²</t>
  </si>
  <si>
    <t>Channels - excavation</t>
  </si>
  <si>
    <t>m³</t>
  </si>
  <si>
    <t>Channels - fill</t>
  </si>
  <si>
    <t>Channels - riprap</t>
  </si>
  <si>
    <t>Channels - construction</t>
  </si>
  <si>
    <t>m</t>
  </si>
  <si>
    <t>Channels - land of the corridors (expropriation)</t>
  </si>
  <si>
    <t>ha</t>
  </si>
  <si>
    <t>Dykes</t>
  </si>
  <si>
    <t>Culverts</t>
  </si>
  <si>
    <t>cells</t>
  </si>
  <si>
    <t>Total</t>
  </si>
  <si>
    <t>The total is the construction of the channels, the land of their corridors, the dykes and the culverts. Quantities: channels measured on the designed sections against the 0.5 m terrain model; dykes on the typical fill section at the adopted height; culverts by the concrete, reinforcement, blinding, waterproofing and road works over them. Rates: sheet Rates (master plan estimate).</t>
  </si>
  <si>
    <t>Code</t>
  </si>
  <si>
    <t>Rate (OMR)</t>
  </si>
  <si>
    <t>clear</t>
  </si>
  <si>
    <t>Clearing and grubbing</t>
  </si>
  <si>
    <t>exc</t>
  </si>
  <si>
    <t>Excavation</t>
  </si>
  <si>
    <t>fill</t>
  </si>
  <si>
    <t>Embankment and dyke fill</t>
  </si>
  <si>
    <t>riprap</t>
  </si>
  <si>
    <t>Riprap 0.3 m over geotextile</t>
  </si>
  <si>
    <t>conc</t>
  </si>
  <si>
    <t>Reinforced concrete of the culverts</t>
  </si>
  <si>
    <t>rebar</t>
  </si>
  <si>
    <t>Reinforcement (120 kg/m³)</t>
  </si>
  <si>
    <t>t</t>
  </si>
  <si>
    <t>blind</t>
  </si>
  <si>
    <t>Blinding concrete</t>
  </si>
  <si>
    <t>wp</t>
  </si>
  <si>
    <t>Waterproofing</t>
  </si>
  <si>
    <t>abc</t>
  </si>
  <si>
    <t>Aggregate base course</t>
  </si>
  <si>
    <t>bbc</t>
  </si>
  <si>
    <t>Bituminous base course</t>
  </si>
  <si>
    <t>wbc</t>
  </si>
  <si>
    <t>Wearing course</t>
  </si>
  <si>
    <t>pc</t>
  </si>
  <si>
    <t>Prime coat</t>
  </si>
  <si>
    <t>tc</t>
  </si>
  <si>
    <t>Tack coat</t>
  </si>
  <si>
    <t>mark</t>
  </si>
  <si>
    <t>Road marking</t>
  </si>
  <si>
    <t>rail</t>
  </si>
  <si>
    <t>Guardrail</t>
  </si>
  <si>
    <t>post</t>
  </si>
  <si>
    <t>Guardrail post</t>
  </si>
  <si>
    <t>no.</t>
  </si>
  <si>
    <t>cng</t>
  </si>
  <si>
    <t>Compaction of natural ground</t>
  </si>
  <si>
    <t>removal</t>
  </si>
  <si>
    <t>Removal of the existing structure</t>
  </si>
  <si>
    <t>Land</t>
  </si>
  <si>
    <t>Expropriation rate by land use of the cadastre (master plan)</t>
  </si>
  <si>
    <t>Agricultural</t>
  </si>
  <si>
    <t>Agricultural land</t>
  </si>
  <si>
    <t>OMR/ha</t>
  </si>
  <si>
    <t>Commercial</t>
  </si>
  <si>
    <t>Commercial land</t>
  </si>
  <si>
    <t>Industrial</t>
  </si>
  <si>
    <t>Industrial land</t>
  </si>
  <si>
    <t>Residential</t>
  </si>
  <si>
    <t>Residential land</t>
  </si>
  <si>
    <t>Roads</t>
  </si>
  <si>
    <t>Roads land</t>
  </si>
  <si>
    <t>Government, planned and vacant land</t>
  </si>
  <si>
    <t>Blue on yellow: the unit rates (master plan estimate); change them here and every cost follows.</t>
  </si>
  <si>
    <t>Channel</t>
  </si>
  <si>
    <t>Class</t>
  </si>
  <si>
    <t>Length (m)</t>
  </si>
  <si>
    <t>Clearing (m²)</t>
  </si>
  <si>
    <t>Excavation (m³)</t>
  </si>
  <si>
    <t>Fill (m³)</t>
  </si>
  <si>
    <t>Riprap area (m²)</t>
  </si>
  <si>
    <t>Riprap volume 0.3 m (m³)</t>
  </si>
  <si>
    <t>Clearing cost (OMR)</t>
  </si>
  <si>
    <t>Excavation cost (OMR)</t>
  </si>
  <si>
    <t>Fill cost (OMR)</t>
  </si>
  <si>
    <t>Riprap cost (OMR)</t>
  </si>
  <si>
    <t>Construction cost (OMR)</t>
  </si>
  <si>
    <t>Corridor (ha)</t>
  </si>
  <si>
    <t>Agricultural land (ha)</t>
  </si>
  <si>
    <t>Commercial land (ha)</t>
  </si>
  <si>
    <t>Industrial land (ha)</t>
  </si>
  <si>
    <t>Residential land (ha)</t>
  </si>
  <si>
    <t>Roads land (ha)</t>
  </si>
  <si>
    <t>Other land, no cost (ha)</t>
  </si>
  <si>
    <t>Land cost (OMR)</t>
  </si>
  <si>
    <t>Channel cost (OMR)</t>
  </si>
  <si>
    <t>HAW-CH1-FP</t>
  </si>
  <si>
    <t>FP</t>
  </si>
  <si>
    <t>HAW-CH2-SS</t>
  </si>
  <si>
    <t>SS</t>
  </si>
  <si>
    <t>HAW-CH3-SS</t>
  </si>
  <si>
    <t>HAW-CH4-SS</t>
  </si>
  <si>
    <t>HAW-CH5-SS</t>
  </si>
  <si>
    <t>HAW-CH6-SS</t>
  </si>
  <si>
    <t>HAW-CH7-SS</t>
  </si>
  <si>
    <t>SHA-CH1-FP</t>
  </si>
  <si>
    <t>SHA-CH2-SM</t>
  </si>
  <si>
    <t>SM</t>
  </si>
  <si>
    <t>SHA-CH3-SM</t>
  </si>
  <si>
    <t>SHA-CH4-SM</t>
  </si>
  <si>
    <t>SHA-CH5-SM</t>
  </si>
  <si>
    <t>SHA-CH6-SM</t>
  </si>
  <si>
    <t>SHA-CH7-SM</t>
  </si>
  <si>
    <t>SHA-CH8-SS</t>
  </si>
  <si>
    <t>SHA-CH9-SS</t>
  </si>
  <si>
    <t>SHA-CH10-SS</t>
  </si>
  <si>
    <t>SHA-CH11-SS</t>
  </si>
  <si>
    <t>SHA-CH12-SS</t>
  </si>
  <si>
    <t>SHA-CH13-SS</t>
  </si>
  <si>
    <t>SHA-CH14-SS</t>
  </si>
  <si>
    <t>SHA-CH15-SS</t>
  </si>
  <si>
    <t>SHA-CH16-SS</t>
  </si>
  <si>
    <t>SHA-CH17-SS</t>
  </si>
  <si>
    <t>SHA-CH18-SS</t>
  </si>
  <si>
    <t>SHA-CH19-SS</t>
  </si>
  <si>
    <t>SHA-CH20-SS</t>
  </si>
  <si>
    <t>SHA-CH21-SS</t>
  </si>
  <si>
    <t>SAR-CH1-FP</t>
  </si>
  <si>
    <t>SAR-CH2-SM</t>
  </si>
  <si>
    <t>SAR-CH3-SS</t>
  </si>
  <si>
    <t>SAR-CH4-SS</t>
  </si>
  <si>
    <t>SAK-CH1-FP</t>
  </si>
  <si>
    <t>SAK-CH2-FP</t>
  </si>
  <si>
    <t>SAK-CH3-SM</t>
  </si>
  <si>
    <t>SAK-CH4-SS</t>
  </si>
  <si>
    <t>SAK-CH5-SS</t>
  </si>
  <si>
    <t>Dyke</t>
  </si>
  <si>
    <t>Height (m)</t>
  </si>
  <si>
    <t>Riprap volume (m³)</t>
  </si>
  <si>
    <t>Dyke cost (OMR)</t>
  </si>
  <si>
    <t>HAW-D1-FP</t>
  </si>
  <si>
    <t>FP D</t>
  </si>
  <si>
    <t>HAW-D2-FP</t>
  </si>
  <si>
    <t>HAW-D3-FP</t>
  </si>
  <si>
    <t>SHA-D1-FP</t>
  </si>
  <si>
    <t>SHA-D2-FP</t>
  </si>
  <si>
    <t>SHA-D3-FP</t>
  </si>
  <si>
    <t>SHA-D4-FP</t>
  </si>
  <si>
    <t>SHA-D5-FP</t>
  </si>
  <si>
    <t>SHA-D6-FP</t>
  </si>
  <si>
    <t>SHA-D7-FP</t>
  </si>
  <si>
    <t>SHA-D8-FP</t>
  </si>
  <si>
    <t>SHA-D9-FP</t>
  </si>
  <si>
    <t>SHA-D10-SM</t>
  </si>
  <si>
    <t>Sw M D</t>
  </si>
  <si>
    <t>SHA-D11-SM</t>
  </si>
  <si>
    <t>SHA-D12-SM</t>
  </si>
  <si>
    <t>SHA-D13-SM</t>
  </si>
  <si>
    <t>SHA-D14-SM</t>
  </si>
  <si>
    <t>SHA-D15-SS</t>
  </si>
  <si>
    <t>Sw S D</t>
  </si>
  <si>
    <t>SHA-D16-SS</t>
  </si>
  <si>
    <t>SHA-D17-SS</t>
  </si>
  <si>
    <t>SHA-D18-SS</t>
  </si>
  <si>
    <t>SHA-D19-SS</t>
  </si>
  <si>
    <t>SHA-D20-SS</t>
  </si>
  <si>
    <t>SHA-D21-SS</t>
  </si>
  <si>
    <t>SHA-D22-SS</t>
  </si>
  <si>
    <t>SHA-D23-SS</t>
  </si>
  <si>
    <t>SAR-D1-FP</t>
  </si>
  <si>
    <t>SAR-D2-FP</t>
  </si>
  <si>
    <t>SAR-D3-SM</t>
  </si>
  <si>
    <t>SAR-D4-SM</t>
  </si>
  <si>
    <t>SAK-D1-FP</t>
  </si>
  <si>
    <t>SAK-D2-FP</t>
  </si>
  <si>
    <t>SAK-D3-FP</t>
  </si>
  <si>
    <t>SAK-D4-FP</t>
  </si>
  <si>
    <t>SAK-D5-FP</t>
  </si>
  <si>
    <t>SAK-D6-FP</t>
  </si>
  <si>
    <t>ID</t>
  </si>
  <si>
    <t>Road</t>
  </si>
  <si>
    <t>Reach</t>
  </si>
  <si>
    <t>Cells</t>
  </si>
  <si>
    <t>Cell width (m)</t>
  </si>
  <si>
    <t>Cell height (m)</t>
  </si>
  <si>
    <t>Overall width G (m)</t>
  </si>
  <si>
    <t>Length L (m)</t>
  </si>
  <si>
    <t>Concrete (m³)</t>
  </si>
  <si>
    <t>Reinforcement (t)</t>
  </si>
  <si>
    <t>Blinding (m³)</t>
  </si>
  <si>
    <t>Waterproofing (m²)</t>
  </si>
  <si>
    <t>Pavement area (m²)</t>
  </si>
  <si>
    <t>Aggregate base (m³)</t>
  </si>
  <si>
    <t>Bituminous base (m³)</t>
  </si>
  <si>
    <t>Wearing course (m³)</t>
  </si>
  <si>
    <t>Prime coat (m²)</t>
  </si>
  <si>
    <t>Tack coat (m²)</t>
  </si>
  <si>
    <t>Marking (m²)</t>
  </si>
  <si>
    <t>Guardrail (m)</t>
  </si>
  <si>
    <t>Posts (no.)</t>
  </si>
  <si>
    <t>Compaction (m²)</t>
  </si>
  <si>
    <t>Removal of existing (m³)</t>
  </si>
  <si>
    <t>Concrete cost</t>
  </si>
  <si>
    <t>Reinforcement cost</t>
  </si>
  <si>
    <t>Blinding cost</t>
  </si>
  <si>
    <t>Waterproofing cost</t>
  </si>
  <si>
    <t>Aggregate base cost</t>
  </si>
  <si>
    <t>Bituminous base cost</t>
  </si>
  <si>
    <t>Wearing course cost</t>
  </si>
  <si>
    <t>Prime coat cost</t>
  </si>
  <si>
    <t>Tack coat cost</t>
  </si>
  <si>
    <t>Marking cost</t>
  </si>
  <si>
    <t>Guardrail cost</t>
  </si>
  <si>
    <t>Posts cost</t>
  </si>
  <si>
    <t>Compaction cost</t>
  </si>
  <si>
    <t>Removal cost</t>
  </si>
  <si>
    <t>Culvert cost (OMR)</t>
  </si>
  <si>
    <t>Batinah Coastal Road</t>
  </si>
  <si>
    <t>HAWCH1-C7</t>
  </si>
  <si>
    <t>Batinah Highway</t>
  </si>
  <si>
    <t>HAWCH1-C5</t>
  </si>
  <si>
    <t>North Batinah Bypass</t>
  </si>
  <si>
    <t>HAWCH1-C2</t>
  </si>
  <si>
    <t>HAWCH2-C7</t>
  </si>
  <si>
    <t>HAWCH2-C3</t>
  </si>
  <si>
    <t>HAWCH5-C7</t>
  </si>
  <si>
    <t>HAWCH5-C3</t>
  </si>
  <si>
    <t>HAWCH7-C6</t>
  </si>
  <si>
    <t>HAWCH7-C5</t>
  </si>
  <si>
    <t>HAWCH7-C1</t>
  </si>
  <si>
    <t>SHACH1-C12</t>
  </si>
  <si>
    <t>SHACH1-C11</t>
  </si>
  <si>
    <t>SHACH1-C4</t>
  </si>
  <si>
    <t>SHACH2-C5</t>
  </si>
  <si>
    <t>SHACH3-C16</t>
  </si>
  <si>
    <t>SHACH3-C10</t>
  </si>
  <si>
    <t>SHACH3-C7</t>
  </si>
  <si>
    <t>SHACH4-C10</t>
  </si>
  <si>
    <t>SHACH4-C5</t>
  </si>
  <si>
    <t>SHACH4-C3</t>
  </si>
  <si>
    <t>SHACH5-C4</t>
  </si>
  <si>
    <t>SHACH5-C1</t>
  </si>
  <si>
    <t>SHACH6-C6</t>
  </si>
  <si>
    <t>SHACH6-C2</t>
  </si>
  <si>
    <t>SHACH6-C1</t>
  </si>
  <si>
    <t>SHACH7-C9</t>
  </si>
  <si>
    <t>SHACH7-C7</t>
  </si>
  <si>
    <t>SHACH7-C2</t>
  </si>
  <si>
    <t>SHACH8-C3</t>
  </si>
  <si>
    <t>SHACH8-C1</t>
  </si>
  <si>
    <t>SHACH9-C4</t>
  </si>
  <si>
    <t>SHACH9-C1</t>
  </si>
  <si>
    <t>SHACH10-C3</t>
  </si>
  <si>
    <t>SHACH10-C1</t>
  </si>
  <si>
    <t>SHACH11-C1</t>
  </si>
  <si>
    <t>SHACH14-C3</t>
  </si>
  <si>
    <t>SHACH14-C1</t>
  </si>
  <si>
    <t>SHACH15-C5</t>
  </si>
  <si>
    <t>SHACH15-C2</t>
  </si>
  <si>
    <t>SHACH16-C7</t>
  </si>
  <si>
    <t>SHACH16-C4</t>
  </si>
  <si>
    <t>SHACH16-C1</t>
  </si>
  <si>
    <t>SHACH17-C2</t>
  </si>
  <si>
    <t>SHACH18-C2</t>
  </si>
  <si>
    <t>SHACH19-C1</t>
  </si>
  <si>
    <t>SHACH20-C1</t>
  </si>
  <si>
    <t>SARCH1-C14</t>
  </si>
  <si>
    <t>SARCH1-C11</t>
  </si>
  <si>
    <t>SARCH1-C7</t>
  </si>
  <si>
    <t>SARCH2-C6</t>
  </si>
  <si>
    <t>SARCH2-C5</t>
  </si>
  <si>
    <t>SARCH2-C1</t>
  </si>
  <si>
    <t>SARCH4-C2</t>
  </si>
  <si>
    <t>SAKCH2-C7</t>
  </si>
  <si>
    <t>SAKCH2-C4</t>
  </si>
  <si>
    <t>SAKCH3-C6</t>
  </si>
  <si>
    <t>SAKCH3-C2</t>
  </si>
  <si>
    <t>SAKCH3-C1</t>
  </si>
  <si>
    <t>SAKCH4-C1</t>
  </si>
  <si>
    <t>SAKCH5-C2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</si>
</sst>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b/>
      <sz val="10"/>
      <name val="Arial"/>
    </font>
    <font>
      <i/>
      <sz val="9"/>
      <name val="Arial"/>
    </font>
    <font>
      <sz val="10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5F8B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5" fillId="0" borderId="0" xfId="0" applyFont="1"/>
    <xf numFmtId="3" fontId="5" fillId="0" borderId="0" xfId="0" applyNumberFormat="1" applyFont="1"/>
    <xf numFmtId="4" fontId="5" fillId="0" borderId="0" xfId="0" applyNumberFormat="1" applyFont="1"/>
    <xf numFmtId="0" fontId="3" fillId="0" borderId="0" xfId="0" applyFont="1"/>
    <xf numFmtId="3" fontId="3" fillId="0" borderId="0" xfId="0" applyNumberFormat="1" applyFont="1"/>
    <xf numFmtId="4" fontId="3" fillId="0" borderId="0" xfId="0" applyNumberFormat="1" applyFont="1"/>
    <xf numFmtId="0" fontId="4" fillId="0" borderId="0" xfId="0" applyFont="1"/>
    <xf numFmtId="4" fontId="2" fillId="3" borderId="0" xfId="0" applyNumberFormat="1" applyFont="1" applyFill="1"/>
    <xf numFmtId="3" fontId="2" fillId="3" borderId="0" xfId="0" applyNumberFormat="1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/>
  </sheetViews>
  <sheetFormatPr defaultRowHeight="15" x14ac:dyDescent="0.25"/>
  <cols>
    <col min="1" max="1" width="46" customWidth="1"/>
    <col min="2" max="2" width="14" customWidth="1"/>
    <col min="3" max="3" width="8" customWidth="1"/>
    <col min="4" max="4" width="16" customWidth="1"/>
    <col min="5" max="5" width="14" customWidth="1"/>
  </cols>
  <sheetData>
    <row r="1" spans="1:5" ht="15.75" x14ac:dyDescent="0.25">
      <c r="A1" s="1" t="s">
        <v>0</v>
      </c>
    </row>
    <row r="2" spans="1:5" ht="20.100000000000001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4">
        <f>Channels!D39</f>
        <v>17519052</v>
      </c>
      <c r="C3" s="3" t="s">
        <v>7</v>
      </c>
      <c r="D3" s="4">
        <f>Channels!I39</f>
        <v>5255715.6000000006</v>
      </c>
      <c r="E3" s="5">
        <f t="shared" ref="E3:E11" si="0">D3/1000000</f>
        <v>5.2557156000000003</v>
      </c>
    </row>
    <row r="4" spans="1:5" x14ac:dyDescent="0.25">
      <c r="A4" s="3" t="s">
        <v>8</v>
      </c>
      <c r="B4" s="4">
        <f>Channels!E39</f>
        <v>34865563</v>
      </c>
      <c r="C4" s="3" t="s">
        <v>9</v>
      </c>
      <c r="D4" s="4">
        <f>Channels!J39</f>
        <v>73217682.299999997</v>
      </c>
      <c r="E4" s="5">
        <f t="shared" si="0"/>
        <v>73.217682299999993</v>
      </c>
    </row>
    <row r="5" spans="1:5" x14ac:dyDescent="0.25">
      <c r="A5" s="3" t="s">
        <v>10</v>
      </c>
      <c r="B5" s="4">
        <f>Channels!F39</f>
        <v>1754305</v>
      </c>
      <c r="C5" s="3" t="s">
        <v>9</v>
      </c>
      <c r="D5" s="4">
        <f>Channels!K39</f>
        <v>7017220</v>
      </c>
      <c r="E5" s="5">
        <f t="shared" si="0"/>
        <v>7.01722</v>
      </c>
    </row>
    <row r="6" spans="1:5" x14ac:dyDescent="0.25">
      <c r="A6" s="3" t="s">
        <v>11</v>
      </c>
      <c r="B6" s="4">
        <f>Channels!H39</f>
        <v>599759.09999999986</v>
      </c>
      <c r="C6" s="3" t="s">
        <v>9</v>
      </c>
      <c r="D6" s="4">
        <f>Channels!L39</f>
        <v>7916820.1199999982</v>
      </c>
      <c r="E6" s="5">
        <f t="shared" si="0"/>
        <v>7.9168201199999979</v>
      </c>
    </row>
    <row r="7" spans="1:5" x14ac:dyDescent="0.25">
      <c r="A7" s="3" t="s">
        <v>12</v>
      </c>
      <c r="B7" s="4">
        <f>Channels!C39</f>
        <v>221345.39999999997</v>
      </c>
      <c r="C7" s="3" t="s">
        <v>13</v>
      </c>
      <c r="D7" s="4">
        <f>Channels!M39</f>
        <v>93407438.020000026</v>
      </c>
      <c r="E7" s="5">
        <f t="shared" si="0"/>
        <v>93.407438020000029</v>
      </c>
    </row>
    <row r="8" spans="1:5" x14ac:dyDescent="0.25">
      <c r="A8" s="3" t="s">
        <v>14</v>
      </c>
      <c r="B8" s="4">
        <f>Channels!N39</f>
        <v>2092.63</v>
      </c>
      <c r="C8" s="3" t="s">
        <v>15</v>
      </c>
      <c r="D8" s="4">
        <f>Channels!U39</f>
        <v>167796848.42000002</v>
      </c>
      <c r="E8" s="5">
        <f t="shared" si="0"/>
        <v>167.79684842</v>
      </c>
    </row>
    <row r="9" spans="1:5" x14ac:dyDescent="0.25">
      <c r="A9" s="3" t="s">
        <v>16</v>
      </c>
      <c r="B9" s="4">
        <f>Dykes!C38</f>
        <v>62471.900000000016</v>
      </c>
      <c r="C9" s="3" t="s">
        <v>13</v>
      </c>
      <c r="D9" s="4">
        <f>Dykes!M38</f>
        <v>8445435.5</v>
      </c>
      <c r="E9" s="5">
        <f t="shared" si="0"/>
        <v>8.4454355000000003</v>
      </c>
    </row>
    <row r="10" spans="1:5" x14ac:dyDescent="0.25">
      <c r="A10" s="3" t="s">
        <v>17</v>
      </c>
      <c r="B10" s="4">
        <f>Culverts!E63</f>
        <v>1304</v>
      </c>
      <c r="C10" s="3" t="s">
        <v>18</v>
      </c>
      <c r="D10" s="4">
        <f>Culverts!AM63</f>
        <v>30731617.6426</v>
      </c>
      <c r="E10" s="5">
        <f t="shared" si="0"/>
        <v>30.7316176426</v>
      </c>
    </row>
    <row r="11" spans="1:5" x14ac:dyDescent="0.25">
      <c r="A11" s="6" t="s">
        <v>19</v>
      </c>
      <c r="B11" s="7"/>
      <c r="C11" s="6"/>
      <c r="D11" s="7">
        <f>D8+D9+D10+D7</f>
        <v>300381339.58260006</v>
      </c>
      <c r="E11" s="8">
        <f t="shared" si="0"/>
        <v>300.38133958260005</v>
      </c>
    </row>
    <row r="13" spans="1:5" x14ac:dyDescent="0.25">
      <c r="A13" s="9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/>
  </sheetViews>
  <sheetFormatPr defaultRowHeight="15" x14ac:dyDescent="0.25"/>
  <cols>
    <col min="1" max="1" width="10" customWidth="1"/>
    <col min="2" max="2" width="44" customWidth="1"/>
    <col min="3" max="3" width="8" customWidth="1"/>
    <col min="4" max="4" width="12" customWidth="1"/>
  </cols>
  <sheetData>
    <row r="1" spans="1:4" ht="39.950000000000003" customHeight="1" x14ac:dyDescent="0.25">
      <c r="A1" s="2" t="s">
        <v>21</v>
      </c>
      <c r="B1" s="2" t="s">
        <v>1</v>
      </c>
      <c r="C1" s="2" t="s">
        <v>3</v>
      </c>
      <c r="D1" s="2" t="s">
        <v>22</v>
      </c>
    </row>
    <row r="2" spans="1:4" x14ac:dyDescent="0.25">
      <c r="A2" t="s">
        <v>23</v>
      </c>
      <c r="B2" t="s">
        <v>24</v>
      </c>
      <c r="C2" t="s">
        <v>7</v>
      </c>
      <c r="D2" s="10">
        <v>0.3</v>
      </c>
    </row>
    <row r="3" spans="1:4" x14ac:dyDescent="0.25">
      <c r="A3" t="s">
        <v>25</v>
      </c>
      <c r="B3" t="s">
        <v>26</v>
      </c>
      <c r="C3" t="s">
        <v>9</v>
      </c>
      <c r="D3" s="10">
        <v>2.1</v>
      </c>
    </row>
    <row r="4" spans="1:4" x14ac:dyDescent="0.25">
      <c r="A4" t="s">
        <v>27</v>
      </c>
      <c r="B4" t="s">
        <v>28</v>
      </c>
      <c r="C4" t="s">
        <v>9</v>
      </c>
      <c r="D4" s="10">
        <v>4</v>
      </c>
    </row>
    <row r="5" spans="1:4" x14ac:dyDescent="0.25">
      <c r="A5" t="s">
        <v>29</v>
      </c>
      <c r="B5" t="s">
        <v>30</v>
      </c>
      <c r="C5" t="s">
        <v>9</v>
      </c>
      <c r="D5" s="10">
        <v>13.2</v>
      </c>
    </row>
    <row r="6" spans="1:4" x14ac:dyDescent="0.25">
      <c r="A6" t="s">
        <v>31</v>
      </c>
      <c r="B6" t="s">
        <v>32</v>
      </c>
      <c r="C6" t="s">
        <v>9</v>
      </c>
      <c r="D6" s="10">
        <v>106.9</v>
      </c>
    </row>
    <row r="7" spans="1:4" x14ac:dyDescent="0.25">
      <c r="A7" t="s">
        <v>33</v>
      </c>
      <c r="B7" t="s">
        <v>34</v>
      </c>
      <c r="C7" t="s">
        <v>35</v>
      </c>
      <c r="D7" s="10">
        <v>417.1</v>
      </c>
    </row>
    <row r="8" spans="1:4" x14ac:dyDescent="0.25">
      <c r="A8" t="s">
        <v>36</v>
      </c>
      <c r="B8" t="s">
        <v>37</v>
      </c>
      <c r="C8" t="s">
        <v>9</v>
      </c>
      <c r="D8" s="10">
        <v>45</v>
      </c>
    </row>
    <row r="9" spans="1:4" x14ac:dyDescent="0.25">
      <c r="A9" t="s">
        <v>38</v>
      </c>
      <c r="B9" t="s">
        <v>39</v>
      </c>
      <c r="C9" t="s">
        <v>7</v>
      </c>
      <c r="D9" s="10">
        <v>2</v>
      </c>
    </row>
    <row r="10" spans="1:4" x14ac:dyDescent="0.25">
      <c r="A10" t="s">
        <v>40</v>
      </c>
      <c r="B10" t="s">
        <v>41</v>
      </c>
      <c r="C10" t="s">
        <v>9</v>
      </c>
      <c r="D10" s="10">
        <v>6.5</v>
      </c>
    </row>
    <row r="11" spans="1:4" x14ac:dyDescent="0.25">
      <c r="A11" t="s">
        <v>42</v>
      </c>
      <c r="B11" t="s">
        <v>43</v>
      </c>
      <c r="C11" t="s">
        <v>9</v>
      </c>
      <c r="D11" s="10">
        <v>45</v>
      </c>
    </row>
    <row r="12" spans="1:4" x14ac:dyDescent="0.25">
      <c r="A12" t="s">
        <v>44</v>
      </c>
      <c r="B12" t="s">
        <v>45</v>
      </c>
      <c r="C12" t="s">
        <v>9</v>
      </c>
      <c r="D12" s="10">
        <v>47</v>
      </c>
    </row>
    <row r="13" spans="1:4" x14ac:dyDescent="0.25">
      <c r="A13" t="s">
        <v>46</v>
      </c>
      <c r="B13" t="s">
        <v>47</v>
      </c>
      <c r="C13" t="s">
        <v>7</v>
      </c>
      <c r="D13" s="10">
        <v>0.45</v>
      </c>
    </row>
    <row r="14" spans="1:4" x14ac:dyDescent="0.25">
      <c r="A14" t="s">
        <v>48</v>
      </c>
      <c r="B14" t="s">
        <v>49</v>
      </c>
      <c r="C14" t="s">
        <v>7</v>
      </c>
      <c r="D14" s="10">
        <v>0.35</v>
      </c>
    </row>
    <row r="15" spans="1:4" x14ac:dyDescent="0.25">
      <c r="A15" t="s">
        <v>50</v>
      </c>
      <c r="B15" t="s">
        <v>51</v>
      </c>
      <c r="C15" t="s">
        <v>7</v>
      </c>
      <c r="D15" s="10">
        <v>4</v>
      </c>
    </row>
    <row r="16" spans="1:4" x14ac:dyDescent="0.25">
      <c r="A16" t="s">
        <v>52</v>
      </c>
      <c r="B16" t="s">
        <v>53</v>
      </c>
      <c r="C16" t="s">
        <v>13</v>
      </c>
      <c r="D16" s="10">
        <v>53</v>
      </c>
    </row>
    <row r="17" spans="1:4" x14ac:dyDescent="0.25">
      <c r="A17" t="s">
        <v>54</v>
      </c>
      <c r="B17" t="s">
        <v>55</v>
      </c>
      <c r="C17" t="s">
        <v>56</v>
      </c>
      <c r="D17" s="10">
        <v>3</v>
      </c>
    </row>
    <row r="18" spans="1:4" x14ac:dyDescent="0.25">
      <c r="A18" t="s">
        <v>57</v>
      </c>
      <c r="B18" t="s">
        <v>58</v>
      </c>
      <c r="C18" t="s">
        <v>7</v>
      </c>
      <c r="D18" s="10">
        <v>0.2</v>
      </c>
    </row>
    <row r="19" spans="1:4" x14ac:dyDescent="0.25">
      <c r="A19" t="s">
        <v>59</v>
      </c>
      <c r="B19" t="s">
        <v>60</v>
      </c>
      <c r="C19" t="s">
        <v>9</v>
      </c>
      <c r="D19" s="10">
        <v>4</v>
      </c>
    </row>
    <row r="21" spans="1:4" x14ac:dyDescent="0.25">
      <c r="A21" t="s">
        <v>61</v>
      </c>
      <c r="B21" s="6" t="s">
        <v>62</v>
      </c>
    </row>
    <row r="22" spans="1:4" x14ac:dyDescent="0.25">
      <c r="A22" t="s">
        <v>63</v>
      </c>
      <c r="B22" t="s">
        <v>64</v>
      </c>
      <c r="C22" t="s">
        <v>65</v>
      </c>
      <c r="D22" s="11">
        <v>50189</v>
      </c>
    </row>
    <row r="23" spans="1:4" x14ac:dyDescent="0.25">
      <c r="A23" t="s">
        <v>66</v>
      </c>
      <c r="B23" t="s">
        <v>67</v>
      </c>
      <c r="C23" t="s">
        <v>65</v>
      </c>
      <c r="D23" s="11">
        <v>1486900</v>
      </c>
    </row>
    <row r="24" spans="1:4" x14ac:dyDescent="0.25">
      <c r="A24" t="s">
        <v>68</v>
      </c>
      <c r="B24" t="s">
        <v>69</v>
      </c>
      <c r="C24" t="s">
        <v>65</v>
      </c>
      <c r="D24" s="11">
        <v>1500000</v>
      </c>
    </row>
    <row r="25" spans="1:4" x14ac:dyDescent="0.25">
      <c r="A25" t="s">
        <v>70</v>
      </c>
      <c r="B25" t="s">
        <v>71</v>
      </c>
      <c r="C25" t="s">
        <v>65</v>
      </c>
      <c r="D25" s="11">
        <v>754797</v>
      </c>
    </row>
    <row r="26" spans="1:4" x14ac:dyDescent="0.25">
      <c r="A26" t="s">
        <v>72</v>
      </c>
      <c r="B26" t="s">
        <v>73</v>
      </c>
      <c r="C26" t="s">
        <v>65</v>
      </c>
      <c r="D26" s="11">
        <v>330061</v>
      </c>
    </row>
    <row r="27" spans="1:4" x14ac:dyDescent="0.25">
      <c r="B27" t="s">
        <v>74</v>
      </c>
      <c r="C27" t="s">
        <v>65</v>
      </c>
      <c r="D27" s="12">
        <v>0</v>
      </c>
    </row>
    <row r="29" spans="1:4" x14ac:dyDescent="0.25">
      <c r="B29" s="9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" customWidth="1"/>
    <col min="2" max="2" width="7" customWidth="1"/>
    <col min="3" max="3" width="10" customWidth="1"/>
    <col min="4" max="8" width="12" customWidth="1"/>
    <col min="9" max="12" width="13" customWidth="1"/>
    <col min="13" max="13" width="14" customWidth="1"/>
    <col min="14" max="14" width="10" customWidth="1"/>
    <col min="15" max="20" width="11" customWidth="1"/>
    <col min="21" max="21" width="13" customWidth="1"/>
    <col min="22" max="22" width="14" customWidth="1"/>
  </cols>
  <sheetData>
    <row r="1" spans="1:22" ht="39.950000000000003" customHeight="1" x14ac:dyDescent="0.25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  <c r="I1" s="2" t="s">
        <v>84</v>
      </c>
      <c r="J1" s="2" t="s">
        <v>85</v>
      </c>
      <c r="K1" s="2" t="s">
        <v>86</v>
      </c>
      <c r="L1" s="2" t="s">
        <v>87</v>
      </c>
      <c r="M1" s="2" t="s">
        <v>88</v>
      </c>
      <c r="N1" s="2" t="s">
        <v>89</v>
      </c>
      <c r="O1" s="2" t="s">
        <v>90</v>
      </c>
      <c r="P1" s="2" t="s">
        <v>91</v>
      </c>
      <c r="Q1" s="2" t="s">
        <v>92</v>
      </c>
      <c r="R1" s="2" t="s">
        <v>93</v>
      </c>
      <c r="S1" s="2" t="s">
        <v>94</v>
      </c>
      <c r="T1" s="2" t="s">
        <v>95</v>
      </c>
      <c r="U1" s="2" t="s">
        <v>96</v>
      </c>
      <c r="V1" s="2" t="s">
        <v>97</v>
      </c>
    </row>
    <row r="2" spans="1:22" x14ac:dyDescent="0.25">
      <c r="A2" s="3" t="s">
        <v>98</v>
      </c>
      <c r="B2" s="3" t="s">
        <v>99</v>
      </c>
      <c r="C2" s="4">
        <v>8203.9</v>
      </c>
      <c r="D2" s="4">
        <v>480696</v>
      </c>
      <c r="E2" s="4">
        <v>572684</v>
      </c>
      <c r="F2" s="4">
        <v>87353</v>
      </c>
      <c r="G2" s="4">
        <v>76061</v>
      </c>
      <c r="H2" s="4">
        <f t="shared" ref="H2:H38" si="0">G2*0.3</f>
        <v>22818.3</v>
      </c>
      <c r="I2" s="4">
        <f>D2*Rates!$D$2</f>
        <v>144208.79999999999</v>
      </c>
      <c r="J2" s="4">
        <f>E2*Rates!$D$3</f>
        <v>1202636.4000000001</v>
      </c>
      <c r="K2" s="4">
        <f>F2*Rates!$D$4</f>
        <v>349412</v>
      </c>
      <c r="L2" s="4">
        <f>H2*Rates!$D$5</f>
        <v>301201.56</v>
      </c>
      <c r="M2" s="4">
        <f t="shared" ref="M2:M38" si="1">SUM(I2:L2)</f>
        <v>1997458.7600000002</v>
      </c>
      <c r="N2" s="5">
        <v>59.62</v>
      </c>
      <c r="O2" s="5">
        <v>4.0199999999999996</v>
      </c>
      <c r="P2" s="5">
        <v>0</v>
      </c>
      <c r="Q2" s="5">
        <v>0</v>
      </c>
      <c r="R2" s="5">
        <v>3.18</v>
      </c>
      <c r="S2" s="5">
        <v>0</v>
      </c>
      <c r="T2" s="5">
        <v>0.01</v>
      </c>
      <c r="U2" s="4">
        <f>O2*Rates!$D$22+P2*Rates!$D$23+Q2*Rates!$D$24+R2*Rates!$D$25+S2*Rates!$D$26</f>
        <v>2602014.2399999998</v>
      </c>
      <c r="V2" s="5">
        <f t="shared" ref="V2:V38" si="2">M2+U2</f>
        <v>4599473</v>
      </c>
    </row>
    <row r="3" spans="1:22" x14ac:dyDescent="0.25">
      <c r="A3" s="3" t="s">
        <v>100</v>
      </c>
      <c r="B3" s="3" t="s">
        <v>101</v>
      </c>
      <c r="C3" s="4">
        <v>7721.7</v>
      </c>
      <c r="D3" s="4">
        <v>336312</v>
      </c>
      <c r="E3" s="4">
        <v>435720</v>
      </c>
      <c r="F3" s="4">
        <v>59850</v>
      </c>
      <c r="G3" s="4">
        <v>69611</v>
      </c>
      <c r="H3" s="4">
        <f t="shared" si="0"/>
        <v>20883.3</v>
      </c>
      <c r="I3" s="4">
        <f>D3*Rates!$D$2</f>
        <v>100893.59999999999</v>
      </c>
      <c r="J3" s="4">
        <f>E3*Rates!$D$3</f>
        <v>915012</v>
      </c>
      <c r="K3" s="4">
        <f>F3*Rates!$D$4</f>
        <v>239400</v>
      </c>
      <c r="L3" s="4">
        <f>H3*Rates!$D$5</f>
        <v>275659.56</v>
      </c>
      <c r="M3" s="4">
        <f t="shared" si="1"/>
        <v>1530965.1600000001</v>
      </c>
      <c r="N3" s="5">
        <v>45.59</v>
      </c>
      <c r="O3" s="5">
        <v>3.1</v>
      </c>
      <c r="P3" s="5">
        <v>0</v>
      </c>
      <c r="Q3" s="5">
        <v>0</v>
      </c>
      <c r="R3" s="5">
        <v>7.27</v>
      </c>
      <c r="S3" s="5">
        <v>0</v>
      </c>
      <c r="T3" s="5">
        <v>0.34</v>
      </c>
      <c r="U3" s="4">
        <f>O3*Rates!$D$22+P3*Rates!$D$23+Q3*Rates!$D$24+R3*Rates!$D$25+S3*Rates!$D$26</f>
        <v>5642960.0899999999</v>
      </c>
      <c r="V3" s="5">
        <f t="shared" si="2"/>
        <v>7173925.25</v>
      </c>
    </row>
    <row r="4" spans="1:22" x14ac:dyDescent="0.25">
      <c r="A4" s="3" t="s">
        <v>102</v>
      </c>
      <c r="B4" s="3" t="s">
        <v>101</v>
      </c>
      <c r="C4" s="4">
        <v>1440.4</v>
      </c>
      <c r="D4" s="4">
        <v>35076</v>
      </c>
      <c r="E4" s="4">
        <v>44099</v>
      </c>
      <c r="F4" s="4">
        <v>3037</v>
      </c>
      <c r="G4" s="4">
        <v>12985</v>
      </c>
      <c r="H4" s="4">
        <f t="shared" si="0"/>
        <v>3895.5</v>
      </c>
      <c r="I4" s="4">
        <f>D4*Rates!$D$2</f>
        <v>10522.8</v>
      </c>
      <c r="J4" s="4">
        <f>E4*Rates!$D$3</f>
        <v>92607.900000000009</v>
      </c>
      <c r="K4" s="4">
        <f>F4*Rates!$D$4</f>
        <v>12148</v>
      </c>
      <c r="L4" s="4">
        <f>H4*Rates!$D$5</f>
        <v>51420.6</v>
      </c>
      <c r="M4" s="4">
        <f t="shared" si="1"/>
        <v>166699.30000000002</v>
      </c>
      <c r="N4" s="5">
        <v>5.91</v>
      </c>
      <c r="O4" s="5">
        <v>0</v>
      </c>
      <c r="P4" s="5">
        <v>0</v>
      </c>
      <c r="Q4" s="5">
        <v>0</v>
      </c>
      <c r="R4" s="5">
        <v>3.16</v>
      </c>
      <c r="S4" s="5">
        <v>0</v>
      </c>
      <c r="T4" s="5">
        <v>0</v>
      </c>
      <c r="U4" s="4">
        <f>O4*Rates!$D$22+P4*Rates!$D$23+Q4*Rates!$D$24+R4*Rates!$D$25+S4*Rates!$D$26</f>
        <v>2385158.52</v>
      </c>
      <c r="V4" s="5">
        <f t="shared" si="2"/>
        <v>2551857.8199999998</v>
      </c>
    </row>
    <row r="5" spans="1:22" x14ac:dyDescent="0.25">
      <c r="A5" s="3" t="s">
        <v>103</v>
      </c>
      <c r="B5" s="3" t="s">
        <v>101</v>
      </c>
      <c r="C5" s="4">
        <v>1385.3</v>
      </c>
      <c r="D5" s="4">
        <v>32264</v>
      </c>
      <c r="E5" s="4">
        <v>45553</v>
      </c>
      <c r="F5" s="4">
        <v>4069</v>
      </c>
      <c r="G5" s="4">
        <v>12488</v>
      </c>
      <c r="H5" s="4">
        <f t="shared" si="0"/>
        <v>3746.3999999999996</v>
      </c>
      <c r="I5" s="4">
        <f>D5*Rates!$D$2</f>
        <v>9679.1999999999989</v>
      </c>
      <c r="J5" s="4">
        <f>E5*Rates!$D$3</f>
        <v>95661.3</v>
      </c>
      <c r="K5" s="4">
        <f>F5*Rates!$D$4</f>
        <v>16276</v>
      </c>
      <c r="L5" s="4">
        <f>H5*Rates!$D$5</f>
        <v>49452.479999999996</v>
      </c>
      <c r="M5" s="4">
        <f t="shared" si="1"/>
        <v>171068.97999999998</v>
      </c>
      <c r="N5" s="5">
        <v>5.68</v>
      </c>
      <c r="O5" s="5">
        <v>0</v>
      </c>
      <c r="P5" s="5">
        <v>0</v>
      </c>
      <c r="Q5" s="5">
        <v>0</v>
      </c>
      <c r="R5" s="5">
        <v>1.42</v>
      </c>
      <c r="S5" s="5">
        <v>0</v>
      </c>
      <c r="T5" s="5">
        <v>0</v>
      </c>
      <c r="U5" s="4">
        <f>O5*Rates!$D$22+P5*Rates!$D$23+Q5*Rates!$D$24+R5*Rates!$D$25+S5*Rates!$D$26</f>
        <v>1071811.74</v>
      </c>
      <c r="V5" s="5">
        <f t="shared" si="2"/>
        <v>1242880.72</v>
      </c>
    </row>
    <row r="6" spans="1:22" x14ac:dyDescent="0.25">
      <c r="A6" s="3" t="s">
        <v>104</v>
      </c>
      <c r="B6" s="3" t="s">
        <v>101</v>
      </c>
      <c r="C6" s="4">
        <v>7065.8</v>
      </c>
      <c r="D6" s="4">
        <v>277740</v>
      </c>
      <c r="E6" s="4">
        <v>370292</v>
      </c>
      <c r="F6" s="4">
        <v>56291</v>
      </c>
      <c r="G6" s="4">
        <v>63699</v>
      </c>
      <c r="H6" s="4">
        <f t="shared" si="0"/>
        <v>19109.7</v>
      </c>
      <c r="I6" s="4">
        <f>D6*Rates!$D$2</f>
        <v>83322</v>
      </c>
      <c r="J6" s="4">
        <f>E6*Rates!$D$3</f>
        <v>777613.20000000007</v>
      </c>
      <c r="K6" s="4">
        <f>F6*Rates!$D$4</f>
        <v>225164</v>
      </c>
      <c r="L6" s="4">
        <f>H6*Rates!$D$5</f>
        <v>252248.04</v>
      </c>
      <c r="M6" s="4">
        <f t="shared" si="1"/>
        <v>1338347.2400000002</v>
      </c>
      <c r="N6" s="5">
        <v>38.630000000000003</v>
      </c>
      <c r="O6" s="5">
        <v>7.1</v>
      </c>
      <c r="P6" s="5">
        <v>0</v>
      </c>
      <c r="Q6" s="5">
        <v>0</v>
      </c>
      <c r="R6" s="5">
        <v>4.38</v>
      </c>
      <c r="S6" s="5">
        <v>0</v>
      </c>
      <c r="T6" s="5">
        <v>0.4</v>
      </c>
      <c r="U6" s="4">
        <f>O6*Rates!$D$22+P6*Rates!$D$23+Q6*Rates!$D$24+R6*Rates!$D$25+S6*Rates!$D$26</f>
        <v>3662352.76</v>
      </c>
      <c r="V6" s="5">
        <f t="shared" si="2"/>
        <v>5000700</v>
      </c>
    </row>
    <row r="7" spans="1:22" x14ac:dyDescent="0.25">
      <c r="A7" s="3" t="s">
        <v>105</v>
      </c>
      <c r="B7" s="3" t="s">
        <v>101</v>
      </c>
      <c r="C7" s="4">
        <v>1270.2</v>
      </c>
      <c r="D7" s="4">
        <v>31640</v>
      </c>
      <c r="E7" s="4">
        <v>42278</v>
      </c>
      <c r="F7" s="4">
        <v>2759</v>
      </c>
      <c r="G7" s="4">
        <v>11451</v>
      </c>
      <c r="H7" s="4">
        <f t="shared" si="0"/>
        <v>3435.2999999999997</v>
      </c>
      <c r="I7" s="4">
        <f>D7*Rates!$D$2</f>
        <v>9492</v>
      </c>
      <c r="J7" s="4">
        <f>E7*Rates!$D$3</f>
        <v>88783.8</v>
      </c>
      <c r="K7" s="4">
        <f>F7*Rates!$D$4</f>
        <v>11036</v>
      </c>
      <c r="L7" s="4">
        <f>H7*Rates!$D$5</f>
        <v>45345.959999999992</v>
      </c>
      <c r="M7" s="4">
        <f t="shared" si="1"/>
        <v>154657.76</v>
      </c>
      <c r="N7" s="5">
        <v>5.21</v>
      </c>
      <c r="O7" s="5">
        <v>0.13</v>
      </c>
      <c r="P7" s="5">
        <v>0</v>
      </c>
      <c r="Q7" s="5">
        <v>0</v>
      </c>
      <c r="R7" s="5">
        <v>0.22</v>
      </c>
      <c r="S7" s="5">
        <v>0</v>
      </c>
      <c r="T7" s="5">
        <v>0</v>
      </c>
      <c r="U7" s="4">
        <f>O7*Rates!$D$22+P7*Rates!$D$23+Q7*Rates!$D$24+R7*Rates!$D$25+S7*Rates!$D$26</f>
        <v>172579.91</v>
      </c>
      <c r="V7" s="5">
        <f t="shared" si="2"/>
        <v>327237.67000000004</v>
      </c>
    </row>
    <row r="8" spans="1:22" x14ac:dyDescent="0.25">
      <c r="A8" s="3" t="s">
        <v>106</v>
      </c>
      <c r="B8" s="3" t="s">
        <v>101</v>
      </c>
      <c r="C8" s="4">
        <v>6507.5</v>
      </c>
      <c r="D8" s="4">
        <v>240484</v>
      </c>
      <c r="E8" s="4">
        <v>209914</v>
      </c>
      <c r="F8" s="4">
        <v>95544</v>
      </c>
      <c r="G8" s="4">
        <v>58666</v>
      </c>
      <c r="H8" s="4">
        <f t="shared" si="0"/>
        <v>17599.8</v>
      </c>
      <c r="I8" s="4">
        <f>D8*Rates!$D$2</f>
        <v>72145.2</v>
      </c>
      <c r="J8" s="4">
        <f>E8*Rates!$D$3</f>
        <v>440819.4</v>
      </c>
      <c r="K8" s="4">
        <f>F8*Rates!$D$4</f>
        <v>382176</v>
      </c>
      <c r="L8" s="4">
        <f>H8*Rates!$D$5</f>
        <v>232317.36</v>
      </c>
      <c r="M8" s="4">
        <f t="shared" si="1"/>
        <v>1127457.96</v>
      </c>
      <c r="N8" s="5">
        <v>32.049999999999997</v>
      </c>
      <c r="O8" s="5">
        <v>1.6</v>
      </c>
      <c r="P8" s="5">
        <v>0</v>
      </c>
      <c r="Q8" s="5">
        <v>0</v>
      </c>
      <c r="R8" s="5">
        <v>0.34</v>
      </c>
      <c r="S8" s="5">
        <v>0</v>
      </c>
      <c r="T8" s="5">
        <v>0.41</v>
      </c>
      <c r="U8" s="4">
        <f>O8*Rates!$D$22+P8*Rates!$D$23+Q8*Rates!$D$24+R8*Rates!$D$25+S8*Rates!$D$26</f>
        <v>336933.38</v>
      </c>
      <c r="V8" s="5">
        <f t="shared" si="2"/>
        <v>1464391.3399999999</v>
      </c>
    </row>
    <row r="9" spans="1:22" x14ac:dyDescent="0.25">
      <c r="A9" s="3" t="s">
        <v>107</v>
      </c>
      <c r="B9" s="3" t="s">
        <v>99</v>
      </c>
      <c r="C9" s="4">
        <v>8044.2</v>
      </c>
      <c r="D9" s="4">
        <v>1588936</v>
      </c>
      <c r="E9" s="4">
        <v>3647137</v>
      </c>
      <c r="F9" s="4">
        <v>34542</v>
      </c>
      <c r="G9" s="4">
        <v>74177</v>
      </c>
      <c r="H9" s="4">
        <f t="shared" si="0"/>
        <v>22253.1</v>
      </c>
      <c r="I9" s="4">
        <f>D9*Rates!$D$2</f>
        <v>476680.8</v>
      </c>
      <c r="J9" s="4">
        <f>E9*Rates!$D$3</f>
        <v>7658987.7000000002</v>
      </c>
      <c r="K9" s="4">
        <f>F9*Rates!$D$4</f>
        <v>138168</v>
      </c>
      <c r="L9" s="4">
        <f>H9*Rates!$D$5</f>
        <v>293740.92</v>
      </c>
      <c r="M9" s="4">
        <f t="shared" si="1"/>
        <v>8567577.4199999999</v>
      </c>
      <c r="N9" s="5">
        <v>172.08</v>
      </c>
      <c r="O9" s="5">
        <v>10.210000000000001</v>
      </c>
      <c r="P9" s="5">
        <v>0</v>
      </c>
      <c r="Q9" s="5">
        <v>0</v>
      </c>
      <c r="R9" s="5">
        <v>15.46</v>
      </c>
      <c r="S9" s="5">
        <v>0</v>
      </c>
      <c r="T9" s="5">
        <v>2.75</v>
      </c>
      <c r="U9" s="4">
        <f>O9*Rates!$D$22+P9*Rates!$D$23+Q9*Rates!$D$24+R9*Rates!$D$25+S9*Rates!$D$26</f>
        <v>12181591.310000001</v>
      </c>
      <c r="V9" s="5">
        <f t="shared" si="2"/>
        <v>20749168.73</v>
      </c>
    </row>
    <row r="10" spans="1:22" x14ac:dyDescent="0.25">
      <c r="A10" s="3" t="s">
        <v>108</v>
      </c>
      <c r="B10" s="3" t="s">
        <v>109</v>
      </c>
      <c r="C10" s="4">
        <v>11436</v>
      </c>
      <c r="D10" s="4">
        <v>1245032</v>
      </c>
      <c r="E10" s="4">
        <v>2305908</v>
      </c>
      <c r="F10" s="4">
        <v>75612</v>
      </c>
      <c r="G10" s="4">
        <v>103096</v>
      </c>
      <c r="H10" s="4">
        <f t="shared" si="0"/>
        <v>30928.799999999999</v>
      </c>
      <c r="I10" s="4">
        <f>D10*Rates!$D$2</f>
        <v>373509.6</v>
      </c>
      <c r="J10" s="4">
        <f>E10*Rates!$D$3</f>
        <v>4842406.8</v>
      </c>
      <c r="K10" s="4">
        <f>F10*Rates!$D$4</f>
        <v>302448</v>
      </c>
      <c r="L10" s="4">
        <f>H10*Rates!$D$5</f>
        <v>408260.16</v>
      </c>
      <c r="M10" s="4">
        <f t="shared" si="1"/>
        <v>5926624.5599999996</v>
      </c>
      <c r="N10" s="5">
        <v>142.56</v>
      </c>
      <c r="O10" s="5">
        <v>15.86</v>
      </c>
      <c r="P10" s="5">
        <v>0</v>
      </c>
      <c r="Q10" s="5">
        <v>0</v>
      </c>
      <c r="R10" s="5">
        <v>0.92</v>
      </c>
      <c r="S10" s="5">
        <v>0</v>
      </c>
      <c r="T10" s="5">
        <v>11.47</v>
      </c>
      <c r="U10" s="4">
        <f>O10*Rates!$D$22+P10*Rates!$D$23+Q10*Rates!$D$24+R10*Rates!$D$25+S10*Rates!$D$26</f>
        <v>1490410.7799999998</v>
      </c>
      <c r="V10" s="5">
        <f t="shared" si="2"/>
        <v>7417035.3399999999</v>
      </c>
    </row>
    <row r="11" spans="1:22" x14ac:dyDescent="0.25">
      <c r="A11" s="3" t="s">
        <v>110</v>
      </c>
      <c r="B11" s="3" t="s">
        <v>109</v>
      </c>
      <c r="C11" s="4">
        <v>13878.4</v>
      </c>
      <c r="D11" s="4">
        <v>887264</v>
      </c>
      <c r="E11" s="4">
        <v>1892850</v>
      </c>
      <c r="F11" s="4">
        <v>67075</v>
      </c>
      <c r="G11" s="4">
        <v>125114</v>
      </c>
      <c r="H11" s="4">
        <f t="shared" si="0"/>
        <v>37534.199999999997</v>
      </c>
      <c r="I11" s="4">
        <f>D11*Rates!$D$2</f>
        <v>266179.20000000001</v>
      </c>
      <c r="J11" s="4">
        <f>E11*Rates!$D$3</f>
        <v>3974985</v>
      </c>
      <c r="K11" s="4">
        <f>F11*Rates!$D$4</f>
        <v>268300</v>
      </c>
      <c r="L11" s="4">
        <f>H11*Rates!$D$5</f>
        <v>495451.43999999994</v>
      </c>
      <c r="M11" s="4">
        <f t="shared" si="1"/>
        <v>5004915.6400000006</v>
      </c>
      <c r="N11" s="5">
        <v>110.15</v>
      </c>
      <c r="O11" s="5">
        <v>18.8</v>
      </c>
      <c r="P11" s="5">
        <v>0</v>
      </c>
      <c r="Q11" s="5">
        <v>0</v>
      </c>
      <c r="R11" s="5">
        <v>22.76</v>
      </c>
      <c r="S11" s="5">
        <v>0</v>
      </c>
      <c r="T11" s="5">
        <v>0.04</v>
      </c>
      <c r="U11" s="4">
        <f>O11*Rates!$D$22+P11*Rates!$D$23+Q11*Rates!$D$24+R11*Rates!$D$25+S11*Rates!$D$26</f>
        <v>18122732.920000002</v>
      </c>
      <c r="V11" s="5">
        <f t="shared" si="2"/>
        <v>23127648.560000002</v>
      </c>
    </row>
    <row r="12" spans="1:22" x14ac:dyDescent="0.25">
      <c r="A12" s="3" t="s">
        <v>111</v>
      </c>
      <c r="B12" s="3" t="s">
        <v>109</v>
      </c>
      <c r="C12" s="4">
        <v>8276.7999999999993</v>
      </c>
      <c r="D12" s="4">
        <v>1071788</v>
      </c>
      <c r="E12" s="4">
        <v>1893135</v>
      </c>
      <c r="F12" s="4">
        <v>105785</v>
      </c>
      <c r="G12" s="4">
        <v>74616</v>
      </c>
      <c r="H12" s="4">
        <f t="shared" si="0"/>
        <v>22384.799999999999</v>
      </c>
      <c r="I12" s="4">
        <f>D12*Rates!$D$2</f>
        <v>321536.39999999997</v>
      </c>
      <c r="J12" s="4">
        <f>E12*Rates!$D$3</f>
        <v>3975583.5</v>
      </c>
      <c r="K12" s="4">
        <f>F12*Rates!$D$4</f>
        <v>423140</v>
      </c>
      <c r="L12" s="4">
        <f>H12*Rates!$D$5</f>
        <v>295479.36</v>
      </c>
      <c r="M12" s="4">
        <f t="shared" si="1"/>
        <v>5015739.2600000007</v>
      </c>
      <c r="N12" s="5">
        <v>119</v>
      </c>
      <c r="O12" s="5">
        <v>23.93</v>
      </c>
      <c r="P12" s="5">
        <v>0</v>
      </c>
      <c r="Q12" s="5">
        <v>0</v>
      </c>
      <c r="R12" s="5">
        <v>22.82</v>
      </c>
      <c r="S12" s="5">
        <v>0</v>
      </c>
      <c r="T12" s="5">
        <v>2.61</v>
      </c>
      <c r="U12" s="4">
        <f>O12*Rates!$D$22+P12*Rates!$D$23+Q12*Rates!$D$24+R12*Rates!$D$25+S12*Rates!$D$26</f>
        <v>18425490.309999999</v>
      </c>
      <c r="V12" s="5">
        <f t="shared" si="2"/>
        <v>23441229.57</v>
      </c>
    </row>
    <row r="13" spans="1:22" x14ac:dyDescent="0.25">
      <c r="A13" s="3" t="s">
        <v>112</v>
      </c>
      <c r="B13" s="3" t="s">
        <v>109</v>
      </c>
      <c r="C13" s="4">
        <v>9916.7000000000007</v>
      </c>
      <c r="D13" s="4">
        <v>497652</v>
      </c>
      <c r="E13" s="4">
        <v>543058</v>
      </c>
      <c r="F13" s="4">
        <v>225722</v>
      </c>
      <c r="G13" s="4">
        <v>89399</v>
      </c>
      <c r="H13" s="4">
        <f t="shared" si="0"/>
        <v>26819.7</v>
      </c>
      <c r="I13" s="4">
        <f>D13*Rates!$D$2</f>
        <v>149295.6</v>
      </c>
      <c r="J13" s="4">
        <f>E13*Rates!$D$3</f>
        <v>1140421.8</v>
      </c>
      <c r="K13" s="4">
        <f>F13*Rates!$D$4</f>
        <v>902888</v>
      </c>
      <c r="L13" s="4">
        <f>H13*Rates!$D$5</f>
        <v>354020.04</v>
      </c>
      <c r="M13" s="4">
        <f t="shared" si="1"/>
        <v>2546625.4400000004</v>
      </c>
      <c r="N13" s="5">
        <v>62.24</v>
      </c>
      <c r="O13" s="5">
        <v>13.92</v>
      </c>
      <c r="P13" s="5">
        <v>0</v>
      </c>
      <c r="Q13" s="5">
        <v>0</v>
      </c>
      <c r="R13" s="5">
        <v>2.86</v>
      </c>
      <c r="S13" s="5">
        <v>0</v>
      </c>
      <c r="T13" s="5">
        <v>0</v>
      </c>
      <c r="U13" s="4">
        <f>O13*Rates!$D$22+P13*Rates!$D$23+Q13*Rates!$D$24+R13*Rates!$D$25+S13*Rates!$D$26</f>
        <v>2857350.3</v>
      </c>
      <c r="V13" s="5">
        <f t="shared" si="2"/>
        <v>5403975.7400000002</v>
      </c>
    </row>
    <row r="14" spans="1:22" x14ac:dyDescent="0.25">
      <c r="A14" s="3" t="s">
        <v>113</v>
      </c>
      <c r="B14" s="3" t="s">
        <v>109</v>
      </c>
      <c r="C14" s="4">
        <v>5159.1000000000004</v>
      </c>
      <c r="D14" s="4">
        <v>260536</v>
      </c>
      <c r="E14" s="4">
        <v>480366</v>
      </c>
      <c r="F14" s="4">
        <v>31311</v>
      </c>
      <c r="G14" s="4">
        <v>46509</v>
      </c>
      <c r="H14" s="4">
        <f t="shared" si="0"/>
        <v>13952.699999999999</v>
      </c>
      <c r="I14" s="4">
        <f>D14*Rates!$D$2</f>
        <v>78160.800000000003</v>
      </c>
      <c r="J14" s="4">
        <f>E14*Rates!$D$3</f>
        <v>1008768.6000000001</v>
      </c>
      <c r="K14" s="4">
        <f>F14*Rates!$D$4</f>
        <v>125244</v>
      </c>
      <c r="L14" s="4">
        <f>H14*Rates!$D$5</f>
        <v>184175.63999999998</v>
      </c>
      <c r="M14" s="4">
        <f t="shared" si="1"/>
        <v>1396349.04</v>
      </c>
      <c r="N14" s="5">
        <v>34.31</v>
      </c>
      <c r="O14" s="5">
        <v>7.16</v>
      </c>
      <c r="P14" s="5">
        <v>0.04</v>
      </c>
      <c r="Q14" s="5">
        <v>0</v>
      </c>
      <c r="R14" s="5">
        <v>1.77</v>
      </c>
      <c r="S14" s="5">
        <v>0</v>
      </c>
      <c r="T14" s="5">
        <v>0</v>
      </c>
      <c r="U14" s="4">
        <f>O14*Rates!$D$22+P14*Rates!$D$23+Q14*Rates!$D$24+R14*Rates!$D$25+S14*Rates!$D$26</f>
        <v>1754819.93</v>
      </c>
      <c r="V14" s="5">
        <f t="shared" si="2"/>
        <v>3151168.9699999997</v>
      </c>
    </row>
    <row r="15" spans="1:22" x14ac:dyDescent="0.25">
      <c r="A15" s="3" t="s">
        <v>114</v>
      </c>
      <c r="B15" s="3" t="s">
        <v>109</v>
      </c>
      <c r="C15" s="4">
        <v>7405.9</v>
      </c>
      <c r="D15" s="4">
        <v>428176</v>
      </c>
      <c r="E15" s="4">
        <v>826218</v>
      </c>
      <c r="F15" s="4">
        <v>38527</v>
      </c>
      <c r="G15" s="4">
        <v>66764</v>
      </c>
      <c r="H15" s="4">
        <f t="shared" si="0"/>
        <v>20029.2</v>
      </c>
      <c r="I15" s="4">
        <f>D15*Rates!$D$2</f>
        <v>128452.79999999999</v>
      </c>
      <c r="J15" s="4">
        <f>E15*Rates!$D$3</f>
        <v>1735057.8</v>
      </c>
      <c r="K15" s="4">
        <f>F15*Rates!$D$4</f>
        <v>154108</v>
      </c>
      <c r="L15" s="4">
        <f>H15*Rates!$D$5</f>
        <v>264385.44</v>
      </c>
      <c r="M15" s="4">
        <f t="shared" si="1"/>
        <v>2282004.04</v>
      </c>
      <c r="N15" s="5">
        <v>54.39</v>
      </c>
      <c r="O15" s="5">
        <v>14.08</v>
      </c>
      <c r="P15" s="5">
        <v>0.01</v>
      </c>
      <c r="Q15" s="5">
        <v>0</v>
      </c>
      <c r="R15" s="5">
        <v>3.47</v>
      </c>
      <c r="S15" s="5">
        <v>0</v>
      </c>
      <c r="T15" s="5">
        <v>0.42</v>
      </c>
      <c r="U15" s="4">
        <f>O15*Rates!$D$22+P15*Rates!$D$23+Q15*Rates!$D$24+R15*Rates!$D$25+S15*Rates!$D$26</f>
        <v>3340675.7100000004</v>
      </c>
      <c r="V15" s="5">
        <f t="shared" si="2"/>
        <v>5622679.75</v>
      </c>
    </row>
    <row r="16" spans="1:22" x14ac:dyDescent="0.25">
      <c r="A16" s="3" t="s">
        <v>115</v>
      </c>
      <c r="B16" s="3" t="s">
        <v>101</v>
      </c>
      <c r="C16" s="4">
        <v>5884.6</v>
      </c>
      <c r="D16" s="4">
        <v>189292</v>
      </c>
      <c r="E16" s="4">
        <v>230779</v>
      </c>
      <c r="F16" s="4">
        <v>37332</v>
      </c>
      <c r="G16" s="4">
        <v>53050</v>
      </c>
      <c r="H16" s="4">
        <f t="shared" si="0"/>
        <v>15915</v>
      </c>
      <c r="I16" s="4">
        <f>D16*Rates!$D$2</f>
        <v>56787.6</v>
      </c>
      <c r="J16" s="4">
        <f>E16*Rates!$D$3</f>
        <v>484635.9</v>
      </c>
      <c r="K16" s="4">
        <f>F16*Rates!$D$4</f>
        <v>149328</v>
      </c>
      <c r="L16" s="4">
        <f>H16*Rates!$D$5</f>
        <v>210078</v>
      </c>
      <c r="M16" s="4">
        <f t="shared" si="1"/>
        <v>900829.5</v>
      </c>
      <c r="N16" s="5">
        <v>28.28</v>
      </c>
      <c r="O16" s="5">
        <v>0.75</v>
      </c>
      <c r="P16" s="5">
        <v>0</v>
      </c>
      <c r="Q16" s="5">
        <v>0</v>
      </c>
      <c r="R16" s="5">
        <v>1.46</v>
      </c>
      <c r="S16" s="5">
        <v>0</v>
      </c>
      <c r="T16" s="5">
        <v>0</v>
      </c>
      <c r="U16" s="4">
        <f>O16*Rates!$D$22+P16*Rates!$D$23+Q16*Rates!$D$24+R16*Rates!$D$25+S16*Rates!$D$26</f>
        <v>1139645.3699999999</v>
      </c>
      <c r="V16" s="5">
        <f t="shared" si="2"/>
        <v>2040474.8699999999</v>
      </c>
    </row>
    <row r="17" spans="1:22" x14ac:dyDescent="0.25">
      <c r="A17" s="3" t="s">
        <v>116</v>
      </c>
      <c r="B17" s="3" t="s">
        <v>101</v>
      </c>
      <c r="C17" s="4">
        <v>5489.1</v>
      </c>
      <c r="D17" s="4">
        <v>246408</v>
      </c>
      <c r="E17" s="4">
        <v>482712</v>
      </c>
      <c r="F17" s="4">
        <v>13434</v>
      </c>
      <c r="G17" s="4">
        <v>49485</v>
      </c>
      <c r="H17" s="4">
        <f t="shared" si="0"/>
        <v>14845.5</v>
      </c>
      <c r="I17" s="4">
        <f>D17*Rates!$D$2</f>
        <v>73922.399999999994</v>
      </c>
      <c r="J17" s="4">
        <f>E17*Rates!$D$3</f>
        <v>1013695.2000000001</v>
      </c>
      <c r="K17" s="4">
        <f>F17*Rates!$D$4</f>
        <v>53736</v>
      </c>
      <c r="L17" s="4">
        <f>H17*Rates!$D$5</f>
        <v>195960.59999999998</v>
      </c>
      <c r="M17" s="4">
        <f t="shared" si="1"/>
        <v>1337314.2000000002</v>
      </c>
      <c r="N17" s="5">
        <v>34.06</v>
      </c>
      <c r="O17" s="5">
        <v>8.27</v>
      </c>
      <c r="P17" s="5">
        <v>0</v>
      </c>
      <c r="Q17" s="5">
        <v>0</v>
      </c>
      <c r="R17" s="5">
        <v>10.02</v>
      </c>
      <c r="S17" s="5">
        <v>0</v>
      </c>
      <c r="T17" s="5">
        <v>0</v>
      </c>
      <c r="U17" s="4">
        <f>O17*Rates!$D$22+P17*Rates!$D$23+Q17*Rates!$D$24+R17*Rates!$D$25+S17*Rates!$D$26</f>
        <v>7978128.9699999997</v>
      </c>
      <c r="V17" s="5">
        <f t="shared" si="2"/>
        <v>9315443.1699999999</v>
      </c>
    </row>
    <row r="18" spans="1:22" x14ac:dyDescent="0.25">
      <c r="A18" s="3" t="s">
        <v>117</v>
      </c>
      <c r="B18" s="3" t="s">
        <v>101</v>
      </c>
      <c r="C18" s="4">
        <v>5374</v>
      </c>
      <c r="D18" s="4">
        <v>340048</v>
      </c>
      <c r="E18" s="4">
        <v>687369</v>
      </c>
      <c r="F18" s="4">
        <v>28644</v>
      </c>
      <c r="G18" s="4">
        <v>48447</v>
      </c>
      <c r="H18" s="4">
        <f t="shared" si="0"/>
        <v>14534.1</v>
      </c>
      <c r="I18" s="4">
        <f>D18*Rates!$D$2</f>
        <v>102014.39999999999</v>
      </c>
      <c r="J18" s="4">
        <f>E18*Rates!$D$3</f>
        <v>1443474.9000000001</v>
      </c>
      <c r="K18" s="4">
        <f>F18*Rates!$D$4</f>
        <v>114576</v>
      </c>
      <c r="L18" s="4">
        <f>H18*Rates!$D$5</f>
        <v>191850.12</v>
      </c>
      <c r="M18" s="4">
        <f t="shared" si="1"/>
        <v>1851915.42</v>
      </c>
      <c r="N18" s="5">
        <v>42.11</v>
      </c>
      <c r="O18" s="5">
        <v>17.38</v>
      </c>
      <c r="P18" s="5">
        <v>0</v>
      </c>
      <c r="Q18" s="5">
        <v>0</v>
      </c>
      <c r="R18" s="5">
        <v>4.05</v>
      </c>
      <c r="S18" s="5">
        <v>0</v>
      </c>
      <c r="T18" s="5">
        <v>1.82</v>
      </c>
      <c r="U18" s="4">
        <f>O18*Rates!$D$22+P18*Rates!$D$23+Q18*Rates!$D$24+R18*Rates!$D$25+S18*Rates!$D$26</f>
        <v>3929212.67</v>
      </c>
      <c r="V18" s="5">
        <f t="shared" si="2"/>
        <v>5781128.0899999999</v>
      </c>
    </row>
    <row r="19" spans="1:22" x14ac:dyDescent="0.25">
      <c r="A19" s="3" t="s">
        <v>118</v>
      </c>
      <c r="B19" s="3" t="s">
        <v>101</v>
      </c>
      <c r="C19" s="4">
        <v>2427.5</v>
      </c>
      <c r="D19" s="4">
        <v>98972</v>
      </c>
      <c r="E19" s="4">
        <v>65857</v>
      </c>
      <c r="F19" s="4">
        <v>40055</v>
      </c>
      <c r="G19" s="4">
        <v>21884</v>
      </c>
      <c r="H19" s="4">
        <f t="shared" si="0"/>
        <v>6565.2</v>
      </c>
      <c r="I19" s="4">
        <f>D19*Rates!$D$2</f>
        <v>29691.599999999999</v>
      </c>
      <c r="J19" s="4">
        <f>E19*Rates!$D$3</f>
        <v>138299.70000000001</v>
      </c>
      <c r="K19" s="4">
        <f>F19*Rates!$D$4</f>
        <v>160220</v>
      </c>
      <c r="L19" s="4">
        <f>H19*Rates!$D$5</f>
        <v>86660.64</v>
      </c>
      <c r="M19" s="4">
        <f t="shared" si="1"/>
        <v>414871.94000000006</v>
      </c>
      <c r="N19" s="5">
        <v>12.84</v>
      </c>
      <c r="O19" s="5">
        <v>1.21</v>
      </c>
      <c r="P19" s="5">
        <v>0</v>
      </c>
      <c r="Q19" s="5">
        <v>0</v>
      </c>
      <c r="R19" s="5">
        <v>1.36</v>
      </c>
      <c r="S19" s="5">
        <v>0</v>
      </c>
      <c r="T19" s="5">
        <v>0</v>
      </c>
      <c r="U19" s="4">
        <f>O19*Rates!$D$22+P19*Rates!$D$23+Q19*Rates!$D$24+R19*Rates!$D$25+S19*Rates!$D$26</f>
        <v>1087252.6100000001</v>
      </c>
      <c r="V19" s="5">
        <f t="shared" si="2"/>
        <v>1502124.5500000003</v>
      </c>
    </row>
    <row r="20" spans="1:22" x14ac:dyDescent="0.25">
      <c r="A20" s="3" t="s">
        <v>119</v>
      </c>
      <c r="B20" s="3" t="s">
        <v>101</v>
      </c>
      <c r="C20" s="4">
        <v>3773.2</v>
      </c>
      <c r="D20" s="4">
        <v>94724</v>
      </c>
      <c r="E20" s="4">
        <v>97385</v>
      </c>
      <c r="F20" s="4">
        <v>16881</v>
      </c>
      <c r="G20" s="4">
        <v>34016</v>
      </c>
      <c r="H20" s="4">
        <f t="shared" si="0"/>
        <v>10204.799999999999</v>
      </c>
      <c r="I20" s="4">
        <f>D20*Rates!$D$2</f>
        <v>28417.200000000001</v>
      </c>
      <c r="J20" s="4">
        <f>E20*Rates!$D$3</f>
        <v>204508.5</v>
      </c>
      <c r="K20" s="4">
        <f>F20*Rates!$D$4</f>
        <v>67524</v>
      </c>
      <c r="L20" s="4">
        <f>H20*Rates!$D$5</f>
        <v>134703.35999999999</v>
      </c>
      <c r="M20" s="4">
        <f t="shared" si="1"/>
        <v>435153.06</v>
      </c>
      <c r="N20" s="5">
        <v>15.47</v>
      </c>
      <c r="O20" s="5">
        <v>0</v>
      </c>
      <c r="P20" s="5">
        <v>0</v>
      </c>
      <c r="Q20" s="5">
        <v>0</v>
      </c>
      <c r="R20" s="5">
        <v>2.84</v>
      </c>
      <c r="S20" s="5">
        <v>0</v>
      </c>
      <c r="T20" s="5">
        <v>0.75</v>
      </c>
      <c r="U20" s="4">
        <f>O20*Rates!$D$22+P20*Rates!$D$23+Q20*Rates!$D$24+R20*Rates!$D$25+S20*Rates!$D$26</f>
        <v>2143623.48</v>
      </c>
      <c r="V20" s="5">
        <f t="shared" si="2"/>
        <v>2578776.54</v>
      </c>
    </row>
    <row r="21" spans="1:22" x14ac:dyDescent="0.25">
      <c r="A21" s="3" t="s">
        <v>120</v>
      </c>
      <c r="B21" s="3" t="s">
        <v>101</v>
      </c>
      <c r="C21" s="4">
        <v>1642.2</v>
      </c>
      <c r="D21" s="4">
        <v>112704</v>
      </c>
      <c r="E21" s="4">
        <v>43438</v>
      </c>
      <c r="F21" s="4">
        <v>37438</v>
      </c>
      <c r="G21" s="4">
        <v>14804</v>
      </c>
      <c r="H21" s="4">
        <f t="shared" si="0"/>
        <v>4441.2</v>
      </c>
      <c r="I21" s="4">
        <f>D21*Rates!$D$2</f>
        <v>33811.199999999997</v>
      </c>
      <c r="J21" s="4">
        <f>E21*Rates!$D$3</f>
        <v>91219.8</v>
      </c>
      <c r="K21" s="4">
        <f>F21*Rates!$D$4</f>
        <v>149752</v>
      </c>
      <c r="L21" s="4">
        <f>H21*Rates!$D$5</f>
        <v>58623.839999999997</v>
      </c>
      <c r="M21" s="4">
        <f t="shared" si="1"/>
        <v>333406.83999999997</v>
      </c>
      <c r="N21" s="5">
        <v>13.22</v>
      </c>
      <c r="O21" s="5">
        <v>0.17</v>
      </c>
      <c r="P21" s="5">
        <v>0</v>
      </c>
      <c r="Q21" s="5">
        <v>0</v>
      </c>
      <c r="R21" s="5">
        <v>0.61</v>
      </c>
      <c r="S21" s="5">
        <v>0</v>
      </c>
      <c r="T21" s="5">
        <v>7.0000000000000007E-2</v>
      </c>
      <c r="U21" s="4">
        <f>O21*Rates!$D$22+P21*Rates!$D$23+Q21*Rates!$D$24+R21*Rates!$D$25+S21*Rates!$D$26</f>
        <v>468958.3</v>
      </c>
      <c r="V21" s="5">
        <f t="shared" si="2"/>
        <v>802365.1399999999</v>
      </c>
    </row>
    <row r="22" spans="1:22" x14ac:dyDescent="0.25">
      <c r="A22" s="3" t="s">
        <v>121</v>
      </c>
      <c r="B22" s="3" t="s">
        <v>101</v>
      </c>
      <c r="C22" s="4">
        <v>3944.6</v>
      </c>
      <c r="D22" s="4">
        <v>127808</v>
      </c>
      <c r="E22" s="4">
        <v>224150</v>
      </c>
      <c r="F22" s="4">
        <v>7405</v>
      </c>
      <c r="G22" s="4">
        <v>35561</v>
      </c>
      <c r="H22" s="4">
        <f t="shared" si="0"/>
        <v>10668.3</v>
      </c>
      <c r="I22" s="4">
        <f>D22*Rates!$D$2</f>
        <v>38342.400000000001</v>
      </c>
      <c r="J22" s="4">
        <f>E22*Rates!$D$3</f>
        <v>470715</v>
      </c>
      <c r="K22" s="4">
        <f>F22*Rates!$D$4</f>
        <v>29620</v>
      </c>
      <c r="L22" s="4">
        <f>H22*Rates!$D$5</f>
        <v>140821.55999999997</v>
      </c>
      <c r="M22" s="4">
        <f t="shared" si="1"/>
        <v>679498.96</v>
      </c>
      <c r="N22" s="5">
        <v>19.46</v>
      </c>
      <c r="O22" s="5">
        <v>3.32</v>
      </c>
      <c r="P22" s="5">
        <v>0</v>
      </c>
      <c r="Q22" s="5">
        <v>0</v>
      </c>
      <c r="R22" s="5">
        <v>0.9</v>
      </c>
      <c r="S22" s="5">
        <v>0</v>
      </c>
      <c r="T22" s="5">
        <v>0</v>
      </c>
      <c r="U22" s="4">
        <f>O22*Rates!$D$22+P22*Rates!$D$23+Q22*Rates!$D$24+R22*Rates!$D$25+S22*Rates!$D$26</f>
        <v>845944.78</v>
      </c>
      <c r="V22" s="5">
        <f t="shared" si="2"/>
        <v>1525443.74</v>
      </c>
    </row>
    <row r="23" spans="1:22" x14ac:dyDescent="0.25">
      <c r="A23" s="3" t="s">
        <v>122</v>
      </c>
      <c r="B23" s="3" t="s">
        <v>101</v>
      </c>
      <c r="C23" s="4">
        <v>6807.8</v>
      </c>
      <c r="D23" s="4">
        <v>226048</v>
      </c>
      <c r="E23" s="4">
        <v>420156</v>
      </c>
      <c r="F23" s="4">
        <v>68617</v>
      </c>
      <c r="G23" s="4">
        <v>61372</v>
      </c>
      <c r="H23" s="4">
        <f t="shared" si="0"/>
        <v>18411.599999999999</v>
      </c>
      <c r="I23" s="4">
        <f>D23*Rates!$D$2</f>
        <v>67814.399999999994</v>
      </c>
      <c r="J23" s="4">
        <f>E23*Rates!$D$3</f>
        <v>882327.60000000009</v>
      </c>
      <c r="K23" s="4">
        <f>F23*Rates!$D$4</f>
        <v>274468</v>
      </c>
      <c r="L23" s="4">
        <f>H23*Rates!$D$5</f>
        <v>243033.11999999997</v>
      </c>
      <c r="M23" s="4">
        <f t="shared" si="1"/>
        <v>1467643.1199999999</v>
      </c>
      <c r="N23" s="5">
        <v>33.4</v>
      </c>
      <c r="O23" s="5">
        <v>6.18</v>
      </c>
      <c r="P23" s="5">
        <v>0</v>
      </c>
      <c r="Q23" s="5">
        <v>0</v>
      </c>
      <c r="R23" s="5">
        <v>3.72</v>
      </c>
      <c r="S23" s="5">
        <v>0</v>
      </c>
      <c r="T23" s="5">
        <v>0.08</v>
      </c>
      <c r="U23" s="4">
        <f>O23*Rates!$D$22+P23*Rates!$D$23+Q23*Rates!$D$24+R23*Rates!$D$25+S23*Rates!$D$26</f>
        <v>3118012.8600000003</v>
      </c>
      <c r="V23" s="5">
        <f t="shared" si="2"/>
        <v>4585655.9800000004</v>
      </c>
    </row>
    <row r="24" spans="1:22" x14ac:dyDescent="0.25">
      <c r="A24" s="3" t="s">
        <v>123</v>
      </c>
      <c r="B24" s="3" t="s">
        <v>101</v>
      </c>
      <c r="C24" s="4">
        <v>6425.5</v>
      </c>
      <c r="D24" s="4">
        <v>239308</v>
      </c>
      <c r="E24" s="4">
        <v>391780</v>
      </c>
      <c r="F24" s="4">
        <v>43973</v>
      </c>
      <c r="G24" s="4">
        <v>57926</v>
      </c>
      <c r="H24" s="4">
        <f t="shared" si="0"/>
        <v>17377.8</v>
      </c>
      <c r="I24" s="4">
        <f>D24*Rates!$D$2</f>
        <v>71792.399999999994</v>
      </c>
      <c r="J24" s="4">
        <f>E24*Rates!$D$3</f>
        <v>822738</v>
      </c>
      <c r="K24" s="4">
        <f>F24*Rates!$D$4</f>
        <v>175892</v>
      </c>
      <c r="L24" s="4">
        <f>H24*Rates!$D$5</f>
        <v>229386.96</v>
      </c>
      <c r="M24" s="4">
        <f t="shared" si="1"/>
        <v>1299809.3599999999</v>
      </c>
      <c r="N24" s="5">
        <v>33.71</v>
      </c>
      <c r="O24" s="5">
        <v>8.08</v>
      </c>
      <c r="P24" s="5">
        <v>0.08</v>
      </c>
      <c r="Q24" s="5">
        <v>0</v>
      </c>
      <c r="R24" s="5">
        <v>7.69</v>
      </c>
      <c r="S24" s="5">
        <v>0</v>
      </c>
      <c r="T24" s="5">
        <v>0.64</v>
      </c>
      <c r="U24" s="4">
        <f>O24*Rates!$D$22+P24*Rates!$D$23+Q24*Rates!$D$24+R24*Rates!$D$25+S24*Rates!$D$26</f>
        <v>6328868.0500000007</v>
      </c>
      <c r="V24" s="5">
        <f t="shared" si="2"/>
        <v>7628677.4100000001</v>
      </c>
    </row>
    <row r="25" spans="1:22" x14ac:dyDescent="0.25">
      <c r="A25" s="3" t="s">
        <v>124</v>
      </c>
      <c r="B25" s="3" t="s">
        <v>101</v>
      </c>
      <c r="C25" s="4">
        <v>5108.5</v>
      </c>
      <c r="D25" s="4">
        <v>256864</v>
      </c>
      <c r="E25" s="4">
        <v>417888</v>
      </c>
      <c r="F25" s="4">
        <v>20764</v>
      </c>
      <c r="G25" s="4">
        <v>46053</v>
      </c>
      <c r="H25" s="4">
        <f t="shared" si="0"/>
        <v>13815.9</v>
      </c>
      <c r="I25" s="4">
        <f>D25*Rates!$D$2</f>
        <v>77059.199999999997</v>
      </c>
      <c r="J25" s="4">
        <f>E25*Rates!$D$3</f>
        <v>877564.8</v>
      </c>
      <c r="K25" s="4">
        <f>F25*Rates!$D$4</f>
        <v>83056</v>
      </c>
      <c r="L25" s="4">
        <f>H25*Rates!$D$5</f>
        <v>182369.87999999998</v>
      </c>
      <c r="M25" s="4">
        <f t="shared" si="1"/>
        <v>1220049.8799999999</v>
      </c>
      <c r="N25" s="5">
        <v>34.15</v>
      </c>
      <c r="O25" s="5">
        <v>0.63</v>
      </c>
      <c r="P25" s="5">
        <v>0</v>
      </c>
      <c r="Q25" s="5">
        <v>0</v>
      </c>
      <c r="R25" s="5">
        <v>0.34</v>
      </c>
      <c r="S25" s="5">
        <v>0</v>
      </c>
      <c r="T25" s="5">
        <v>0</v>
      </c>
      <c r="U25" s="4">
        <f>O25*Rates!$D$22+P25*Rates!$D$23+Q25*Rates!$D$24+R25*Rates!$D$25+S25*Rates!$D$26</f>
        <v>288250.05</v>
      </c>
      <c r="V25" s="5">
        <f t="shared" si="2"/>
        <v>1508299.93</v>
      </c>
    </row>
    <row r="26" spans="1:22" x14ac:dyDescent="0.25">
      <c r="A26" s="3" t="s">
        <v>125</v>
      </c>
      <c r="B26" s="3" t="s">
        <v>101</v>
      </c>
      <c r="C26" s="4">
        <v>3019.4</v>
      </c>
      <c r="D26" s="4">
        <v>156160</v>
      </c>
      <c r="E26" s="4">
        <v>244545</v>
      </c>
      <c r="F26" s="4">
        <v>22809</v>
      </c>
      <c r="G26" s="4">
        <v>27220</v>
      </c>
      <c r="H26" s="4">
        <f t="shared" si="0"/>
        <v>8166</v>
      </c>
      <c r="I26" s="4">
        <f>D26*Rates!$D$2</f>
        <v>46848</v>
      </c>
      <c r="J26" s="4">
        <f>E26*Rates!$D$3</f>
        <v>513544.5</v>
      </c>
      <c r="K26" s="4">
        <f>F26*Rates!$D$4</f>
        <v>91236</v>
      </c>
      <c r="L26" s="4">
        <f>H26*Rates!$D$5</f>
        <v>107791.2</v>
      </c>
      <c r="M26" s="4">
        <f t="shared" si="1"/>
        <v>759419.7</v>
      </c>
      <c r="N26" s="5">
        <v>20.53</v>
      </c>
      <c r="O26" s="5">
        <v>0</v>
      </c>
      <c r="P26" s="5">
        <v>0</v>
      </c>
      <c r="Q26" s="5">
        <v>0</v>
      </c>
      <c r="R26" s="5">
        <v>1.22</v>
      </c>
      <c r="S26" s="5">
        <v>0</v>
      </c>
      <c r="T26" s="5">
        <v>0.11</v>
      </c>
      <c r="U26" s="4">
        <f>O26*Rates!$D$22+P26*Rates!$D$23+Q26*Rates!$D$24+R26*Rates!$D$25+S26*Rates!$D$26</f>
        <v>920852.34</v>
      </c>
      <c r="V26" s="5">
        <f t="shared" si="2"/>
        <v>1680272.04</v>
      </c>
    </row>
    <row r="27" spans="1:22" x14ac:dyDescent="0.25">
      <c r="A27" s="3" t="s">
        <v>126</v>
      </c>
      <c r="B27" s="3" t="s">
        <v>101</v>
      </c>
      <c r="C27" s="4">
        <v>1812</v>
      </c>
      <c r="D27" s="4">
        <v>49424</v>
      </c>
      <c r="E27" s="4">
        <v>39463</v>
      </c>
      <c r="F27" s="4">
        <v>22281</v>
      </c>
      <c r="G27" s="4">
        <v>16335</v>
      </c>
      <c r="H27" s="4">
        <f t="shared" si="0"/>
        <v>4900.5</v>
      </c>
      <c r="I27" s="4">
        <f>D27*Rates!$D$2</f>
        <v>14827.199999999999</v>
      </c>
      <c r="J27" s="4">
        <f>E27*Rates!$D$3</f>
        <v>82872.3</v>
      </c>
      <c r="K27" s="4">
        <f>F27*Rates!$D$4</f>
        <v>89124</v>
      </c>
      <c r="L27" s="4">
        <f>H27*Rates!$D$5</f>
        <v>64686.6</v>
      </c>
      <c r="M27" s="4">
        <f t="shared" si="1"/>
        <v>251510.1</v>
      </c>
      <c r="N27" s="5">
        <v>7.43</v>
      </c>
      <c r="O27" s="5">
        <v>3.13</v>
      </c>
      <c r="P27" s="5">
        <v>0</v>
      </c>
      <c r="Q27" s="5">
        <v>0</v>
      </c>
      <c r="R27" s="5">
        <v>0.51</v>
      </c>
      <c r="S27" s="5">
        <v>0</v>
      </c>
      <c r="T27" s="5">
        <v>0</v>
      </c>
      <c r="U27" s="4">
        <f>O27*Rates!$D$22+P27*Rates!$D$23+Q27*Rates!$D$24+R27*Rates!$D$25+S27*Rates!$D$26</f>
        <v>542038.04</v>
      </c>
      <c r="V27" s="5">
        <f t="shared" si="2"/>
        <v>793548.14</v>
      </c>
    </row>
    <row r="28" spans="1:22" x14ac:dyDescent="0.25">
      <c r="A28" s="3" t="s">
        <v>127</v>
      </c>
      <c r="B28" s="3" t="s">
        <v>101</v>
      </c>
      <c r="C28" s="4">
        <v>3755.4</v>
      </c>
      <c r="D28" s="4">
        <v>148412</v>
      </c>
      <c r="E28" s="4">
        <v>253599</v>
      </c>
      <c r="F28" s="4">
        <v>8819</v>
      </c>
      <c r="G28" s="4">
        <v>33855</v>
      </c>
      <c r="H28" s="4">
        <f t="shared" si="0"/>
        <v>10156.5</v>
      </c>
      <c r="I28" s="4">
        <f>D28*Rates!$D$2</f>
        <v>44523.6</v>
      </c>
      <c r="J28" s="4">
        <f>E28*Rates!$D$3</f>
        <v>532557.9</v>
      </c>
      <c r="K28" s="4">
        <f>F28*Rates!$D$4</f>
        <v>35276</v>
      </c>
      <c r="L28" s="4">
        <f>H28*Rates!$D$5</f>
        <v>134065.79999999999</v>
      </c>
      <c r="M28" s="4">
        <f t="shared" si="1"/>
        <v>746423.3</v>
      </c>
      <c r="N28" s="5">
        <v>21.09</v>
      </c>
      <c r="O28" s="5">
        <v>1.05</v>
      </c>
      <c r="P28" s="5">
        <v>0</v>
      </c>
      <c r="Q28" s="5">
        <v>0</v>
      </c>
      <c r="R28" s="5">
        <v>0.05</v>
      </c>
      <c r="S28" s="5">
        <v>0</v>
      </c>
      <c r="T28" s="5">
        <v>0</v>
      </c>
      <c r="U28" s="4">
        <f>O28*Rates!$D$22+P28*Rates!$D$23+Q28*Rates!$D$24+R28*Rates!$D$25+S28*Rates!$D$26</f>
        <v>90438.3</v>
      </c>
      <c r="V28" s="5">
        <f t="shared" si="2"/>
        <v>836861.60000000009</v>
      </c>
    </row>
    <row r="29" spans="1:22" x14ac:dyDescent="0.25">
      <c r="A29" s="3" t="s">
        <v>128</v>
      </c>
      <c r="B29" s="3" t="s">
        <v>101</v>
      </c>
      <c r="C29" s="4">
        <v>1088.9000000000001</v>
      </c>
      <c r="D29" s="4">
        <v>26852</v>
      </c>
      <c r="E29" s="4">
        <v>39366</v>
      </c>
      <c r="F29" s="4">
        <v>3026</v>
      </c>
      <c r="G29" s="4">
        <v>9817</v>
      </c>
      <c r="H29" s="4">
        <f t="shared" si="0"/>
        <v>2945.1</v>
      </c>
      <c r="I29" s="4">
        <f>D29*Rates!$D$2</f>
        <v>8055.5999999999995</v>
      </c>
      <c r="J29" s="4">
        <f>E29*Rates!$D$3</f>
        <v>82668.600000000006</v>
      </c>
      <c r="K29" s="4">
        <f>F29*Rates!$D$4</f>
        <v>12104</v>
      </c>
      <c r="L29" s="4">
        <f>H29*Rates!$D$5</f>
        <v>38875.32</v>
      </c>
      <c r="M29" s="4">
        <f t="shared" si="1"/>
        <v>141703.52000000002</v>
      </c>
      <c r="N29" s="5">
        <v>4.63</v>
      </c>
      <c r="O29" s="5">
        <v>0</v>
      </c>
      <c r="P29" s="5">
        <v>0.08</v>
      </c>
      <c r="Q29" s="5">
        <v>0</v>
      </c>
      <c r="R29" s="5">
        <v>0.44</v>
      </c>
      <c r="S29" s="5">
        <v>0</v>
      </c>
      <c r="T29" s="5">
        <v>0.2</v>
      </c>
      <c r="U29" s="4">
        <f>O29*Rates!$D$22+P29*Rates!$D$23+Q29*Rates!$D$24+R29*Rates!$D$25+S29*Rates!$D$26</f>
        <v>451062.68</v>
      </c>
      <c r="V29" s="5">
        <f t="shared" si="2"/>
        <v>592766.19999999995</v>
      </c>
    </row>
    <row r="30" spans="1:22" x14ac:dyDescent="0.25">
      <c r="A30" s="3" t="s">
        <v>129</v>
      </c>
      <c r="B30" s="3" t="s">
        <v>99</v>
      </c>
      <c r="C30" s="4">
        <v>17552.8</v>
      </c>
      <c r="D30" s="4">
        <v>2009096</v>
      </c>
      <c r="E30" s="4">
        <v>5241615</v>
      </c>
      <c r="F30" s="4">
        <v>44994</v>
      </c>
      <c r="G30" s="4">
        <v>158238</v>
      </c>
      <c r="H30" s="4">
        <f t="shared" si="0"/>
        <v>47471.4</v>
      </c>
      <c r="I30" s="4">
        <f>D30*Rates!$D$2</f>
        <v>602728.79999999993</v>
      </c>
      <c r="J30" s="4">
        <f>E30*Rates!$D$3</f>
        <v>11007391.5</v>
      </c>
      <c r="K30" s="4">
        <f>F30*Rates!$D$4</f>
        <v>179976</v>
      </c>
      <c r="L30" s="4">
        <f>H30*Rates!$D$5</f>
        <v>626622.48</v>
      </c>
      <c r="M30" s="4">
        <f t="shared" si="1"/>
        <v>12416718.780000001</v>
      </c>
      <c r="N30" s="5">
        <v>230.45</v>
      </c>
      <c r="O30" s="5">
        <v>26.1</v>
      </c>
      <c r="P30" s="5">
        <v>0.9</v>
      </c>
      <c r="Q30" s="5">
        <v>0</v>
      </c>
      <c r="R30" s="5">
        <v>18.11</v>
      </c>
      <c r="S30" s="5">
        <v>0</v>
      </c>
      <c r="T30" s="5">
        <v>0.9</v>
      </c>
      <c r="U30" s="4">
        <f>O30*Rates!$D$22+P30*Rates!$D$23+Q30*Rates!$D$24+R30*Rates!$D$25+S30*Rates!$D$26</f>
        <v>16317516.57</v>
      </c>
      <c r="V30" s="5">
        <f t="shared" si="2"/>
        <v>28734235.350000001</v>
      </c>
    </row>
    <row r="31" spans="1:22" x14ac:dyDescent="0.25">
      <c r="A31" s="3" t="s">
        <v>130</v>
      </c>
      <c r="B31" s="3" t="s">
        <v>109</v>
      </c>
      <c r="C31" s="4">
        <v>6142.3</v>
      </c>
      <c r="D31" s="4">
        <v>584980</v>
      </c>
      <c r="E31" s="4">
        <v>1002187</v>
      </c>
      <c r="F31" s="4">
        <v>131147</v>
      </c>
      <c r="G31" s="4">
        <v>55373</v>
      </c>
      <c r="H31" s="4">
        <f t="shared" si="0"/>
        <v>16611.899999999998</v>
      </c>
      <c r="I31" s="4">
        <f>D31*Rates!$D$2</f>
        <v>175494</v>
      </c>
      <c r="J31" s="4">
        <f>E31*Rates!$D$3</f>
        <v>2104592.7000000002</v>
      </c>
      <c r="K31" s="4">
        <f>F31*Rates!$D$4</f>
        <v>524588</v>
      </c>
      <c r="L31" s="4">
        <f>H31*Rates!$D$5</f>
        <v>219277.07999999996</v>
      </c>
      <c r="M31" s="4">
        <f t="shared" si="1"/>
        <v>3023951.7800000003</v>
      </c>
      <c r="N31" s="5">
        <v>66.72</v>
      </c>
      <c r="O31" s="5">
        <v>20.100000000000001</v>
      </c>
      <c r="P31" s="5">
        <v>0.01</v>
      </c>
      <c r="Q31" s="5">
        <v>0</v>
      </c>
      <c r="R31" s="5">
        <v>8.07</v>
      </c>
      <c r="S31" s="5">
        <v>0</v>
      </c>
      <c r="T31" s="5">
        <v>0.4</v>
      </c>
      <c r="U31" s="4">
        <f>O31*Rates!$D$22+P31*Rates!$D$23+Q31*Rates!$D$24+R31*Rates!$D$25+S31*Rates!$D$26</f>
        <v>7114879.6900000004</v>
      </c>
      <c r="V31" s="5">
        <f t="shared" si="2"/>
        <v>10138831.470000001</v>
      </c>
    </row>
    <row r="32" spans="1:22" x14ac:dyDescent="0.25">
      <c r="A32" s="3" t="s">
        <v>131</v>
      </c>
      <c r="B32" s="3" t="s">
        <v>101</v>
      </c>
      <c r="C32" s="4">
        <v>6866.4</v>
      </c>
      <c r="D32" s="4">
        <v>396988</v>
      </c>
      <c r="E32" s="4">
        <v>801510</v>
      </c>
      <c r="F32" s="4">
        <v>12437</v>
      </c>
      <c r="G32" s="4">
        <v>61901</v>
      </c>
      <c r="H32" s="4">
        <f t="shared" si="0"/>
        <v>18570.3</v>
      </c>
      <c r="I32" s="4">
        <f>D32*Rates!$D$2</f>
        <v>119096.4</v>
      </c>
      <c r="J32" s="4">
        <f>E32*Rates!$D$3</f>
        <v>1683171</v>
      </c>
      <c r="K32" s="4">
        <f>F32*Rates!$D$4</f>
        <v>49748</v>
      </c>
      <c r="L32" s="4">
        <f>H32*Rates!$D$5</f>
        <v>245127.95999999996</v>
      </c>
      <c r="M32" s="4">
        <f t="shared" si="1"/>
        <v>2097143.3599999999</v>
      </c>
      <c r="N32" s="5">
        <v>51.94</v>
      </c>
      <c r="O32" s="5">
        <v>0</v>
      </c>
      <c r="P32" s="5">
        <v>0</v>
      </c>
      <c r="Q32" s="5">
        <v>0</v>
      </c>
      <c r="R32" s="5">
        <v>0.19</v>
      </c>
      <c r="S32" s="5">
        <v>0</v>
      </c>
      <c r="T32" s="5">
        <v>0</v>
      </c>
      <c r="U32" s="4">
        <f>O32*Rates!$D$22+P32*Rates!$D$23+Q32*Rates!$D$24+R32*Rates!$D$25+S32*Rates!$D$26</f>
        <v>143411.43</v>
      </c>
      <c r="V32" s="5">
        <f t="shared" si="2"/>
        <v>2240554.79</v>
      </c>
    </row>
    <row r="33" spans="1:22" x14ac:dyDescent="0.25">
      <c r="A33" s="3" t="s">
        <v>132</v>
      </c>
      <c r="B33" s="3" t="s">
        <v>101</v>
      </c>
      <c r="C33" s="4">
        <v>3104.4</v>
      </c>
      <c r="D33" s="4">
        <v>102312</v>
      </c>
      <c r="E33" s="4">
        <v>63983</v>
      </c>
      <c r="F33" s="4">
        <v>46321</v>
      </c>
      <c r="G33" s="4">
        <v>27987</v>
      </c>
      <c r="H33" s="4">
        <f t="shared" si="0"/>
        <v>8396.1</v>
      </c>
      <c r="I33" s="4">
        <f>D33*Rates!$D$2</f>
        <v>30693.599999999999</v>
      </c>
      <c r="J33" s="4">
        <f>E33*Rates!$D$3</f>
        <v>134364.30000000002</v>
      </c>
      <c r="K33" s="4">
        <f>F33*Rates!$D$4</f>
        <v>185284</v>
      </c>
      <c r="L33" s="4">
        <f>H33*Rates!$D$5</f>
        <v>110828.52</v>
      </c>
      <c r="M33" s="4">
        <f t="shared" si="1"/>
        <v>461170.42000000004</v>
      </c>
      <c r="N33" s="5">
        <v>14.28</v>
      </c>
      <c r="O33" s="5">
        <v>1.06</v>
      </c>
      <c r="P33" s="5">
        <v>0</v>
      </c>
      <c r="Q33" s="5">
        <v>0</v>
      </c>
      <c r="R33" s="5">
        <v>0.63</v>
      </c>
      <c r="S33" s="5">
        <v>0</v>
      </c>
      <c r="T33" s="5">
        <v>0.04</v>
      </c>
      <c r="U33" s="4">
        <f>O33*Rates!$D$22+P33*Rates!$D$23+Q33*Rates!$D$24+R33*Rates!$D$25+S33*Rates!$D$26</f>
        <v>528722.44999999995</v>
      </c>
      <c r="V33" s="5">
        <f t="shared" si="2"/>
        <v>989892.87</v>
      </c>
    </row>
    <row r="34" spans="1:22" x14ac:dyDescent="0.25">
      <c r="A34" s="3" t="s">
        <v>133</v>
      </c>
      <c r="B34" s="3" t="s">
        <v>99</v>
      </c>
      <c r="C34" s="4">
        <v>12466.6</v>
      </c>
      <c r="D34" s="4">
        <v>1597236</v>
      </c>
      <c r="E34" s="4">
        <v>3062187</v>
      </c>
      <c r="F34" s="4">
        <v>192295</v>
      </c>
      <c r="G34" s="4">
        <v>112387</v>
      </c>
      <c r="H34" s="4">
        <f t="shared" si="0"/>
        <v>33716.1</v>
      </c>
      <c r="I34" s="4">
        <f>D34*Rates!$D$2</f>
        <v>479170.8</v>
      </c>
      <c r="J34" s="4">
        <f>E34*Rates!$D$3</f>
        <v>6430592.7000000002</v>
      </c>
      <c r="K34" s="4">
        <f>F34*Rates!$D$4</f>
        <v>769180</v>
      </c>
      <c r="L34" s="4">
        <f>H34*Rates!$D$5</f>
        <v>445052.51999999996</v>
      </c>
      <c r="M34" s="4">
        <f t="shared" si="1"/>
        <v>8123996.0199999996</v>
      </c>
      <c r="N34" s="5">
        <v>179.08</v>
      </c>
      <c r="O34" s="5">
        <v>0.23</v>
      </c>
      <c r="P34" s="5">
        <v>0</v>
      </c>
      <c r="Q34" s="5">
        <v>0</v>
      </c>
      <c r="R34" s="5">
        <v>9.66</v>
      </c>
      <c r="S34" s="5">
        <v>0</v>
      </c>
      <c r="T34" s="5">
        <v>5.71</v>
      </c>
      <c r="U34" s="4">
        <f>O34*Rates!$D$22+P34*Rates!$D$23+Q34*Rates!$D$24+R34*Rates!$D$25+S34*Rates!$D$26</f>
        <v>7302882.4900000002</v>
      </c>
      <c r="V34" s="5">
        <f t="shared" si="2"/>
        <v>15426878.51</v>
      </c>
    </row>
    <row r="35" spans="1:22" x14ac:dyDescent="0.25">
      <c r="A35" s="3" t="s">
        <v>134</v>
      </c>
      <c r="B35" s="3" t="s">
        <v>99</v>
      </c>
      <c r="C35" s="4">
        <v>9780.6</v>
      </c>
      <c r="D35" s="4">
        <v>2463400</v>
      </c>
      <c r="E35" s="4">
        <v>6287973</v>
      </c>
      <c r="F35" s="4">
        <v>45019</v>
      </c>
      <c r="G35" s="4">
        <v>88172</v>
      </c>
      <c r="H35" s="4">
        <f t="shared" si="0"/>
        <v>26451.599999999999</v>
      </c>
      <c r="I35" s="4">
        <f>D35*Rates!$D$2</f>
        <v>739020</v>
      </c>
      <c r="J35" s="4">
        <f>E35*Rates!$D$3</f>
        <v>13204743.300000001</v>
      </c>
      <c r="K35" s="4">
        <f>F35*Rates!$D$4</f>
        <v>180076</v>
      </c>
      <c r="L35" s="4">
        <f>H35*Rates!$D$5</f>
        <v>349161.11999999994</v>
      </c>
      <c r="M35" s="4">
        <f t="shared" si="1"/>
        <v>14473000.42</v>
      </c>
      <c r="N35" s="5">
        <v>260.41000000000003</v>
      </c>
      <c r="O35" s="5">
        <v>53.15</v>
      </c>
      <c r="P35" s="5">
        <v>3.44</v>
      </c>
      <c r="Q35" s="5">
        <v>0</v>
      </c>
      <c r="R35" s="5">
        <v>23.74</v>
      </c>
      <c r="S35" s="5">
        <v>0</v>
      </c>
      <c r="T35" s="5">
        <v>24.56</v>
      </c>
      <c r="U35" s="4">
        <f>O35*Rates!$D$22+P35*Rates!$D$23+Q35*Rates!$D$24+R35*Rates!$D$25+S35*Rates!$D$26</f>
        <v>25701362.129999995</v>
      </c>
      <c r="V35" s="5">
        <f t="shared" si="2"/>
        <v>40174362.549999997</v>
      </c>
    </row>
    <row r="36" spans="1:22" x14ac:dyDescent="0.25">
      <c r="A36" s="3" t="s">
        <v>135</v>
      </c>
      <c r="B36" s="3" t="s">
        <v>109</v>
      </c>
      <c r="C36" s="4">
        <v>6472.9</v>
      </c>
      <c r="D36" s="4">
        <v>468076</v>
      </c>
      <c r="E36" s="4">
        <v>1122683</v>
      </c>
      <c r="F36" s="4">
        <v>12105</v>
      </c>
      <c r="G36" s="4">
        <v>58354</v>
      </c>
      <c r="H36" s="4">
        <f t="shared" si="0"/>
        <v>17506.2</v>
      </c>
      <c r="I36" s="4">
        <f>D36*Rates!$D$2</f>
        <v>140422.79999999999</v>
      </c>
      <c r="J36" s="4">
        <f>E36*Rates!$D$3</f>
        <v>2357634.3000000003</v>
      </c>
      <c r="K36" s="4">
        <f>F36*Rates!$D$4</f>
        <v>48420</v>
      </c>
      <c r="L36" s="4">
        <f>H36*Rates!$D$5</f>
        <v>231081.84</v>
      </c>
      <c r="M36" s="4">
        <f t="shared" si="1"/>
        <v>2777558.94</v>
      </c>
      <c r="N36" s="5">
        <v>57.38</v>
      </c>
      <c r="O36" s="5">
        <v>14.09</v>
      </c>
      <c r="P36" s="5">
        <v>0</v>
      </c>
      <c r="Q36" s="5">
        <v>0</v>
      </c>
      <c r="R36" s="5">
        <v>2.98</v>
      </c>
      <c r="S36" s="5">
        <v>0</v>
      </c>
      <c r="T36" s="5">
        <v>0.12</v>
      </c>
      <c r="U36" s="4">
        <f>O36*Rates!$D$22+P36*Rates!$D$23+Q36*Rates!$D$24+R36*Rates!$D$25+S36*Rates!$D$26</f>
        <v>2956458.0700000003</v>
      </c>
      <c r="V36" s="5">
        <f t="shared" si="2"/>
        <v>5734017.0099999998</v>
      </c>
    </row>
    <row r="37" spans="1:22" x14ac:dyDescent="0.25">
      <c r="A37" s="3" t="s">
        <v>136</v>
      </c>
      <c r="B37" s="3" t="s">
        <v>101</v>
      </c>
      <c r="C37" s="4">
        <v>1921.2</v>
      </c>
      <c r="D37" s="4">
        <v>46480</v>
      </c>
      <c r="E37" s="4">
        <v>60593</v>
      </c>
      <c r="F37" s="4">
        <v>5082</v>
      </c>
      <c r="G37" s="4">
        <v>17320</v>
      </c>
      <c r="H37" s="4">
        <f t="shared" si="0"/>
        <v>5196</v>
      </c>
      <c r="I37" s="4">
        <f>D37*Rates!$D$2</f>
        <v>13944</v>
      </c>
      <c r="J37" s="4">
        <f>E37*Rates!$D$3</f>
        <v>127245.3</v>
      </c>
      <c r="K37" s="4">
        <f>F37*Rates!$D$4</f>
        <v>20328</v>
      </c>
      <c r="L37" s="4">
        <f>H37*Rates!$D$5</f>
        <v>68587.199999999997</v>
      </c>
      <c r="M37" s="4">
        <f t="shared" si="1"/>
        <v>230104.5</v>
      </c>
      <c r="N37" s="5">
        <v>7.91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4">
        <f>O37*Rates!$D$22+P37*Rates!$D$23+Q37*Rates!$D$24+R37*Rates!$D$25+S37*Rates!$D$26</f>
        <v>0</v>
      </c>
      <c r="V37" s="5">
        <f t="shared" si="2"/>
        <v>230104.5</v>
      </c>
    </row>
    <row r="38" spans="1:22" x14ac:dyDescent="0.25">
      <c r="A38" s="3" t="s">
        <v>137</v>
      </c>
      <c r="B38" s="3" t="s">
        <v>101</v>
      </c>
      <c r="C38" s="4">
        <v>2773.6</v>
      </c>
      <c r="D38" s="4">
        <v>123864</v>
      </c>
      <c r="E38" s="4">
        <v>275133</v>
      </c>
      <c r="F38" s="4">
        <v>5950</v>
      </c>
      <c r="G38" s="4">
        <v>25004</v>
      </c>
      <c r="H38" s="4">
        <f t="shared" si="0"/>
        <v>7501.2</v>
      </c>
      <c r="I38" s="4">
        <f>D38*Rates!$D$2</f>
        <v>37159.199999999997</v>
      </c>
      <c r="J38" s="4">
        <f>E38*Rates!$D$3</f>
        <v>577779.30000000005</v>
      </c>
      <c r="K38" s="4">
        <f>F38*Rates!$D$4</f>
        <v>23800</v>
      </c>
      <c r="L38" s="4">
        <f>H38*Rates!$D$5</f>
        <v>99015.84</v>
      </c>
      <c r="M38" s="4">
        <f t="shared" si="1"/>
        <v>737754.34</v>
      </c>
      <c r="N38" s="5">
        <v>16.66</v>
      </c>
      <c r="O38" s="5">
        <v>5.51</v>
      </c>
      <c r="P38" s="5">
        <v>0</v>
      </c>
      <c r="Q38" s="5">
        <v>0</v>
      </c>
      <c r="R38" s="5">
        <v>5.4</v>
      </c>
      <c r="S38" s="5">
        <v>0</v>
      </c>
      <c r="T38" s="5">
        <v>0.03</v>
      </c>
      <c r="U38" s="4">
        <f>O38*Rates!$D$22+P38*Rates!$D$23+Q38*Rates!$D$24+R38*Rates!$D$25+S38*Rates!$D$26</f>
        <v>4352445.1900000004</v>
      </c>
      <c r="V38" s="5">
        <f t="shared" si="2"/>
        <v>5090199.53</v>
      </c>
    </row>
    <row r="39" spans="1:22" x14ac:dyDescent="0.25">
      <c r="A39" s="6" t="s">
        <v>19</v>
      </c>
      <c r="B39" s="6"/>
      <c r="C39" s="7">
        <f t="shared" ref="C39:V39" si="3">SUM(C2:C38)</f>
        <v>221345.39999999997</v>
      </c>
      <c r="D39" s="7">
        <f t="shared" si="3"/>
        <v>17519052</v>
      </c>
      <c r="E39" s="7">
        <f t="shared" si="3"/>
        <v>34865563</v>
      </c>
      <c r="F39" s="7">
        <f t="shared" si="3"/>
        <v>1754305</v>
      </c>
      <c r="G39" s="7">
        <f t="shared" si="3"/>
        <v>1999197</v>
      </c>
      <c r="H39" s="7">
        <f t="shared" si="3"/>
        <v>599759.09999999986</v>
      </c>
      <c r="I39" s="7">
        <f t="shared" si="3"/>
        <v>5255715.6000000006</v>
      </c>
      <c r="J39" s="7">
        <f t="shared" si="3"/>
        <v>73217682.299999997</v>
      </c>
      <c r="K39" s="7">
        <f t="shared" si="3"/>
        <v>7017220</v>
      </c>
      <c r="L39" s="7">
        <f t="shared" si="3"/>
        <v>7916820.1199999982</v>
      </c>
      <c r="M39" s="7">
        <f t="shared" si="3"/>
        <v>93407438.020000026</v>
      </c>
      <c r="N39" s="8">
        <f t="shared" si="3"/>
        <v>2092.63</v>
      </c>
      <c r="O39" s="8">
        <f t="shared" si="3"/>
        <v>290.31999999999994</v>
      </c>
      <c r="P39" s="8">
        <f t="shared" si="3"/>
        <v>4.5600000000000005</v>
      </c>
      <c r="Q39" s="8">
        <f t="shared" si="3"/>
        <v>0</v>
      </c>
      <c r="R39" s="8">
        <f t="shared" si="3"/>
        <v>194.01999999999998</v>
      </c>
      <c r="S39" s="8">
        <f t="shared" si="3"/>
        <v>0</v>
      </c>
      <c r="T39" s="8">
        <f t="shared" si="3"/>
        <v>53.879999999999995</v>
      </c>
      <c r="U39" s="7">
        <f t="shared" si="3"/>
        <v>167796848.42000002</v>
      </c>
      <c r="V39" s="8">
        <f t="shared" si="3"/>
        <v>261204286.43999991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8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" customWidth="1"/>
    <col min="2" max="3" width="10" customWidth="1"/>
    <col min="4" max="4" width="9" customWidth="1"/>
    <col min="5" max="8" width="12" customWidth="1"/>
    <col min="9" max="12" width="13" customWidth="1"/>
    <col min="13" max="13" width="14" customWidth="1"/>
  </cols>
  <sheetData>
    <row r="1" spans="1:13" ht="39.950000000000003" customHeight="1" x14ac:dyDescent="0.25">
      <c r="A1" s="2" t="s">
        <v>138</v>
      </c>
      <c r="B1" s="2" t="s">
        <v>77</v>
      </c>
      <c r="C1" s="2" t="s">
        <v>78</v>
      </c>
      <c r="D1" s="2" t="s">
        <v>139</v>
      </c>
      <c r="E1" s="2" t="s">
        <v>79</v>
      </c>
      <c r="F1" s="2" t="s">
        <v>80</v>
      </c>
      <c r="G1" s="2" t="s">
        <v>81</v>
      </c>
      <c r="H1" s="2" t="s">
        <v>140</v>
      </c>
      <c r="I1" s="2" t="s">
        <v>84</v>
      </c>
      <c r="J1" s="2" t="s">
        <v>85</v>
      </c>
      <c r="K1" s="2" t="s">
        <v>86</v>
      </c>
      <c r="L1" s="2" t="s">
        <v>87</v>
      </c>
      <c r="M1" s="2" t="s">
        <v>141</v>
      </c>
    </row>
    <row r="2" spans="1:13" x14ac:dyDescent="0.25">
      <c r="A2" s="3" t="s">
        <v>142</v>
      </c>
      <c r="B2" s="3" t="s">
        <v>143</v>
      </c>
      <c r="C2" s="4">
        <v>4416.1000000000004</v>
      </c>
      <c r="D2" s="4">
        <v>2.1</v>
      </c>
      <c r="E2" s="4">
        <v>58734</v>
      </c>
      <c r="F2" s="4">
        <v>23494</v>
      </c>
      <c r="G2" s="4">
        <v>89801</v>
      </c>
      <c r="H2" s="4">
        <v>12122</v>
      </c>
      <c r="I2" s="4">
        <f>E2*Rates!$D$2</f>
        <v>17620.2</v>
      </c>
      <c r="J2" s="4">
        <f>F2*Rates!$D$3</f>
        <v>49337.4</v>
      </c>
      <c r="K2" s="4">
        <f>G2*Rates!$D$4</f>
        <v>359204</v>
      </c>
      <c r="L2" s="4">
        <f>H2*Rates!$D$5</f>
        <v>160010.4</v>
      </c>
      <c r="M2" s="4">
        <f t="shared" ref="M2:M37" si="0">SUM(I2:L2)</f>
        <v>586172</v>
      </c>
    </row>
    <row r="3" spans="1:13" x14ac:dyDescent="0.25">
      <c r="A3" s="3" t="s">
        <v>144</v>
      </c>
      <c r="B3" s="3" t="s">
        <v>143</v>
      </c>
      <c r="C3" s="4">
        <v>2519.4</v>
      </c>
      <c r="D3" s="4">
        <v>1.8</v>
      </c>
      <c r="E3" s="4">
        <v>31241</v>
      </c>
      <c r="F3" s="4">
        <v>12496</v>
      </c>
      <c r="G3" s="4">
        <v>42880</v>
      </c>
      <c r="H3" s="4">
        <v>5928</v>
      </c>
      <c r="I3" s="4">
        <f>E3*Rates!$D$2</f>
        <v>9372.2999999999993</v>
      </c>
      <c r="J3" s="4">
        <f>F3*Rates!$D$3</f>
        <v>26241.600000000002</v>
      </c>
      <c r="K3" s="4">
        <f>G3*Rates!$D$4</f>
        <v>171520</v>
      </c>
      <c r="L3" s="4">
        <f>H3*Rates!$D$5</f>
        <v>78249.599999999991</v>
      </c>
      <c r="M3" s="4">
        <f t="shared" si="0"/>
        <v>285383.5</v>
      </c>
    </row>
    <row r="4" spans="1:13" x14ac:dyDescent="0.25">
      <c r="A4" s="3" t="s">
        <v>145</v>
      </c>
      <c r="B4" s="3" t="s">
        <v>143</v>
      </c>
      <c r="C4" s="4">
        <v>381.5</v>
      </c>
      <c r="D4" s="4">
        <v>4.5</v>
      </c>
      <c r="E4" s="4">
        <v>7820</v>
      </c>
      <c r="F4" s="4">
        <v>3128</v>
      </c>
      <c r="G4" s="4">
        <v>21582</v>
      </c>
      <c r="H4" s="4">
        <v>2244</v>
      </c>
      <c r="I4" s="4">
        <f>E4*Rates!$D$2</f>
        <v>2346</v>
      </c>
      <c r="J4" s="4">
        <f>F4*Rates!$D$3</f>
        <v>6568.8</v>
      </c>
      <c r="K4" s="4">
        <f>G4*Rates!$D$4</f>
        <v>86328</v>
      </c>
      <c r="L4" s="4">
        <f>H4*Rates!$D$5</f>
        <v>29620.799999999999</v>
      </c>
      <c r="M4" s="4">
        <f t="shared" si="0"/>
        <v>124863.6</v>
      </c>
    </row>
    <row r="5" spans="1:13" x14ac:dyDescent="0.25">
      <c r="A5" s="3" t="s">
        <v>146</v>
      </c>
      <c r="B5" s="3" t="s">
        <v>143</v>
      </c>
      <c r="C5" s="4">
        <v>2319.9</v>
      </c>
      <c r="D5" s="4">
        <v>2.2000000000000002</v>
      </c>
      <c r="E5" s="4">
        <v>31550</v>
      </c>
      <c r="F5" s="4">
        <v>12620</v>
      </c>
      <c r="G5" s="4">
        <v>49877</v>
      </c>
      <c r="H5" s="4">
        <v>6671</v>
      </c>
      <c r="I5" s="4">
        <f>E5*Rates!$D$2</f>
        <v>9465</v>
      </c>
      <c r="J5" s="4">
        <f>F5*Rates!$D$3</f>
        <v>26502</v>
      </c>
      <c r="K5" s="4">
        <f>G5*Rates!$D$4</f>
        <v>199508</v>
      </c>
      <c r="L5" s="4">
        <f>H5*Rates!$D$5</f>
        <v>88057.2</v>
      </c>
      <c r="M5" s="4">
        <f t="shared" si="0"/>
        <v>323532.2</v>
      </c>
    </row>
    <row r="6" spans="1:13" x14ac:dyDescent="0.25">
      <c r="A6" s="3" t="s">
        <v>147</v>
      </c>
      <c r="B6" s="3" t="s">
        <v>143</v>
      </c>
      <c r="C6" s="4">
        <v>2466</v>
      </c>
      <c r="D6" s="4">
        <v>2.2000000000000002</v>
      </c>
      <c r="E6" s="4">
        <v>33537</v>
      </c>
      <c r="F6" s="4">
        <v>13415</v>
      </c>
      <c r="G6" s="4">
        <v>53018</v>
      </c>
      <c r="H6" s="4">
        <v>7092</v>
      </c>
      <c r="I6" s="4">
        <f>E6*Rates!$D$2</f>
        <v>10061.1</v>
      </c>
      <c r="J6" s="4">
        <f>F6*Rates!$D$3</f>
        <v>28171.5</v>
      </c>
      <c r="K6" s="4">
        <f>G6*Rates!$D$4</f>
        <v>212072</v>
      </c>
      <c r="L6" s="4">
        <f>H6*Rates!$D$5</f>
        <v>93614.399999999994</v>
      </c>
      <c r="M6" s="4">
        <f t="shared" si="0"/>
        <v>343919</v>
      </c>
    </row>
    <row r="7" spans="1:13" x14ac:dyDescent="0.25">
      <c r="A7" s="3" t="s">
        <v>148</v>
      </c>
      <c r="B7" s="3" t="s">
        <v>143</v>
      </c>
      <c r="C7" s="4">
        <v>1383.7</v>
      </c>
      <c r="D7" s="4">
        <v>1.6</v>
      </c>
      <c r="E7" s="4">
        <v>16328</v>
      </c>
      <c r="F7" s="4">
        <v>6531</v>
      </c>
      <c r="G7" s="4">
        <v>20700</v>
      </c>
      <c r="H7" s="4">
        <v>2894</v>
      </c>
      <c r="I7" s="4">
        <f>E7*Rates!$D$2</f>
        <v>4898.3999999999996</v>
      </c>
      <c r="J7" s="4">
        <f>F7*Rates!$D$3</f>
        <v>13715.1</v>
      </c>
      <c r="K7" s="4">
        <f>G7*Rates!$D$4</f>
        <v>82800</v>
      </c>
      <c r="L7" s="4">
        <f>H7*Rates!$D$5</f>
        <v>38200.799999999996</v>
      </c>
      <c r="M7" s="4">
        <f t="shared" si="0"/>
        <v>139614.29999999999</v>
      </c>
    </row>
    <row r="8" spans="1:13" x14ac:dyDescent="0.25">
      <c r="A8" s="3" t="s">
        <v>149</v>
      </c>
      <c r="B8" s="3" t="s">
        <v>143</v>
      </c>
      <c r="C8" s="4">
        <v>7064</v>
      </c>
      <c r="D8" s="4">
        <v>1.9</v>
      </c>
      <c r="E8" s="4">
        <v>89712</v>
      </c>
      <c r="F8" s="4">
        <v>35885</v>
      </c>
      <c r="G8" s="4">
        <v>127823</v>
      </c>
      <c r="H8" s="4">
        <v>17544</v>
      </c>
      <c r="I8" s="4">
        <f>E8*Rates!$D$2</f>
        <v>26913.599999999999</v>
      </c>
      <c r="J8" s="4">
        <f>F8*Rates!$D$3</f>
        <v>75358.5</v>
      </c>
      <c r="K8" s="4">
        <f>G8*Rates!$D$4</f>
        <v>511292</v>
      </c>
      <c r="L8" s="4">
        <f>H8*Rates!$D$5</f>
        <v>231580.79999999999</v>
      </c>
      <c r="M8" s="4">
        <f t="shared" si="0"/>
        <v>845144.89999999991</v>
      </c>
    </row>
    <row r="9" spans="1:13" x14ac:dyDescent="0.25">
      <c r="A9" s="3" t="s">
        <v>150</v>
      </c>
      <c r="B9" s="3" t="s">
        <v>143</v>
      </c>
      <c r="C9" s="4">
        <v>548.1</v>
      </c>
      <c r="D9" s="4">
        <v>1.9</v>
      </c>
      <c r="E9" s="4">
        <v>6961</v>
      </c>
      <c r="F9" s="4">
        <v>2784</v>
      </c>
      <c r="G9" s="4">
        <v>9918</v>
      </c>
      <c r="H9" s="4">
        <v>1361</v>
      </c>
      <c r="I9" s="4">
        <f>E9*Rates!$D$2</f>
        <v>2088.2999999999997</v>
      </c>
      <c r="J9" s="4">
        <f>F9*Rates!$D$3</f>
        <v>5846.4000000000005</v>
      </c>
      <c r="K9" s="4">
        <f>G9*Rates!$D$4</f>
        <v>39672</v>
      </c>
      <c r="L9" s="4">
        <f>H9*Rates!$D$5</f>
        <v>17965.2</v>
      </c>
      <c r="M9" s="4">
        <f t="shared" si="0"/>
        <v>65571.899999999994</v>
      </c>
    </row>
    <row r="10" spans="1:13" x14ac:dyDescent="0.25">
      <c r="A10" s="3" t="s">
        <v>151</v>
      </c>
      <c r="B10" s="3" t="s">
        <v>143</v>
      </c>
      <c r="C10" s="4">
        <v>2131.4</v>
      </c>
      <c r="D10" s="4">
        <v>2</v>
      </c>
      <c r="E10" s="4">
        <v>27708</v>
      </c>
      <c r="F10" s="4">
        <v>11083</v>
      </c>
      <c r="G10" s="4">
        <v>40923</v>
      </c>
      <c r="H10" s="4">
        <v>5572</v>
      </c>
      <c r="I10" s="4">
        <f>E10*Rates!$D$2</f>
        <v>8312.4</v>
      </c>
      <c r="J10" s="4">
        <f>F10*Rates!$D$3</f>
        <v>23274.3</v>
      </c>
      <c r="K10" s="4">
        <f>G10*Rates!$D$4</f>
        <v>163692</v>
      </c>
      <c r="L10" s="4">
        <f>H10*Rates!$D$5</f>
        <v>73550.399999999994</v>
      </c>
      <c r="M10" s="4">
        <f t="shared" si="0"/>
        <v>268829.09999999998</v>
      </c>
    </row>
    <row r="11" spans="1:13" x14ac:dyDescent="0.25">
      <c r="A11" s="3" t="s">
        <v>152</v>
      </c>
      <c r="B11" s="3" t="s">
        <v>143</v>
      </c>
      <c r="C11" s="4">
        <v>8370.1</v>
      </c>
      <c r="D11" s="4">
        <v>2</v>
      </c>
      <c r="E11" s="4">
        <v>108812</v>
      </c>
      <c r="F11" s="4">
        <v>43525</v>
      </c>
      <c r="G11" s="4">
        <v>160706</v>
      </c>
      <c r="H11" s="4">
        <v>21882</v>
      </c>
      <c r="I11" s="4">
        <f>E11*Rates!$D$2</f>
        <v>32643.599999999999</v>
      </c>
      <c r="J11" s="4">
        <f>F11*Rates!$D$3</f>
        <v>91402.5</v>
      </c>
      <c r="K11" s="4">
        <f>G11*Rates!$D$4</f>
        <v>642824</v>
      </c>
      <c r="L11" s="4">
        <f>H11*Rates!$D$5</f>
        <v>288842.39999999997</v>
      </c>
      <c r="M11" s="4">
        <f t="shared" si="0"/>
        <v>1055712.5</v>
      </c>
    </row>
    <row r="12" spans="1:13" x14ac:dyDescent="0.25">
      <c r="A12" s="3" t="s">
        <v>153</v>
      </c>
      <c r="B12" s="3" t="s">
        <v>143</v>
      </c>
      <c r="C12" s="4">
        <v>838</v>
      </c>
      <c r="D12" s="4">
        <v>1.8</v>
      </c>
      <c r="E12" s="4">
        <v>10392</v>
      </c>
      <c r="F12" s="4">
        <v>4157</v>
      </c>
      <c r="G12" s="4">
        <v>14263</v>
      </c>
      <c r="H12" s="4">
        <v>1972</v>
      </c>
      <c r="I12" s="4">
        <f>E12*Rates!$D$2</f>
        <v>3117.6</v>
      </c>
      <c r="J12" s="4">
        <f>F12*Rates!$D$3</f>
        <v>8729.7000000000007</v>
      </c>
      <c r="K12" s="4">
        <f>G12*Rates!$D$4</f>
        <v>57052</v>
      </c>
      <c r="L12" s="4">
        <f>H12*Rates!$D$5</f>
        <v>26030.399999999998</v>
      </c>
      <c r="M12" s="4">
        <f t="shared" si="0"/>
        <v>94929.7</v>
      </c>
    </row>
    <row r="13" spans="1:13" x14ac:dyDescent="0.25">
      <c r="A13" s="3" t="s">
        <v>154</v>
      </c>
      <c r="B13" s="3" t="s">
        <v>143</v>
      </c>
      <c r="C13" s="4">
        <v>1062.9000000000001</v>
      </c>
      <c r="D13" s="4">
        <v>1.8</v>
      </c>
      <c r="E13" s="4">
        <v>13180</v>
      </c>
      <c r="F13" s="4">
        <v>5272</v>
      </c>
      <c r="G13" s="4">
        <v>18091</v>
      </c>
      <c r="H13" s="4">
        <v>2501</v>
      </c>
      <c r="I13" s="4">
        <f>E13*Rates!$D$2</f>
        <v>3954</v>
      </c>
      <c r="J13" s="4">
        <f>F13*Rates!$D$3</f>
        <v>11071.2</v>
      </c>
      <c r="K13" s="4">
        <f>G13*Rates!$D$4</f>
        <v>72364</v>
      </c>
      <c r="L13" s="4">
        <f>H13*Rates!$D$5</f>
        <v>33013.199999999997</v>
      </c>
      <c r="M13" s="4">
        <f t="shared" si="0"/>
        <v>120402.4</v>
      </c>
    </row>
    <row r="14" spans="1:13" x14ac:dyDescent="0.25">
      <c r="A14" s="3" t="s">
        <v>155</v>
      </c>
      <c r="B14" s="3" t="s">
        <v>156</v>
      </c>
      <c r="C14" s="4">
        <v>638.5</v>
      </c>
      <c r="D14" s="4">
        <v>3.1</v>
      </c>
      <c r="E14" s="4">
        <v>10407</v>
      </c>
      <c r="F14" s="4">
        <v>4163</v>
      </c>
      <c r="G14" s="4">
        <v>21283</v>
      </c>
      <c r="H14" s="4">
        <v>2587</v>
      </c>
      <c r="I14" s="4">
        <f>E14*Rates!$D$2</f>
        <v>3122.1</v>
      </c>
      <c r="J14" s="4">
        <f>F14*Rates!$D$3</f>
        <v>8742.3000000000011</v>
      </c>
      <c r="K14" s="4">
        <f>G14*Rates!$D$4</f>
        <v>85132</v>
      </c>
      <c r="L14" s="4">
        <f>H14*Rates!$D$5</f>
        <v>34148.400000000001</v>
      </c>
      <c r="M14" s="4">
        <f t="shared" si="0"/>
        <v>131144.79999999999</v>
      </c>
    </row>
    <row r="15" spans="1:13" x14ac:dyDescent="0.25">
      <c r="A15" s="3" t="s">
        <v>157</v>
      </c>
      <c r="B15" s="3" t="s">
        <v>156</v>
      </c>
      <c r="C15" s="4">
        <v>786.6</v>
      </c>
      <c r="D15" s="4">
        <v>2</v>
      </c>
      <c r="E15" s="4">
        <v>10226</v>
      </c>
      <c r="F15" s="4">
        <v>4091</v>
      </c>
      <c r="G15" s="4">
        <v>15104</v>
      </c>
      <c r="H15" s="4">
        <v>2057</v>
      </c>
      <c r="I15" s="4">
        <f>E15*Rates!$D$2</f>
        <v>3067.7999999999997</v>
      </c>
      <c r="J15" s="4">
        <f>F15*Rates!$D$3</f>
        <v>8591.1</v>
      </c>
      <c r="K15" s="4">
        <f>G15*Rates!$D$4</f>
        <v>60416</v>
      </c>
      <c r="L15" s="4">
        <f>H15*Rates!$D$5</f>
        <v>27152.399999999998</v>
      </c>
      <c r="M15" s="4">
        <f t="shared" si="0"/>
        <v>99227.299999999988</v>
      </c>
    </row>
    <row r="16" spans="1:13" x14ac:dyDescent="0.25">
      <c r="A16" s="3" t="s">
        <v>158</v>
      </c>
      <c r="B16" s="3" t="s">
        <v>156</v>
      </c>
      <c r="C16" s="4">
        <v>193.9</v>
      </c>
      <c r="D16" s="4">
        <v>2.1</v>
      </c>
      <c r="E16" s="4">
        <v>2578</v>
      </c>
      <c r="F16" s="4">
        <v>1031</v>
      </c>
      <c r="G16" s="4">
        <v>3942</v>
      </c>
      <c r="H16" s="4">
        <v>532</v>
      </c>
      <c r="I16" s="4">
        <f>E16*Rates!$D$2</f>
        <v>773.4</v>
      </c>
      <c r="J16" s="4">
        <f>F16*Rates!$D$3</f>
        <v>2165.1</v>
      </c>
      <c r="K16" s="4">
        <f>G16*Rates!$D$4</f>
        <v>15768</v>
      </c>
      <c r="L16" s="4">
        <f>H16*Rates!$D$5</f>
        <v>7022.4</v>
      </c>
      <c r="M16" s="4">
        <f t="shared" si="0"/>
        <v>25728.9</v>
      </c>
    </row>
    <row r="17" spans="1:13" x14ac:dyDescent="0.25">
      <c r="A17" s="3" t="s">
        <v>159</v>
      </c>
      <c r="B17" s="3" t="s">
        <v>156</v>
      </c>
      <c r="C17" s="4">
        <v>758</v>
      </c>
      <c r="D17" s="4">
        <v>1.9</v>
      </c>
      <c r="E17" s="4">
        <v>9626</v>
      </c>
      <c r="F17" s="4">
        <v>3850</v>
      </c>
      <c r="G17" s="4">
        <v>13715</v>
      </c>
      <c r="H17" s="4">
        <v>1883</v>
      </c>
      <c r="I17" s="4">
        <f>E17*Rates!$D$2</f>
        <v>2887.7999999999997</v>
      </c>
      <c r="J17" s="4">
        <f>F17*Rates!$D$3</f>
        <v>8085</v>
      </c>
      <c r="K17" s="4">
        <f>G17*Rates!$D$4</f>
        <v>54860</v>
      </c>
      <c r="L17" s="4">
        <f>H17*Rates!$D$5</f>
        <v>24855.599999999999</v>
      </c>
      <c r="M17" s="4">
        <f t="shared" si="0"/>
        <v>90688.4</v>
      </c>
    </row>
    <row r="18" spans="1:13" x14ac:dyDescent="0.25">
      <c r="A18" s="3" t="s">
        <v>160</v>
      </c>
      <c r="B18" s="3" t="s">
        <v>156</v>
      </c>
      <c r="C18" s="4">
        <v>469.9</v>
      </c>
      <c r="D18" s="4">
        <v>1.8</v>
      </c>
      <c r="E18" s="4">
        <v>5826</v>
      </c>
      <c r="F18" s="4">
        <v>2330</v>
      </c>
      <c r="G18" s="4">
        <v>7997</v>
      </c>
      <c r="H18" s="4">
        <v>1106</v>
      </c>
      <c r="I18" s="4">
        <f>E18*Rates!$D$2</f>
        <v>1747.8</v>
      </c>
      <c r="J18" s="4">
        <f>F18*Rates!$D$3</f>
        <v>4893</v>
      </c>
      <c r="K18" s="4">
        <f>G18*Rates!$D$4</f>
        <v>31988</v>
      </c>
      <c r="L18" s="4">
        <f>H18*Rates!$D$5</f>
        <v>14599.199999999999</v>
      </c>
      <c r="M18" s="4">
        <f t="shared" si="0"/>
        <v>53228</v>
      </c>
    </row>
    <row r="19" spans="1:13" x14ac:dyDescent="0.25">
      <c r="A19" s="3" t="s">
        <v>161</v>
      </c>
      <c r="B19" s="3" t="s">
        <v>162</v>
      </c>
      <c r="C19" s="4">
        <v>1058.3</v>
      </c>
      <c r="D19" s="4">
        <v>1.6</v>
      </c>
      <c r="E19" s="4">
        <v>12488</v>
      </c>
      <c r="F19" s="4">
        <v>4995</v>
      </c>
      <c r="G19" s="4">
        <v>15833</v>
      </c>
      <c r="H19" s="4">
        <v>2213</v>
      </c>
      <c r="I19" s="4">
        <f>E19*Rates!$D$2</f>
        <v>3746.3999999999996</v>
      </c>
      <c r="J19" s="4">
        <f>F19*Rates!$D$3</f>
        <v>10489.5</v>
      </c>
      <c r="K19" s="4">
        <f>G19*Rates!$D$4</f>
        <v>63332</v>
      </c>
      <c r="L19" s="4">
        <f>H19*Rates!$D$5</f>
        <v>29211.599999999999</v>
      </c>
      <c r="M19" s="4">
        <f t="shared" si="0"/>
        <v>106779.5</v>
      </c>
    </row>
    <row r="20" spans="1:13" x14ac:dyDescent="0.25">
      <c r="A20" s="3" t="s">
        <v>163</v>
      </c>
      <c r="B20" s="3" t="s">
        <v>162</v>
      </c>
      <c r="C20" s="4">
        <v>47.3</v>
      </c>
      <c r="D20" s="4">
        <v>2.9</v>
      </c>
      <c r="E20" s="4">
        <v>742</v>
      </c>
      <c r="F20" s="4">
        <v>297</v>
      </c>
      <c r="G20" s="4">
        <v>1442</v>
      </c>
      <c r="H20" s="4">
        <v>179</v>
      </c>
      <c r="I20" s="4">
        <f>E20*Rates!$D$2</f>
        <v>222.6</v>
      </c>
      <c r="J20" s="4">
        <f>F20*Rates!$D$3</f>
        <v>623.70000000000005</v>
      </c>
      <c r="K20" s="4">
        <f>G20*Rates!$D$4</f>
        <v>5768</v>
      </c>
      <c r="L20" s="4">
        <f>H20*Rates!$D$5</f>
        <v>2362.7999999999997</v>
      </c>
      <c r="M20" s="4">
        <f t="shared" si="0"/>
        <v>8977.1</v>
      </c>
    </row>
    <row r="21" spans="1:13" x14ac:dyDescent="0.25">
      <c r="A21" s="3" t="s">
        <v>164</v>
      </c>
      <c r="B21" s="3" t="s">
        <v>162</v>
      </c>
      <c r="C21" s="4">
        <v>72.400000000000006</v>
      </c>
      <c r="D21" s="4">
        <v>3.6</v>
      </c>
      <c r="E21" s="4">
        <v>1289</v>
      </c>
      <c r="F21" s="4">
        <v>516</v>
      </c>
      <c r="G21" s="4">
        <v>2966</v>
      </c>
      <c r="H21" s="4">
        <v>341</v>
      </c>
      <c r="I21" s="4">
        <f>E21*Rates!$D$2</f>
        <v>386.7</v>
      </c>
      <c r="J21" s="4">
        <f>F21*Rates!$D$3</f>
        <v>1083.6000000000001</v>
      </c>
      <c r="K21" s="4">
        <f>G21*Rates!$D$4</f>
        <v>11864</v>
      </c>
      <c r="L21" s="4">
        <f>H21*Rates!$D$5</f>
        <v>4501.2</v>
      </c>
      <c r="M21" s="4">
        <f t="shared" si="0"/>
        <v>17835.5</v>
      </c>
    </row>
    <row r="22" spans="1:13" x14ac:dyDescent="0.25">
      <c r="A22" s="3" t="s">
        <v>165</v>
      </c>
      <c r="B22" s="3" t="s">
        <v>162</v>
      </c>
      <c r="C22" s="4">
        <v>1667.8</v>
      </c>
      <c r="D22" s="4">
        <v>1.7</v>
      </c>
      <c r="E22" s="4">
        <v>20181</v>
      </c>
      <c r="F22" s="4">
        <v>8072</v>
      </c>
      <c r="G22" s="4">
        <v>26643</v>
      </c>
      <c r="H22" s="4">
        <v>3706</v>
      </c>
      <c r="I22" s="4">
        <f>E22*Rates!$D$2</f>
        <v>6054.3</v>
      </c>
      <c r="J22" s="4">
        <f>F22*Rates!$D$3</f>
        <v>16951.2</v>
      </c>
      <c r="K22" s="4">
        <f>G22*Rates!$D$4</f>
        <v>106572</v>
      </c>
      <c r="L22" s="4">
        <f>H22*Rates!$D$5</f>
        <v>48919.199999999997</v>
      </c>
      <c r="M22" s="4">
        <f t="shared" si="0"/>
        <v>178496.7</v>
      </c>
    </row>
    <row r="23" spans="1:13" x14ac:dyDescent="0.25">
      <c r="A23" s="3" t="s">
        <v>166</v>
      </c>
      <c r="B23" s="3" t="s">
        <v>162</v>
      </c>
      <c r="C23" s="4">
        <v>1068.9000000000001</v>
      </c>
      <c r="D23" s="4">
        <v>1.9</v>
      </c>
      <c r="E23" s="4">
        <v>13575</v>
      </c>
      <c r="F23" s="4">
        <v>5430</v>
      </c>
      <c r="G23" s="4">
        <v>19341</v>
      </c>
      <c r="H23" s="4">
        <v>2655</v>
      </c>
      <c r="I23" s="4">
        <f>E23*Rates!$D$2</f>
        <v>4072.5</v>
      </c>
      <c r="J23" s="4">
        <f>F23*Rates!$D$3</f>
        <v>11403</v>
      </c>
      <c r="K23" s="4">
        <f>G23*Rates!$D$4</f>
        <v>77364</v>
      </c>
      <c r="L23" s="4">
        <f>H23*Rates!$D$5</f>
        <v>35046</v>
      </c>
      <c r="M23" s="4">
        <f t="shared" si="0"/>
        <v>127885.5</v>
      </c>
    </row>
    <row r="24" spans="1:13" x14ac:dyDescent="0.25">
      <c r="A24" s="3" t="s">
        <v>167</v>
      </c>
      <c r="B24" s="3" t="s">
        <v>162</v>
      </c>
      <c r="C24" s="4">
        <v>309.10000000000002</v>
      </c>
      <c r="D24" s="4">
        <v>2.4</v>
      </c>
      <c r="E24" s="4">
        <v>4389</v>
      </c>
      <c r="F24" s="4">
        <v>1755</v>
      </c>
      <c r="G24" s="4">
        <v>7393</v>
      </c>
      <c r="H24" s="4">
        <v>970</v>
      </c>
      <c r="I24" s="4">
        <f>E24*Rates!$D$2</f>
        <v>1316.7</v>
      </c>
      <c r="J24" s="4">
        <f>F24*Rates!$D$3</f>
        <v>3685.5</v>
      </c>
      <c r="K24" s="4">
        <f>G24*Rates!$D$4</f>
        <v>29572</v>
      </c>
      <c r="L24" s="4">
        <f>H24*Rates!$D$5</f>
        <v>12804</v>
      </c>
      <c r="M24" s="4">
        <f t="shared" si="0"/>
        <v>47378.2</v>
      </c>
    </row>
    <row r="25" spans="1:13" x14ac:dyDescent="0.25">
      <c r="A25" s="3" t="s">
        <v>168</v>
      </c>
      <c r="B25" s="3" t="s">
        <v>162</v>
      </c>
      <c r="C25" s="4">
        <v>1920.3</v>
      </c>
      <c r="D25" s="4">
        <v>1.8</v>
      </c>
      <c r="E25" s="4">
        <v>23812</v>
      </c>
      <c r="F25" s="4">
        <v>9525</v>
      </c>
      <c r="G25" s="4">
        <v>32684</v>
      </c>
      <c r="H25" s="4">
        <v>4518</v>
      </c>
      <c r="I25" s="4">
        <f>E25*Rates!$D$2</f>
        <v>7143.5999999999995</v>
      </c>
      <c r="J25" s="4">
        <f>F25*Rates!$D$3</f>
        <v>20002.5</v>
      </c>
      <c r="K25" s="4">
        <f>G25*Rates!$D$4</f>
        <v>130736</v>
      </c>
      <c r="L25" s="4">
        <f>H25*Rates!$D$5</f>
        <v>59637.599999999999</v>
      </c>
      <c r="M25" s="4">
        <f t="shared" si="0"/>
        <v>217519.7</v>
      </c>
    </row>
    <row r="26" spans="1:13" x14ac:dyDescent="0.25">
      <c r="A26" s="3" t="s">
        <v>169</v>
      </c>
      <c r="B26" s="3" t="s">
        <v>162</v>
      </c>
      <c r="C26" s="4">
        <v>300</v>
      </c>
      <c r="D26" s="4">
        <v>2.1</v>
      </c>
      <c r="E26" s="4">
        <v>3991</v>
      </c>
      <c r="F26" s="4">
        <v>1596</v>
      </c>
      <c r="G26" s="4">
        <v>6101</v>
      </c>
      <c r="H26" s="4">
        <v>824</v>
      </c>
      <c r="I26" s="4">
        <f>E26*Rates!$D$2</f>
        <v>1197.3</v>
      </c>
      <c r="J26" s="4">
        <f>F26*Rates!$D$3</f>
        <v>3351.6000000000004</v>
      </c>
      <c r="K26" s="4">
        <f>G26*Rates!$D$4</f>
        <v>24404</v>
      </c>
      <c r="L26" s="4">
        <f>H26*Rates!$D$5</f>
        <v>10876.8</v>
      </c>
      <c r="M26" s="4">
        <f t="shared" si="0"/>
        <v>39829.699999999997</v>
      </c>
    </row>
    <row r="27" spans="1:13" x14ac:dyDescent="0.25">
      <c r="A27" s="3" t="s">
        <v>170</v>
      </c>
      <c r="B27" s="3" t="s">
        <v>162</v>
      </c>
      <c r="C27" s="4">
        <v>352.9</v>
      </c>
      <c r="D27" s="4">
        <v>2.2000000000000002</v>
      </c>
      <c r="E27" s="4">
        <v>4800</v>
      </c>
      <c r="F27" s="4">
        <v>1920</v>
      </c>
      <c r="G27" s="4">
        <v>7588</v>
      </c>
      <c r="H27" s="4">
        <v>1015</v>
      </c>
      <c r="I27" s="4">
        <f>E27*Rates!$D$2</f>
        <v>1440</v>
      </c>
      <c r="J27" s="4">
        <f>F27*Rates!$D$3</f>
        <v>4032</v>
      </c>
      <c r="K27" s="4">
        <f>G27*Rates!$D$4</f>
        <v>30352</v>
      </c>
      <c r="L27" s="4">
        <f>H27*Rates!$D$5</f>
        <v>13398</v>
      </c>
      <c r="M27" s="4">
        <f t="shared" si="0"/>
        <v>49222</v>
      </c>
    </row>
    <row r="28" spans="1:13" x14ac:dyDescent="0.25">
      <c r="A28" s="3" t="s">
        <v>171</v>
      </c>
      <c r="B28" s="3" t="s">
        <v>143</v>
      </c>
      <c r="C28" s="4">
        <v>1712.8</v>
      </c>
      <c r="D28" s="4">
        <v>3.5</v>
      </c>
      <c r="E28" s="4">
        <v>29975</v>
      </c>
      <c r="F28" s="4">
        <v>11990</v>
      </c>
      <c r="G28" s="4">
        <v>67443</v>
      </c>
      <c r="H28" s="4">
        <v>7836</v>
      </c>
      <c r="I28" s="4">
        <f>E28*Rates!$D$2</f>
        <v>8992.5</v>
      </c>
      <c r="J28" s="4">
        <f>F28*Rates!$D$3</f>
        <v>25179</v>
      </c>
      <c r="K28" s="4">
        <f>G28*Rates!$D$4</f>
        <v>269772</v>
      </c>
      <c r="L28" s="4">
        <f>H28*Rates!$D$5</f>
        <v>103435.2</v>
      </c>
      <c r="M28" s="4">
        <f t="shared" si="0"/>
        <v>407378.7</v>
      </c>
    </row>
    <row r="29" spans="1:13" x14ac:dyDescent="0.25">
      <c r="A29" s="3" t="s">
        <v>172</v>
      </c>
      <c r="B29" s="3" t="s">
        <v>143</v>
      </c>
      <c r="C29" s="4">
        <v>2771</v>
      </c>
      <c r="D29" s="4">
        <v>2.1</v>
      </c>
      <c r="E29" s="4">
        <v>36854</v>
      </c>
      <c r="F29" s="4">
        <v>14742</v>
      </c>
      <c r="G29" s="4">
        <v>56348</v>
      </c>
      <c r="H29" s="4">
        <v>7607</v>
      </c>
      <c r="I29" s="4">
        <f>E29*Rates!$D$2</f>
        <v>11056.199999999999</v>
      </c>
      <c r="J29" s="4">
        <f>F29*Rates!$D$3</f>
        <v>30958.2</v>
      </c>
      <c r="K29" s="4">
        <f>G29*Rates!$D$4</f>
        <v>225392</v>
      </c>
      <c r="L29" s="4">
        <f>H29*Rates!$D$5</f>
        <v>100412.4</v>
      </c>
      <c r="M29" s="4">
        <f t="shared" si="0"/>
        <v>367818.80000000005</v>
      </c>
    </row>
    <row r="30" spans="1:13" x14ac:dyDescent="0.25">
      <c r="A30" s="3" t="s">
        <v>173</v>
      </c>
      <c r="B30" s="3" t="s">
        <v>156</v>
      </c>
      <c r="C30" s="4">
        <v>2734.3</v>
      </c>
      <c r="D30" s="4">
        <v>2.2000000000000002</v>
      </c>
      <c r="E30" s="4">
        <v>37187</v>
      </c>
      <c r="F30" s="4">
        <v>14875</v>
      </c>
      <c r="G30" s="4">
        <v>58788</v>
      </c>
      <c r="H30" s="4">
        <v>7863</v>
      </c>
      <c r="I30" s="4">
        <f>E30*Rates!$D$2</f>
        <v>11156.1</v>
      </c>
      <c r="J30" s="4">
        <f>F30*Rates!$D$3</f>
        <v>31237.5</v>
      </c>
      <c r="K30" s="4">
        <f>G30*Rates!$D$4</f>
        <v>235152</v>
      </c>
      <c r="L30" s="4">
        <f>H30*Rates!$D$5</f>
        <v>103791.59999999999</v>
      </c>
      <c r="M30" s="4">
        <f t="shared" si="0"/>
        <v>381337.19999999995</v>
      </c>
    </row>
    <row r="31" spans="1:13" x14ac:dyDescent="0.25">
      <c r="A31" s="3" t="s">
        <v>174</v>
      </c>
      <c r="B31" s="3" t="s">
        <v>156</v>
      </c>
      <c r="C31" s="4">
        <v>1336.9</v>
      </c>
      <c r="D31" s="4">
        <v>2.1</v>
      </c>
      <c r="E31" s="4">
        <v>17781</v>
      </c>
      <c r="F31" s="4">
        <v>7112</v>
      </c>
      <c r="G31" s="4">
        <v>27187</v>
      </c>
      <c r="H31" s="4">
        <v>3670</v>
      </c>
      <c r="I31" s="4">
        <f>E31*Rates!$D$2</f>
        <v>5334.3</v>
      </c>
      <c r="J31" s="4">
        <f>F31*Rates!$D$3</f>
        <v>14935.2</v>
      </c>
      <c r="K31" s="4">
        <f>G31*Rates!$D$4</f>
        <v>108748</v>
      </c>
      <c r="L31" s="4">
        <f>H31*Rates!$D$5</f>
        <v>48444</v>
      </c>
      <c r="M31" s="4">
        <f t="shared" si="0"/>
        <v>177461.5</v>
      </c>
    </row>
    <row r="32" spans="1:13" x14ac:dyDescent="0.25">
      <c r="A32" s="3" t="s">
        <v>175</v>
      </c>
      <c r="B32" s="3" t="s">
        <v>143</v>
      </c>
      <c r="C32" s="4">
        <v>1948.2</v>
      </c>
      <c r="D32" s="4">
        <v>2.7</v>
      </c>
      <c r="E32" s="4">
        <v>29418</v>
      </c>
      <c r="F32" s="4">
        <v>11767</v>
      </c>
      <c r="G32" s="4">
        <v>54112</v>
      </c>
      <c r="H32" s="4">
        <v>6876</v>
      </c>
      <c r="I32" s="4">
        <f>E32*Rates!$D$2</f>
        <v>8825.4</v>
      </c>
      <c r="J32" s="4">
        <f>F32*Rates!$D$3</f>
        <v>24710.7</v>
      </c>
      <c r="K32" s="4">
        <f>G32*Rates!$D$4</f>
        <v>216448</v>
      </c>
      <c r="L32" s="4">
        <f>H32*Rates!$D$5</f>
        <v>90763.199999999997</v>
      </c>
      <c r="M32" s="4">
        <f t="shared" si="0"/>
        <v>340747.3</v>
      </c>
    </row>
    <row r="33" spans="1:13" x14ac:dyDescent="0.25">
      <c r="A33" s="3" t="s">
        <v>176</v>
      </c>
      <c r="B33" s="3" t="s">
        <v>143</v>
      </c>
      <c r="C33" s="4">
        <v>388.7</v>
      </c>
      <c r="D33" s="4">
        <v>3.3</v>
      </c>
      <c r="E33" s="4">
        <v>6569</v>
      </c>
      <c r="F33" s="4">
        <v>2628</v>
      </c>
      <c r="G33" s="4">
        <v>14108</v>
      </c>
      <c r="H33" s="4">
        <v>1677</v>
      </c>
      <c r="I33" s="4">
        <f>E33*Rates!$D$2</f>
        <v>1970.6999999999998</v>
      </c>
      <c r="J33" s="4">
        <f>F33*Rates!$D$3</f>
        <v>5518.8</v>
      </c>
      <c r="K33" s="4">
        <f>G33*Rates!$D$4</f>
        <v>56432</v>
      </c>
      <c r="L33" s="4">
        <f>H33*Rates!$D$5</f>
        <v>22136.399999999998</v>
      </c>
      <c r="M33" s="4">
        <f t="shared" si="0"/>
        <v>86057.9</v>
      </c>
    </row>
    <row r="34" spans="1:13" x14ac:dyDescent="0.25">
      <c r="A34" s="3" t="s">
        <v>177</v>
      </c>
      <c r="B34" s="3" t="s">
        <v>143</v>
      </c>
      <c r="C34" s="4">
        <v>2780.1</v>
      </c>
      <c r="D34" s="4">
        <v>2.2999999999999998</v>
      </c>
      <c r="E34" s="4">
        <v>38644</v>
      </c>
      <c r="F34" s="4">
        <v>15457</v>
      </c>
      <c r="G34" s="4">
        <v>63095</v>
      </c>
      <c r="H34" s="4">
        <v>8358</v>
      </c>
      <c r="I34" s="4">
        <f>E34*Rates!$D$2</f>
        <v>11593.199999999999</v>
      </c>
      <c r="J34" s="4">
        <f>F34*Rates!$D$3</f>
        <v>32459.7</v>
      </c>
      <c r="K34" s="4">
        <f>G34*Rates!$D$4</f>
        <v>252380</v>
      </c>
      <c r="L34" s="4">
        <f>H34*Rates!$D$5</f>
        <v>110325.59999999999</v>
      </c>
      <c r="M34" s="4">
        <f t="shared" si="0"/>
        <v>406758.5</v>
      </c>
    </row>
    <row r="35" spans="1:13" x14ac:dyDescent="0.25">
      <c r="A35" s="3" t="s">
        <v>178</v>
      </c>
      <c r="B35" s="3" t="s">
        <v>143</v>
      </c>
      <c r="C35" s="4">
        <v>4272</v>
      </c>
      <c r="D35" s="4">
        <v>2.2999999999999998</v>
      </c>
      <c r="E35" s="4">
        <v>59381</v>
      </c>
      <c r="F35" s="4">
        <v>23753</v>
      </c>
      <c r="G35" s="4">
        <v>96954</v>
      </c>
      <c r="H35" s="4">
        <v>12844</v>
      </c>
      <c r="I35" s="4">
        <f>E35*Rates!$D$2</f>
        <v>17814.3</v>
      </c>
      <c r="J35" s="4">
        <f>F35*Rates!$D$3</f>
        <v>49881.3</v>
      </c>
      <c r="K35" s="4">
        <f>G35*Rates!$D$4</f>
        <v>387816</v>
      </c>
      <c r="L35" s="4">
        <f>H35*Rates!$D$5</f>
        <v>169540.8</v>
      </c>
      <c r="M35" s="4">
        <f t="shared" si="0"/>
        <v>625052.39999999991</v>
      </c>
    </row>
    <row r="36" spans="1:13" x14ac:dyDescent="0.25">
      <c r="A36" s="3" t="s">
        <v>179</v>
      </c>
      <c r="B36" s="3" t="s">
        <v>143</v>
      </c>
      <c r="C36" s="4">
        <v>958</v>
      </c>
      <c r="D36" s="4">
        <v>2.2000000000000002</v>
      </c>
      <c r="E36" s="4">
        <v>13029</v>
      </c>
      <c r="F36" s="4">
        <v>5211</v>
      </c>
      <c r="G36" s="4">
        <v>20597</v>
      </c>
      <c r="H36" s="4">
        <v>2755</v>
      </c>
      <c r="I36" s="4">
        <f>E36*Rates!$D$2</f>
        <v>3908.7</v>
      </c>
      <c r="J36" s="4">
        <f>F36*Rates!$D$3</f>
        <v>10943.1</v>
      </c>
      <c r="K36" s="4">
        <f>G36*Rates!$D$4</f>
        <v>82388</v>
      </c>
      <c r="L36" s="4">
        <f>H36*Rates!$D$5</f>
        <v>36366</v>
      </c>
      <c r="M36" s="4">
        <f t="shared" si="0"/>
        <v>133605.79999999999</v>
      </c>
    </row>
    <row r="37" spans="1:13" x14ac:dyDescent="0.25">
      <c r="A37" s="3" t="s">
        <v>180</v>
      </c>
      <c r="B37" s="3" t="s">
        <v>143</v>
      </c>
      <c r="C37" s="4">
        <v>424.9</v>
      </c>
      <c r="D37" s="4">
        <v>2.6</v>
      </c>
      <c r="E37" s="4">
        <v>6289</v>
      </c>
      <c r="F37" s="4">
        <v>2515</v>
      </c>
      <c r="G37" s="4">
        <v>11243</v>
      </c>
      <c r="H37" s="4">
        <v>1444</v>
      </c>
      <c r="I37" s="4">
        <f>E37*Rates!$D$2</f>
        <v>1886.6999999999998</v>
      </c>
      <c r="J37" s="4">
        <f>F37*Rates!$D$3</f>
        <v>5281.5</v>
      </c>
      <c r="K37" s="4">
        <f>G37*Rates!$D$4</f>
        <v>44972</v>
      </c>
      <c r="L37" s="4">
        <f>H37*Rates!$D$5</f>
        <v>19060.8</v>
      </c>
      <c r="M37" s="4">
        <f t="shared" si="0"/>
        <v>71201</v>
      </c>
    </row>
    <row r="38" spans="1:13" x14ac:dyDescent="0.25">
      <c r="A38" s="6" t="s">
        <v>19</v>
      </c>
      <c r="B38" s="6"/>
      <c r="C38" s="7">
        <f t="shared" ref="C38:M38" si="1">SUM(C2:C37)</f>
        <v>62471.900000000016</v>
      </c>
      <c r="D38" s="7">
        <f t="shared" si="1"/>
        <v>82.199999999999989</v>
      </c>
      <c r="E38" s="7">
        <f t="shared" si="1"/>
        <v>835032</v>
      </c>
      <c r="F38" s="7">
        <f t="shared" si="1"/>
        <v>334011</v>
      </c>
      <c r="G38" s="7">
        <f t="shared" si="1"/>
        <v>1301489</v>
      </c>
      <c r="H38" s="7">
        <f t="shared" si="1"/>
        <v>173299</v>
      </c>
      <c r="I38" s="7">
        <f t="shared" si="1"/>
        <v>250509.6</v>
      </c>
      <c r="J38" s="7">
        <f t="shared" si="1"/>
        <v>701423.09999999986</v>
      </c>
      <c r="K38" s="7">
        <f t="shared" si="1"/>
        <v>5205956</v>
      </c>
      <c r="L38" s="7">
        <f t="shared" si="1"/>
        <v>2287546.7999999993</v>
      </c>
      <c r="M38" s="7">
        <f t="shared" si="1"/>
        <v>8445435.5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63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6" customWidth="1"/>
    <col min="3" max="4" width="12" customWidth="1"/>
    <col min="5" max="5" width="6" customWidth="1"/>
    <col min="6" max="7" width="8" customWidth="1"/>
    <col min="8" max="8" width="10" customWidth="1"/>
    <col min="9" max="9" width="8" customWidth="1"/>
    <col min="10" max="24" width="11" customWidth="1"/>
    <col min="25" max="39" width="12" customWidth="1"/>
  </cols>
  <sheetData>
    <row r="1" spans="1:39" ht="51.95" customHeight="1" x14ac:dyDescent="0.25">
      <c r="A1" s="2" t="s">
        <v>181</v>
      </c>
      <c r="B1" s="2" t="s">
        <v>182</v>
      </c>
      <c r="C1" s="2" t="s">
        <v>76</v>
      </c>
      <c r="D1" s="2" t="s">
        <v>183</v>
      </c>
      <c r="E1" s="2" t="s">
        <v>184</v>
      </c>
      <c r="F1" s="2" t="s">
        <v>185</v>
      </c>
      <c r="G1" s="2" t="s">
        <v>186</v>
      </c>
      <c r="H1" s="2" t="s">
        <v>187</v>
      </c>
      <c r="I1" s="2" t="s">
        <v>188</v>
      </c>
      <c r="J1" s="2" t="s">
        <v>189</v>
      </c>
      <c r="K1" s="2" t="s">
        <v>190</v>
      </c>
      <c r="L1" s="2" t="s">
        <v>191</v>
      </c>
      <c r="M1" s="2" t="s">
        <v>192</v>
      </c>
      <c r="N1" s="2" t="s">
        <v>193</v>
      </c>
      <c r="O1" s="2" t="s">
        <v>194</v>
      </c>
      <c r="P1" s="2" t="s">
        <v>195</v>
      </c>
      <c r="Q1" s="2" t="s">
        <v>196</v>
      </c>
      <c r="R1" s="2" t="s">
        <v>197</v>
      </c>
      <c r="S1" s="2" t="s">
        <v>198</v>
      </c>
      <c r="T1" s="2" t="s">
        <v>199</v>
      </c>
      <c r="U1" s="2" t="s">
        <v>200</v>
      </c>
      <c r="V1" s="2" t="s">
        <v>201</v>
      </c>
      <c r="W1" s="2" t="s">
        <v>202</v>
      </c>
      <c r="X1" s="2" t="s">
        <v>203</v>
      </c>
      <c r="Y1" s="2" t="s">
        <v>204</v>
      </c>
      <c r="Z1" s="2" t="s">
        <v>205</v>
      </c>
      <c r="AA1" s="2" t="s">
        <v>206</v>
      </c>
      <c r="AB1" s="2" t="s">
        <v>207</v>
      </c>
      <c r="AC1" s="2" t="s">
        <v>208</v>
      </c>
      <c r="AD1" s="2" t="s">
        <v>209</v>
      </c>
      <c r="AE1" s="2" t="s">
        <v>210</v>
      </c>
      <c r="AF1" s="2" t="s">
        <v>211</v>
      </c>
      <c r="AG1" s="2" t="s">
        <v>212</v>
      </c>
      <c r="AH1" s="2" t="s">
        <v>213</v>
      </c>
      <c r="AI1" s="2" t="s">
        <v>214</v>
      </c>
      <c r="AJ1" s="2" t="s">
        <v>215</v>
      </c>
      <c r="AK1" s="2" t="s">
        <v>216</v>
      </c>
      <c r="AL1" s="2" t="s">
        <v>217</v>
      </c>
      <c r="AM1" s="2" t="s">
        <v>218</v>
      </c>
    </row>
    <row r="2" spans="1:39" x14ac:dyDescent="0.25">
      <c r="A2" s="3">
        <v>1</v>
      </c>
      <c r="B2" s="3" t="s">
        <v>219</v>
      </c>
      <c r="C2" s="3" t="s">
        <v>98</v>
      </c>
      <c r="D2" s="3" t="s">
        <v>220</v>
      </c>
      <c r="E2" s="4">
        <v>23</v>
      </c>
      <c r="F2" s="4">
        <v>4</v>
      </c>
      <c r="G2" s="4">
        <v>3</v>
      </c>
      <c r="H2" s="4">
        <v>98</v>
      </c>
      <c r="I2" s="4">
        <v>32</v>
      </c>
      <c r="J2" s="4">
        <v>2454.4</v>
      </c>
      <c r="K2" s="4">
        <f t="shared" ref="K2:K33" si="0">0.12*J2</f>
        <v>294.52800000000002</v>
      </c>
      <c r="L2" s="4">
        <v>345</v>
      </c>
      <c r="M2" s="4">
        <v>320</v>
      </c>
      <c r="N2" s="4">
        <v>3449.6</v>
      </c>
      <c r="O2" s="4">
        <v>345</v>
      </c>
      <c r="P2" s="4">
        <v>172.5</v>
      </c>
      <c r="Q2" s="4">
        <v>172.5</v>
      </c>
      <c r="R2" s="4">
        <v>3449.6</v>
      </c>
      <c r="S2" s="4">
        <v>6899.2</v>
      </c>
      <c r="T2" s="4">
        <v>10.78</v>
      </c>
      <c r="U2" s="4">
        <v>215.6</v>
      </c>
      <c r="V2" s="4">
        <v>54</v>
      </c>
      <c r="W2" s="4">
        <v>3773</v>
      </c>
      <c r="X2" s="4">
        <v>0</v>
      </c>
      <c r="Y2" s="4">
        <f>J2*Rates!$D$6</f>
        <v>262375.36000000004</v>
      </c>
      <c r="Z2" s="4">
        <f>K2*Rates!$D$7</f>
        <v>122847.62880000002</v>
      </c>
      <c r="AA2" s="4">
        <f>L2*Rates!$D$8</f>
        <v>15525</v>
      </c>
      <c r="AB2" s="4">
        <f>M2*Rates!$D$9</f>
        <v>640</v>
      </c>
      <c r="AC2" s="4">
        <f>O2*Rates!$D$10</f>
        <v>2242.5</v>
      </c>
      <c r="AD2" s="4">
        <f>P2*Rates!$D$11</f>
        <v>7762.5</v>
      </c>
      <c r="AE2" s="4">
        <f>Q2*Rates!$D$12</f>
        <v>8107.5</v>
      </c>
      <c r="AF2" s="4">
        <f>R2*Rates!$D$13</f>
        <v>1552.32</v>
      </c>
      <c r="AG2" s="4">
        <f>S2*Rates!$D$14</f>
        <v>2414.7199999999998</v>
      </c>
      <c r="AH2" s="4">
        <f>T2*Rates!$D$15</f>
        <v>43.12</v>
      </c>
      <c r="AI2" s="4">
        <f>U2*Rates!$D$16</f>
        <v>11426.8</v>
      </c>
      <c r="AJ2" s="4">
        <f>V2*Rates!$D$17</f>
        <v>162</v>
      </c>
      <c r="AK2" s="4">
        <f>W2*Rates!$D$18</f>
        <v>754.6</v>
      </c>
      <c r="AL2" s="4">
        <f>X2*Rates!$D$19</f>
        <v>0</v>
      </c>
      <c r="AM2" s="4">
        <f t="shared" ref="AM2:AM33" si="1">SUM(Y2:AL2)</f>
        <v>435854.04879999999</v>
      </c>
    </row>
    <row r="3" spans="1:39" x14ac:dyDescent="0.25">
      <c r="A3" s="3">
        <v>2</v>
      </c>
      <c r="B3" s="3" t="s">
        <v>221</v>
      </c>
      <c r="C3" s="3" t="s">
        <v>98</v>
      </c>
      <c r="D3" s="3" t="s">
        <v>222</v>
      </c>
      <c r="E3" s="4">
        <v>16</v>
      </c>
      <c r="F3" s="4">
        <v>4</v>
      </c>
      <c r="G3" s="4">
        <v>2.5</v>
      </c>
      <c r="H3" s="4">
        <v>68.25</v>
      </c>
      <c r="I3" s="4">
        <v>45</v>
      </c>
      <c r="J3" s="4">
        <v>2322</v>
      </c>
      <c r="K3" s="4">
        <f t="shared" si="0"/>
        <v>278.64</v>
      </c>
      <c r="L3" s="4">
        <v>337.8</v>
      </c>
      <c r="M3" s="4">
        <v>405</v>
      </c>
      <c r="N3" s="4">
        <v>3378.4</v>
      </c>
      <c r="O3" s="4">
        <v>337.8</v>
      </c>
      <c r="P3" s="4">
        <v>168.9</v>
      </c>
      <c r="Q3" s="4">
        <v>168.9</v>
      </c>
      <c r="R3" s="4">
        <v>3378.4</v>
      </c>
      <c r="S3" s="4">
        <v>6756.8</v>
      </c>
      <c r="T3" s="4">
        <v>7.51</v>
      </c>
      <c r="U3" s="4">
        <v>150.19999999999999</v>
      </c>
      <c r="V3" s="4">
        <v>38</v>
      </c>
      <c r="W3" s="4">
        <v>3603.6</v>
      </c>
      <c r="X3" s="4">
        <v>10135.1</v>
      </c>
      <c r="Y3" s="4">
        <f>J3*Rates!$D$6</f>
        <v>248221.80000000002</v>
      </c>
      <c r="Z3" s="4">
        <f>K3*Rates!$D$7</f>
        <v>116220.74400000001</v>
      </c>
      <c r="AA3" s="4">
        <f>L3*Rates!$D$8</f>
        <v>15201</v>
      </c>
      <c r="AB3" s="4">
        <f>M3*Rates!$D$9</f>
        <v>810</v>
      </c>
      <c r="AC3" s="4">
        <f>O3*Rates!$D$10</f>
        <v>2195.7000000000003</v>
      </c>
      <c r="AD3" s="4">
        <f>P3*Rates!$D$11</f>
        <v>7600.5</v>
      </c>
      <c r="AE3" s="4">
        <f>Q3*Rates!$D$12</f>
        <v>7938.3</v>
      </c>
      <c r="AF3" s="4">
        <f>R3*Rates!$D$13</f>
        <v>1520.28</v>
      </c>
      <c r="AG3" s="4">
        <f>S3*Rates!$D$14</f>
        <v>2364.88</v>
      </c>
      <c r="AH3" s="4">
        <f>T3*Rates!$D$15</f>
        <v>30.04</v>
      </c>
      <c r="AI3" s="4">
        <f>U3*Rates!$D$16</f>
        <v>7960.5999999999995</v>
      </c>
      <c r="AJ3" s="4">
        <f>V3*Rates!$D$17</f>
        <v>114</v>
      </c>
      <c r="AK3" s="4">
        <f>W3*Rates!$D$18</f>
        <v>720.72</v>
      </c>
      <c r="AL3" s="4">
        <f>X3*Rates!$D$19</f>
        <v>40540.400000000001</v>
      </c>
      <c r="AM3" s="4">
        <f t="shared" si="1"/>
        <v>451438.96399999998</v>
      </c>
    </row>
    <row r="4" spans="1:39" x14ac:dyDescent="0.25">
      <c r="A4" s="3">
        <v>3</v>
      </c>
      <c r="B4" s="3" t="s">
        <v>223</v>
      </c>
      <c r="C4" s="3" t="s">
        <v>98</v>
      </c>
      <c r="D4" s="3" t="s">
        <v>224</v>
      </c>
      <c r="E4" s="4">
        <v>8</v>
      </c>
      <c r="F4" s="4">
        <v>4</v>
      </c>
      <c r="G4" s="4">
        <v>2.5</v>
      </c>
      <c r="H4" s="4">
        <v>34.25</v>
      </c>
      <c r="I4" s="4">
        <v>45</v>
      </c>
      <c r="J4" s="4">
        <v>1179</v>
      </c>
      <c r="K4" s="4">
        <f t="shared" si="0"/>
        <v>141.47999999999999</v>
      </c>
      <c r="L4" s="4">
        <v>169.5</v>
      </c>
      <c r="M4" s="4">
        <v>405</v>
      </c>
      <c r="N4" s="4">
        <v>1695.4</v>
      </c>
      <c r="O4" s="4">
        <v>169.5</v>
      </c>
      <c r="P4" s="4">
        <v>84.8</v>
      </c>
      <c r="Q4" s="4">
        <v>84.8</v>
      </c>
      <c r="R4" s="4">
        <v>1695.4</v>
      </c>
      <c r="S4" s="4">
        <v>3390.8</v>
      </c>
      <c r="T4" s="4">
        <v>3.77</v>
      </c>
      <c r="U4" s="4">
        <v>75.400000000000006</v>
      </c>
      <c r="V4" s="4">
        <v>19</v>
      </c>
      <c r="W4" s="4">
        <v>1808.4</v>
      </c>
      <c r="X4" s="4">
        <v>0</v>
      </c>
      <c r="Y4" s="4">
        <f>J4*Rates!$D$6</f>
        <v>126035.1</v>
      </c>
      <c r="Z4" s="4">
        <f>K4*Rates!$D$7</f>
        <v>59011.307999999997</v>
      </c>
      <c r="AA4" s="4">
        <f>L4*Rates!$D$8</f>
        <v>7627.5</v>
      </c>
      <c r="AB4" s="4">
        <f>M4*Rates!$D$9</f>
        <v>810</v>
      </c>
      <c r="AC4" s="4">
        <f>O4*Rates!$D$10</f>
        <v>1101.75</v>
      </c>
      <c r="AD4" s="4">
        <f>P4*Rates!$D$11</f>
        <v>3816</v>
      </c>
      <c r="AE4" s="4">
        <f>Q4*Rates!$D$12</f>
        <v>3985.6</v>
      </c>
      <c r="AF4" s="4">
        <f>R4*Rates!$D$13</f>
        <v>762.93000000000006</v>
      </c>
      <c r="AG4" s="4">
        <f>S4*Rates!$D$14</f>
        <v>1186.78</v>
      </c>
      <c r="AH4" s="4">
        <f>T4*Rates!$D$15</f>
        <v>15.08</v>
      </c>
      <c r="AI4" s="4">
        <f>U4*Rates!$D$16</f>
        <v>3996.2000000000003</v>
      </c>
      <c r="AJ4" s="4">
        <f>V4*Rates!$D$17</f>
        <v>57</v>
      </c>
      <c r="AK4" s="4">
        <f>W4*Rates!$D$18</f>
        <v>361.68000000000006</v>
      </c>
      <c r="AL4" s="4">
        <f>X4*Rates!$D$19</f>
        <v>0</v>
      </c>
      <c r="AM4" s="4">
        <f t="shared" si="1"/>
        <v>208766.92799999999</v>
      </c>
    </row>
    <row r="5" spans="1:39" x14ac:dyDescent="0.25">
      <c r="A5" s="3">
        <v>4</v>
      </c>
      <c r="B5" s="3" t="s">
        <v>221</v>
      </c>
      <c r="C5" s="3" t="s">
        <v>100</v>
      </c>
      <c r="D5" s="3" t="s">
        <v>225</v>
      </c>
      <c r="E5" s="4">
        <v>14</v>
      </c>
      <c r="F5" s="4">
        <v>4</v>
      </c>
      <c r="G5" s="4">
        <v>2.5</v>
      </c>
      <c r="H5" s="4">
        <v>59.75</v>
      </c>
      <c r="I5" s="4">
        <v>45</v>
      </c>
      <c r="J5" s="4">
        <v>2036.3</v>
      </c>
      <c r="K5" s="4">
        <f t="shared" si="0"/>
        <v>244.35599999999999</v>
      </c>
      <c r="L5" s="4">
        <v>295.8</v>
      </c>
      <c r="M5" s="4">
        <v>405</v>
      </c>
      <c r="N5" s="4">
        <v>2957.6</v>
      </c>
      <c r="O5" s="4">
        <v>295.8</v>
      </c>
      <c r="P5" s="4">
        <v>147.9</v>
      </c>
      <c r="Q5" s="4">
        <v>147.9</v>
      </c>
      <c r="R5" s="4">
        <v>2957.6</v>
      </c>
      <c r="S5" s="4">
        <v>5915.3</v>
      </c>
      <c r="T5" s="4">
        <v>6.57</v>
      </c>
      <c r="U5" s="4">
        <v>131.5</v>
      </c>
      <c r="V5" s="4">
        <v>33</v>
      </c>
      <c r="W5" s="4">
        <v>3154.8</v>
      </c>
      <c r="X5" s="4">
        <v>8872.9</v>
      </c>
      <c r="Y5" s="4">
        <f>J5*Rates!$D$6</f>
        <v>217680.47</v>
      </c>
      <c r="Z5" s="4">
        <f>K5*Rates!$D$7</f>
        <v>101920.8876</v>
      </c>
      <c r="AA5" s="4">
        <f>L5*Rates!$D$8</f>
        <v>13311</v>
      </c>
      <c r="AB5" s="4">
        <f>M5*Rates!$D$9</f>
        <v>810</v>
      </c>
      <c r="AC5" s="4">
        <f>O5*Rates!$D$10</f>
        <v>1922.7</v>
      </c>
      <c r="AD5" s="4">
        <f>P5*Rates!$D$11</f>
        <v>6655.5</v>
      </c>
      <c r="AE5" s="4">
        <f>Q5*Rates!$D$12</f>
        <v>6951.3</v>
      </c>
      <c r="AF5" s="4">
        <f>R5*Rates!$D$13</f>
        <v>1330.92</v>
      </c>
      <c r="AG5" s="4">
        <f>S5*Rates!$D$14</f>
        <v>2070.355</v>
      </c>
      <c r="AH5" s="4">
        <f>T5*Rates!$D$15</f>
        <v>26.28</v>
      </c>
      <c r="AI5" s="4">
        <f>U5*Rates!$D$16</f>
        <v>6969.5</v>
      </c>
      <c r="AJ5" s="4">
        <f>V5*Rates!$D$17</f>
        <v>99</v>
      </c>
      <c r="AK5" s="4">
        <f>W5*Rates!$D$18</f>
        <v>630.96</v>
      </c>
      <c r="AL5" s="4">
        <f>X5*Rates!$D$19</f>
        <v>35491.599999999999</v>
      </c>
      <c r="AM5" s="4">
        <f t="shared" si="1"/>
        <v>395870.47259999998</v>
      </c>
    </row>
    <row r="6" spans="1:39" x14ac:dyDescent="0.25">
      <c r="A6" s="3">
        <v>5</v>
      </c>
      <c r="B6" s="3" t="s">
        <v>223</v>
      </c>
      <c r="C6" s="3" t="s">
        <v>100</v>
      </c>
      <c r="D6" s="3" t="s">
        <v>226</v>
      </c>
      <c r="E6" s="4">
        <v>8</v>
      </c>
      <c r="F6" s="4">
        <v>4</v>
      </c>
      <c r="G6" s="4">
        <v>2.5</v>
      </c>
      <c r="H6" s="4">
        <v>34.25</v>
      </c>
      <c r="I6" s="4">
        <v>45</v>
      </c>
      <c r="J6" s="4">
        <v>1179</v>
      </c>
      <c r="K6" s="4">
        <f t="shared" si="0"/>
        <v>141.47999999999999</v>
      </c>
      <c r="L6" s="4">
        <v>169.5</v>
      </c>
      <c r="M6" s="4">
        <v>405</v>
      </c>
      <c r="N6" s="4">
        <v>1695.4</v>
      </c>
      <c r="O6" s="4">
        <v>169.5</v>
      </c>
      <c r="P6" s="4">
        <v>84.8</v>
      </c>
      <c r="Q6" s="4">
        <v>84.8</v>
      </c>
      <c r="R6" s="4">
        <v>1695.4</v>
      </c>
      <c r="S6" s="4">
        <v>3390.8</v>
      </c>
      <c r="T6" s="4">
        <v>3.77</v>
      </c>
      <c r="U6" s="4">
        <v>75.400000000000006</v>
      </c>
      <c r="V6" s="4">
        <v>19</v>
      </c>
      <c r="W6" s="4">
        <v>1808.4</v>
      </c>
      <c r="X6" s="4">
        <v>0</v>
      </c>
      <c r="Y6" s="4">
        <f>J6*Rates!$D$6</f>
        <v>126035.1</v>
      </c>
      <c r="Z6" s="4">
        <f>K6*Rates!$D$7</f>
        <v>59011.307999999997</v>
      </c>
      <c r="AA6" s="4">
        <f>L6*Rates!$D$8</f>
        <v>7627.5</v>
      </c>
      <c r="AB6" s="4">
        <f>M6*Rates!$D$9</f>
        <v>810</v>
      </c>
      <c r="AC6" s="4">
        <f>O6*Rates!$D$10</f>
        <v>1101.75</v>
      </c>
      <c r="AD6" s="4">
        <f>P6*Rates!$D$11</f>
        <v>3816</v>
      </c>
      <c r="AE6" s="4">
        <f>Q6*Rates!$D$12</f>
        <v>3985.6</v>
      </c>
      <c r="AF6" s="4">
        <f>R6*Rates!$D$13</f>
        <v>762.93000000000006</v>
      </c>
      <c r="AG6" s="4">
        <f>S6*Rates!$D$14</f>
        <v>1186.78</v>
      </c>
      <c r="AH6" s="4">
        <f>T6*Rates!$D$15</f>
        <v>15.08</v>
      </c>
      <c r="AI6" s="4">
        <f>U6*Rates!$D$16</f>
        <v>3996.2000000000003</v>
      </c>
      <c r="AJ6" s="4">
        <f>V6*Rates!$D$17</f>
        <v>57</v>
      </c>
      <c r="AK6" s="4">
        <f>W6*Rates!$D$18</f>
        <v>361.68000000000006</v>
      </c>
      <c r="AL6" s="4">
        <f>X6*Rates!$D$19</f>
        <v>0</v>
      </c>
      <c r="AM6" s="4">
        <f t="shared" si="1"/>
        <v>208766.92799999999</v>
      </c>
    </row>
    <row r="7" spans="1:39" x14ac:dyDescent="0.25">
      <c r="A7" s="3">
        <v>6</v>
      </c>
      <c r="B7" s="3" t="s">
        <v>221</v>
      </c>
      <c r="C7" s="3" t="s">
        <v>104</v>
      </c>
      <c r="D7" s="3" t="s">
        <v>227</v>
      </c>
      <c r="E7" s="4">
        <v>12</v>
      </c>
      <c r="F7" s="4">
        <v>4</v>
      </c>
      <c r="G7" s="4">
        <v>2.5</v>
      </c>
      <c r="H7" s="4">
        <v>51.25</v>
      </c>
      <c r="I7" s="4">
        <v>45</v>
      </c>
      <c r="J7" s="4">
        <v>1750.5</v>
      </c>
      <c r="K7" s="4">
        <f t="shared" si="0"/>
        <v>210.06</v>
      </c>
      <c r="L7" s="4">
        <v>253.7</v>
      </c>
      <c r="M7" s="4">
        <v>405</v>
      </c>
      <c r="N7" s="4">
        <v>2536.9</v>
      </c>
      <c r="O7" s="4">
        <v>253.7</v>
      </c>
      <c r="P7" s="4">
        <v>126.8</v>
      </c>
      <c r="Q7" s="4">
        <v>126.8</v>
      </c>
      <c r="R7" s="4">
        <v>2536.9</v>
      </c>
      <c r="S7" s="4">
        <v>5073.8</v>
      </c>
      <c r="T7" s="4">
        <v>5.64</v>
      </c>
      <c r="U7" s="4">
        <v>112.8</v>
      </c>
      <c r="V7" s="4">
        <v>29</v>
      </c>
      <c r="W7" s="4">
        <v>2706</v>
      </c>
      <c r="X7" s="4">
        <v>0</v>
      </c>
      <c r="Y7" s="4">
        <f>J7*Rates!$D$6</f>
        <v>187128.45</v>
      </c>
      <c r="Z7" s="4">
        <f>K7*Rates!$D$7</f>
        <v>87616.026000000013</v>
      </c>
      <c r="AA7" s="4">
        <f>L7*Rates!$D$8</f>
        <v>11416.5</v>
      </c>
      <c r="AB7" s="4">
        <f>M7*Rates!$D$9</f>
        <v>810</v>
      </c>
      <c r="AC7" s="4">
        <f>O7*Rates!$D$10</f>
        <v>1649.05</v>
      </c>
      <c r="AD7" s="4">
        <f>P7*Rates!$D$11</f>
        <v>5706</v>
      </c>
      <c r="AE7" s="4">
        <f>Q7*Rates!$D$12</f>
        <v>5959.5999999999995</v>
      </c>
      <c r="AF7" s="4">
        <f>R7*Rates!$D$13</f>
        <v>1141.605</v>
      </c>
      <c r="AG7" s="4">
        <f>S7*Rates!$D$14</f>
        <v>1775.83</v>
      </c>
      <c r="AH7" s="4">
        <f>T7*Rates!$D$15</f>
        <v>22.56</v>
      </c>
      <c r="AI7" s="4">
        <f>U7*Rates!$D$16</f>
        <v>5978.4</v>
      </c>
      <c r="AJ7" s="4">
        <f>V7*Rates!$D$17</f>
        <v>87</v>
      </c>
      <c r="AK7" s="4">
        <f>W7*Rates!$D$18</f>
        <v>541.20000000000005</v>
      </c>
      <c r="AL7" s="4">
        <f>X7*Rates!$D$19</f>
        <v>0</v>
      </c>
      <c r="AM7" s="4">
        <f t="shared" si="1"/>
        <v>309832.22100000002</v>
      </c>
    </row>
    <row r="8" spans="1:39" x14ac:dyDescent="0.25">
      <c r="A8" s="3">
        <v>7</v>
      </c>
      <c r="B8" s="3" t="s">
        <v>223</v>
      </c>
      <c r="C8" s="3" t="s">
        <v>104</v>
      </c>
      <c r="D8" s="3" t="s">
        <v>228</v>
      </c>
      <c r="E8" s="4">
        <v>6</v>
      </c>
      <c r="F8" s="4">
        <v>4</v>
      </c>
      <c r="G8" s="4">
        <v>2.5</v>
      </c>
      <c r="H8" s="4">
        <v>25.75</v>
      </c>
      <c r="I8" s="4">
        <v>45</v>
      </c>
      <c r="J8" s="4">
        <v>893.3</v>
      </c>
      <c r="K8" s="4">
        <f t="shared" si="0"/>
        <v>107.19599999999998</v>
      </c>
      <c r="L8" s="4">
        <v>127.5</v>
      </c>
      <c r="M8" s="4">
        <v>405</v>
      </c>
      <c r="N8" s="4">
        <v>1274.5999999999999</v>
      </c>
      <c r="O8" s="4">
        <v>127.5</v>
      </c>
      <c r="P8" s="4">
        <v>63.7</v>
      </c>
      <c r="Q8" s="4">
        <v>63.7</v>
      </c>
      <c r="R8" s="4">
        <v>1274.5999999999999</v>
      </c>
      <c r="S8" s="4">
        <v>2549.1999999999998</v>
      </c>
      <c r="T8" s="4">
        <v>2.83</v>
      </c>
      <c r="U8" s="4">
        <v>56.7</v>
      </c>
      <c r="V8" s="4">
        <v>15</v>
      </c>
      <c r="W8" s="4">
        <v>1359.6</v>
      </c>
      <c r="X8" s="4">
        <v>0</v>
      </c>
      <c r="Y8" s="4">
        <f>J8*Rates!$D$6</f>
        <v>95493.77</v>
      </c>
      <c r="Z8" s="4">
        <f>K8*Rates!$D$7</f>
        <v>44711.451599999993</v>
      </c>
      <c r="AA8" s="4">
        <f>L8*Rates!$D$8</f>
        <v>5737.5</v>
      </c>
      <c r="AB8" s="4">
        <f>M8*Rates!$D$9</f>
        <v>810</v>
      </c>
      <c r="AC8" s="4">
        <f>O8*Rates!$D$10</f>
        <v>828.75</v>
      </c>
      <c r="AD8" s="4">
        <f>P8*Rates!$D$11</f>
        <v>2866.5</v>
      </c>
      <c r="AE8" s="4">
        <f>Q8*Rates!$D$12</f>
        <v>2993.9</v>
      </c>
      <c r="AF8" s="4">
        <f>R8*Rates!$D$13</f>
        <v>573.56999999999994</v>
      </c>
      <c r="AG8" s="4">
        <f>S8*Rates!$D$14</f>
        <v>892.21999999999991</v>
      </c>
      <c r="AH8" s="4">
        <f>T8*Rates!$D$15</f>
        <v>11.32</v>
      </c>
      <c r="AI8" s="4">
        <f>U8*Rates!$D$16</f>
        <v>3005.1000000000004</v>
      </c>
      <c r="AJ8" s="4">
        <f>V8*Rates!$D$17</f>
        <v>45</v>
      </c>
      <c r="AK8" s="4">
        <f>W8*Rates!$D$18</f>
        <v>271.92</v>
      </c>
      <c r="AL8" s="4">
        <f>X8*Rates!$D$19</f>
        <v>0</v>
      </c>
      <c r="AM8" s="4">
        <f t="shared" si="1"/>
        <v>158241.00160000002</v>
      </c>
    </row>
    <row r="9" spans="1:39" x14ac:dyDescent="0.25">
      <c r="A9" s="3">
        <v>8</v>
      </c>
      <c r="B9" s="3" t="s">
        <v>219</v>
      </c>
      <c r="C9" s="3" t="s">
        <v>106</v>
      </c>
      <c r="D9" s="3" t="s">
        <v>229</v>
      </c>
      <c r="E9" s="4">
        <v>8</v>
      </c>
      <c r="F9" s="4">
        <v>4</v>
      </c>
      <c r="G9" s="4">
        <v>2.5</v>
      </c>
      <c r="H9" s="4">
        <v>34.25</v>
      </c>
      <c r="I9" s="4">
        <v>32</v>
      </c>
      <c r="J9" s="4">
        <v>838.4</v>
      </c>
      <c r="K9" s="4">
        <f t="shared" si="0"/>
        <v>100.60799999999999</v>
      </c>
      <c r="L9" s="4">
        <v>120.6</v>
      </c>
      <c r="M9" s="4">
        <v>288</v>
      </c>
      <c r="N9" s="4">
        <v>1205.5999999999999</v>
      </c>
      <c r="O9" s="4">
        <v>120.6</v>
      </c>
      <c r="P9" s="4">
        <v>60.3</v>
      </c>
      <c r="Q9" s="4">
        <v>60.3</v>
      </c>
      <c r="R9" s="4">
        <v>1205.5999999999999</v>
      </c>
      <c r="S9" s="4">
        <v>2411.1999999999998</v>
      </c>
      <c r="T9" s="4">
        <v>3.77</v>
      </c>
      <c r="U9" s="4">
        <v>75.400000000000006</v>
      </c>
      <c r="V9" s="4">
        <v>19</v>
      </c>
      <c r="W9" s="4">
        <v>1318.6</v>
      </c>
      <c r="X9" s="4">
        <v>0</v>
      </c>
      <c r="Y9" s="4">
        <f>J9*Rates!$D$6</f>
        <v>89624.960000000006</v>
      </c>
      <c r="Z9" s="4">
        <f>K9*Rates!$D$7</f>
        <v>41963.596799999999</v>
      </c>
      <c r="AA9" s="4">
        <f>L9*Rates!$D$8</f>
        <v>5427</v>
      </c>
      <c r="AB9" s="4">
        <f>M9*Rates!$D$9</f>
        <v>576</v>
      </c>
      <c r="AC9" s="4">
        <f>O9*Rates!$D$10</f>
        <v>783.9</v>
      </c>
      <c r="AD9" s="4">
        <f>P9*Rates!$D$11</f>
        <v>2713.5</v>
      </c>
      <c r="AE9" s="4">
        <f>Q9*Rates!$D$12</f>
        <v>2834.1</v>
      </c>
      <c r="AF9" s="4">
        <f>R9*Rates!$D$13</f>
        <v>542.52</v>
      </c>
      <c r="AG9" s="4">
        <f>S9*Rates!$D$14</f>
        <v>843.91999999999985</v>
      </c>
      <c r="AH9" s="4">
        <f>T9*Rates!$D$15</f>
        <v>15.08</v>
      </c>
      <c r="AI9" s="4">
        <f>U9*Rates!$D$16</f>
        <v>3996.2000000000003</v>
      </c>
      <c r="AJ9" s="4">
        <f>V9*Rates!$D$17</f>
        <v>57</v>
      </c>
      <c r="AK9" s="4">
        <f>W9*Rates!$D$18</f>
        <v>263.71999999999997</v>
      </c>
      <c r="AL9" s="4">
        <f>X9*Rates!$D$19</f>
        <v>0</v>
      </c>
      <c r="AM9" s="4">
        <f t="shared" si="1"/>
        <v>149641.49680000002</v>
      </c>
    </row>
    <row r="10" spans="1:39" x14ac:dyDescent="0.25">
      <c r="A10" s="3">
        <v>9</v>
      </c>
      <c r="B10" s="3" t="s">
        <v>221</v>
      </c>
      <c r="C10" s="3" t="s">
        <v>106</v>
      </c>
      <c r="D10" s="3" t="s">
        <v>230</v>
      </c>
      <c r="E10" s="4">
        <v>5</v>
      </c>
      <c r="F10" s="4">
        <v>4</v>
      </c>
      <c r="G10" s="4">
        <v>2.5</v>
      </c>
      <c r="H10" s="4">
        <v>21.5</v>
      </c>
      <c r="I10" s="4">
        <v>45</v>
      </c>
      <c r="J10" s="4">
        <v>750.4</v>
      </c>
      <c r="K10" s="4">
        <f t="shared" si="0"/>
        <v>90.047999999999988</v>
      </c>
      <c r="L10" s="4">
        <v>106.4</v>
      </c>
      <c r="M10" s="4">
        <v>405</v>
      </c>
      <c r="N10" s="4">
        <v>1064.2</v>
      </c>
      <c r="O10" s="4">
        <v>106.4</v>
      </c>
      <c r="P10" s="4">
        <v>53.2</v>
      </c>
      <c r="Q10" s="4">
        <v>53.2</v>
      </c>
      <c r="R10" s="4">
        <v>1064.2</v>
      </c>
      <c r="S10" s="4">
        <v>2128.5</v>
      </c>
      <c r="T10" s="4">
        <v>2.37</v>
      </c>
      <c r="U10" s="4">
        <v>47.3</v>
      </c>
      <c r="V10" s="4">
        <v>12</v>
      </c>
      <c r="W10" s="4">
        <v>1135.2</v>
      </c>
      <c r="X10" s="4">
        <v>0</v>
      </c>
      <c r="Y10" s="4">
        <f>J10*Rates!$D$6</f>
        <v>80217.759999999995</v>
      </c>
      <c r="Z10" s="4">
        <f>K10*Rates!$D$7</f>
        <v>37559.020799999998</v>
      </c>
      <c r="AA10" s="4">
        <f>L10*Rates!$D$8</f>
        <v>4788</v>
      </c>
      <c r="AB10" s="4">
        <f>M10*Rates!$D$9</f>
        <v>810</v>
      </c>
      <c r="AC10" s="4">
        <f>O10*Rates!$D$10</f>
        <v>691.6</v>
      </c>
      <c r="AD10" s="4">
        <f>P10*Rates!$D$11</f>
        <v>2394</v>
      </c>
      <c r="AE10" s="4">
        <f>Q10*Rates!$D$12</f>
        <v>2500.4</v>
      </c>
      <c r="AF10" s="4">
        <f>R10*Rates!$D$13</f>
        <v>478.89000000000004</v>
      </c>
      <c r="AG10" s="4">
        <f>S10*Rates!$D$14</f>
        <v>744.97499999999991</v>
      </c>
      <c r="AH10" s="4">
        <f>T10*Rates!$D$15</f>
        <v>9.48</v>
      </c>
      <c r="AI10" s="4">
        <f>U10*Rates!$D$16</f>
        <v>2506.8999999999996</v>
      </c>
      <c r="AJ10" s="4">
        <f>V10*Rates!$D$17</f>
        <v>36</v>
      </c>
      <c r="AK10" s="4">
        <f>W10*Rates!$D$18</f>
        <v>227.04000000000002</v>
      </c>
      <c r="AL10" s="4">
        <f>X10*Rates!$D$19</f>
        <v>0</v>
      </c>
      <c r="AM10" s="4">
        <f t="shared" si="1"/>
        <v>132964.06580000001</v>
      </c>
    </row>
    <row r="11" spans="1:39" x14ac:dyDescent="0.25">
      <c r="A11" s="3">
        <v>10</v>
      </c>
      <c r="B11" s="3" t="s">
        <v>223</v>
      </c>
      <c r="C11" s="3" t="s">
        <v>106</v>
      </c>
      <c r="D11" s="3" t="s">
        <v>231</v>
      </c>
      <c r="E11" s="4">
        <v>4</v>
      </c>
      <c r="F11" s="4">
        <v>4</v>
      </c>
      <c r="G11" s="4">
        <v>2.5</v>
      </c>
      <c r="H11" s="4">
        <v>17.25</v>
      </c>
      <c r="I11" s="4">
        <v>45</v>
      </c>
      <c r="J11" s="4">
        <v>607.5</v>
      </c>
      <c r="K11" s="4">
        <f t="shared" si="0"/>
        <v>72.899999999999991</v>
      </c>
      <c r="L11" s="4">
        <v>85.4</v>
      </c>
      <c r="M11" s="4">
        <v>405</v>
      </c>
      <c r="N11" s="4">
        <v>853.9</v>
      </c>
      <c r="O11" s="4">
        <v>85.4</v>
      </c>
      <c r="P11" s="4">
        <v>42.7</v>
      </c>
      <c r="Q11" s="4">
        <v>42.7</v>
      </c>
      <c r="R11" s="4">
        <v>853.9</v>
      </c>
      <c r="S11" s="4">
        <v>1707.8</v>
      </c>
      <c r="T11" s="4">
        <v>1.9</v>
      </c>
      <c r="U11" s="4">
        <v>38</v>
      </c>
      <c r="V11" s="4">
        <v>10</v>
      </c>
      <c r="W11" s="4">
        <v>910.8</v>
      </c>
      <c r="X11" s="4">
        <v>0</v>
      </c>
      <c r="Y11" s="4">
        <f>J11*Rates!$D$6</f>
        <v>64941.75</v>
      </c>
      <c r="Z11" s="4">
        <f>K11*Rates!$D$7</f>
        <v>30406.589999999997</v>
      </c>
      <c r="AA11" s="4">
        <f>L11*Rates!$D$8</f>
        <v>3843.0000000000005</v>
      </c>
      <c r="AB11" s="4">
        <f>M11*Rates!$D$9</f>
        <v>810</v>
      </c>
      <c r="AC11" s="4">
        <f>O11*Rates!$D$10</f>
        <v>555.1</v>
      </c>
      <c r="AD11" s="4">
        <f>P11*Rates!$D$11</f>
        <v>1921.5000000000002</v>
      </c>
      <c r="AE11" s="4">
        <f>Q11*Rates!$D$12</f>
        <v>2006.9</v>
      </c>
      <c r="AF11" s="4">
        <f>R11*Rates!$D$13</f>
        <v>384.255</v>
      </c>
      <c r="AG11" s="4">
        <f>S11*Rates!$D$14</f>
        <v>597.7299999999999</v>
      </c>
      <c r="AH11" s="4">
        <f>T11*Rates!$D$15</f>
        <v>7.6</v>
      </c>
      <c r="AI11" s="4">
        <f>U11*Rates!$D$16</f>
        <v>2014</v>
      </c>
      <c r="AJ11" s="4">
        <f>V11*Rates!$D$17</f>
        <v>30</v>
      </c>
      <c r="AK11" s="4">
        <f>W11*Rates!$D$18</f>
        <v>182.16</v>
      </c>
      <c r="AL11" s="4">
        <f>X11*Rates!$D$19</f>
        <v>0</v>
      </c>
      <c r="AM11" s="4">
        <f t="shared" si="1"/>
        <v>107700.58500000001</v>
      </c>
    </row>
    <row r="12" spans="1:39" x14ac:dyDescent="0.25">
      <c r="A12" s="3">
        <v>11</v>
      </c>
      <c r="B12" s="3" t="s">
        <v>219</v>
      </c>
      <c r="C12" s="3" t="s">
        <v>107</v>
      </c>
      <c r="D12" s="3" t="s">
        <v>232</v>
      </c>
      <c r="E12" s="4">
        <v>55</v>
      </c>
      <c r="F12" s="4">
        <v>4</v>
      </c>
      <c r="G12" s="4">
        <v>3</v>
      </c>
      <c r="H12" s="4">
        <v>234</v>
      </c>
      <c r="I12" s="4">
        <v>32</v>
      </c>
      <c r="J12" s="4">
        <v>5833.6</v>
      </c>
      <c r="K12" s="4">
        <f t="shared" si="0"/>
        <v>700.03200000000004</v>
      </c>
      <c r="L12" s="4">
        <v>823.7</v>
      </c>
      <c r="M12" s="4">
        <v>320</v>
      </c>
      <c r="N12" s="4">
        <v>8236.7999999999993</v>
      </c>
      <c r="O12" s="4">
        <v>823.7</v>
      </c>
      <c r="P12" s="4">
        <v>411.8</v>
      </c>
      <c r="Q12" s="4">
        <v>411.8</v>
      </c>
      <c r="R12" s="4">
        <v>8236.7999999999993</v>
      </c>
      <c r="S12" s="4">
        <v>16473.599999999999</v>
      </c>
      <c r="T12" s="4">
        <v>25.74</v>
      </c>
      <c r="U12" s="4">
        <v>514.79999999999995</v>
      </c>
      <c r="V12" s="4">
        <v>129</v>
      </c>
      <c r="W12" s="4">
        <v>9009</v>
      </c>
      <c r="X12" s="4">
        <v>0</v>
      </c>
      <c r="Y12" s="4">
        <f>J12*Rates!$D$6</f>
        <v>623611.84000000008</v>
      </c>
      <c r="Z12" s="4">
        <f>K12*Rates!$D$7</f>
        <v>291983.34720000002</v>
      </c>
      <c r="AA12" s="4">
        <f>L12*Rates!$D$8</f>
        <v>37066.5</v>
      </c>
      <c r="AB12" s="4">
        <f>M12*Rates!$D$9</f>
        <v>640</v>
      </c>
      <c r="AC12" s="4">
        <f>O12*Rates!$D$10</f>
        <v>5354.05</v>
      </c>
      <c r="AD12" s="4">
        <f>P12*Rates!$D$11</f>
        <v>18531</v>
      </c>
      <c r="AE12" s="4">
        <f>Q12*Rates!$D$12</f>
        <v>19354.600000000002</v>
      </c>
      <c r="AF12" s="4">
        <f>R12*Rates!$D$13</f>
        <v>3706.56</v>
      </c>
      <c r="AG12" s="4">
        <f>S12*Rates!$D$14</f>
        <v>5765.7599999999993</v>
      </c>
      <c r="AH12" s="4">
        <f>T12*Rates!$D$15</f>
        <v>102.96</v>
      </c>
      <c r="AI12" s="4">
        <f>U12*Rates!$D$16</f>
        <v>27284.399999999998</v>
      </c>
      <c r="AJ12" s="4">
        <f>V12*Rates!$D$17</f>
        <v>387</v>
      </c>
      <c r="AK12" s="4">
        <f>W12*Rates!$D$18</f>
        <v>1801.8000000000002</v>
      </c>
      <c r="AL12" s="4">
        <f>X12*Rates!$D$19</f>
        <v>0</v>
      </c>
      <c r="AM12" s="4">
        <f t="shared" si="1"/>
        <v>1035589.8172000002</v>
      </c>
    </row>
    <row r="13" spans="1:39" x14ac:dyDescent="0.25">
      <c r="A13" s="3">
        <v>12</v>
      </c>
      <c r="B13" s="3" t="s">
        <v>221</v>
      </c>
      <c r="C13" s="3" t="s">
        <v>107</v>
      </c>
      <c r="D13" s="3" t="s">
        <v>233</v>
      </c>
      <c r="E13" s="4">
        <v>55</v>
      </c>
      <c r="F13" s="4">
        <v>4</v>
      </c>
      <c r="G13" s="4">
        <v>2.5</v>
      </c>
      <c r="H13" s="4">
        <v>234</v>
      </c>
      <c r="I13" s="4">
        <v>45</v>
      </c>
      <c r="J13" s="4">
        <v>7894.1</v>
      </c>
      <c r="K13" s="4">
        <f t="shared" si="0"/>
        <v>947.29200000000003</v>
      </c>
      <c r="L13" s="4">
        <v>1158.3</v>
      </c>
      <c r="M13" s="4">
        <v>405</v>
      </c>
      <c r="N13" s="4">
        <v>11583</v>
      </c>
      <c r="O13" s="4">
        <v>1158.3</v>
      </c>
      <c r="P13" s="4">
        <v>579.20000000000005</v>
      </c>
      <c r="Q13" s="4">
        <v>579.20000000000005</v>
      </c>
      <c r="R13" s="4">
        <v>11583</v>
      </c>
      <c r="S13" s="4">
        <v>23166</v>
      </c>
      <c r="T13" s="4">
        <v>25.74</v>
      </c>
      <c r="U13" s="4">
        <v>514.79999999999995</v>
      </c>
      <c r="V13" s="4">
        <v>129</v>
      </c>
      <c r="W13" s="4">
        <v>12355.2</v>
      </c>
      <c r="X13" s="4">
        <v>34749</v>
      </c>
      <c r="Y13" s="4">
        <f>J13*Rates!$D$6</f>
        <v>843879.29</v>
      </c>
      <c r="Z13" s="4">
        <f>K13*Rates!$D$7</f>
        <v>395115.49320000003</v>
      </c>
      <c r="AA13" s="4">
        <f>L13*Rates!$D$8</f>
        <v>52123.5</v>
      </c>
      <c r="AB13" s="4">
        <f>M13*Rates!$D$9</f>
        <v>810</v>
      </c>
      <c r="AC13" s="4">
        <f>O13*Rates!$D$10</f>
        <v>7528.95</v>
      </c>
      <c r="AD13" s="4">
        <f>P13*Rates!$D$11</f>
        <v>26064.000000000004</v>
      </c>
      <c r="AE13" s="4">
        <f>Q13*Rates!$D$12</f>
        <v>27222.400000000001</v>
      </c>
      <c r="AF13" s="4">
        <f>R13*Rates!$D$13</f>
        <v>5212.3500000000004</v>
      </c>
      <c r="AG13" s="4">
        <f>S13*Rates!$D$14</f>
        <v>8108.0999999999995</v>
      </c>
      <c r="AH13" s="4">
        <f>T13*Rates!$D$15</f>
        <v>102.96</v>
      </c>
      <c r="AI13" s="4">
        <f>U13*Rates!$D$16</f>
        <v>27284.399999999998</v>
      </c>
      <c r="AJ13" s="4">
        <f>V13*Rates!$D$17</f>
        <v>387</v>
      </c>
      <c r="AK13" s="4">
        <f>W13*Rates!$D$18</f>
        <v>2471.0400000000004</v>
      </c>
      <c r="AL13" s="4">
        <f>X13*Rates!$D$19</f>
        <v>138996</v>
      </c>
      <c r="AM13" s="4">
        <f t="shared" si="1"/>
        <v>1535305.4831999999</v>
      </c>
    </row>
    <row r="14" spans="1:39" x14ac:dyDescent="0.25">
      <c r="A14" s="3">
        <v>13</v>
      </c>
      <c r="B14" s="3" t="s">
        <v>223</v>
      </c>
      <c r="C14" s="3" t="s">
        <v>107</v>
      </c>
      <c r="D14" s="3" t="s">
        <v>234</v>
      </c>
      <c r="E14" s="4">
        <v>45</v>
      </c>
      <c r="F14" s="4">
        <v>4</v>
      </c>
      <c r="G14" s="4">
        <v>2.5</v>
      </c>
      <c r="H14" s="4">
        <v>191.5</v>
      </c>
      <c r="I14" s="4">
        <v>45</v>
      </c>
      <c r="J14" s="4">
        <v>6465.4</v>
      </c>
      <c r="K14" s="4">
        <f t="shared" si="0"/>
        <v>775.84799999999996</v>
      </c>
      <c r="L14" s="4">
        <v>947.9</v>
      </c>
      <c r="M14" s="4">
        <v>405</v>
      </c>
      <c r="N14" s="4">
        <v>9479.2000000000007</v>
      </c>
      <c r="O14" s="4">
        <v>947.9</v>
      </c>
      <c r="P14" s="4">
        <v>474</v>
      </c>
      <c r="Q14" s="4">
        <v>474</v>
      </c>
      <c r="R14" s="4">
        <v>9479.2000000000007</v>
      </c>
      <c r="S14" s="4">
        <v>18958.5</v>
      </c>
      <c r="T14" s="4">
        <v>21.07</v>
      </c>
      <c r="U14" s="4">
        <v>421.3</v>
      </c>
      <c r="V14" s="4">
        <v>106</v>
      </c>
      <c r="W14" s="4">
        <v>10111.200000000001</v>
      </c>
      <c r="X14" s="4">
        <v>0</v>
      </c>
      <c r="Y14" s="4">
        <f>J14*Rates!$D$6</f>
        <v>691151.26</v>
      </c>
      <c r="Z14" s="4">
        <f>K14*Rates!$D$7</f>
        <v>323606.20079999999</v>
      </c>
      <c r="AA14" s="4">
        <f>L14*Rates!$D$8</f>
        <v>42655.5</v>
      </c>
      <c r="AB14" s="4">
        <f>M14*Rates!$D$9</f>
        <v>810</v>
      </c>
      <c r="AC14" s="4">
        <f>O14*Rates!$D$10</f>
        <v>6161.3499999999995</v>
      </c>
      <c r="AD14" s="4">
        <f>P14*Rates!$D$11</f>
        <v>21330</v>
      </c>
      <c r="AE14" s="4">
        <f>Q14*Rates!$D$12</f>
        <v>22278</v>
      </c>
      <c r="AF14" s="4">
        <f>R14*Rates!$D$13</f>
        <v>4265.6400000000003</v>
      </c>
      <c r="AG14" s="4">
        <f>S14*Rates!$D$14</f>
        <v>6635.4749999999995</v>
      </c>
      <c r="AH14" s="4">
        <f>T14*Rates!$D$15</f>
        <v>84.28</v>
      </c>
      <c r="AI14" s="4">
        <f>U14*Rates!$D$16</f>
        <v>22328.9</v>
      </c>
      <c r="AJ14" s="4">
        <f>V14*Rates!$D$17</f>
        <v>318</v>
      </c>
      <c r="AK14" s="4">
        <f>W14*Rates!$D$18</f>
        <v>2022.2400000000002</v>
      </c>
      <c r="AL14" s="4">
        <f>X14*Rates!$D$19</f>
        <v>0</v>
      </c>
      <c r="AM14" s="4">
        <f t="shared" si="1"/>
        <v>1143646.8458</v>
      </c>
    </row>
    <row r="15" spans="1:39" x14ac:dyDescent="0.25">
      <c r="A15" s="3">
        <v>14</v>
      </c>
      <c r="B15" s="3" t="s">
        <v>223</v>
      </c>
      <c r="C15" s="3" t="s">
        <v>108</v>
      </c>
      <c r="D15" s="3" t="s">
        <v>235</v>
      </c>
      <c r="E15" s="4">
        <v>25</v>
      </c>
      <c r="F15" s="4">
        <v>4</v>
      </c>
      <c r="G15" s="4">
        <v>2.5</v>
      </c>
      <c r="H15" s="4">
        <v>106.5</v>
      </c>
      <c r="I15" s="4">
        <v>45</v>
      </c>
      <c r="J15" s="4">
        <v>3607.9</v>
      </c>
      <c r="K15" s="4">
        <f t="shared" si="0"/>
        <v>432.94799999999998</v>
      </c>
      <c r="L15" s="4">
        <v>527.20000000000005</v>
      </c>
      <c r="M15" s="4">
        <v>405</v>
      </c>
      <c r="N15" s="4">
        <v>5271.8</v>
      </c>
      <c r="O15" s="4">
        <v>527.20000000000005</v>
      </c>
      <c r="P15" s="4">
        <v>263.60000000000002</v>
      </c>
      <c r="Q15" s="4">
        <v>263.60000000000002</v>
      </c>
      <c r="R15" s="4">
        <v>5271.8</v>
      </c>
      <c r="S15" s="4">
        <v>10543.5</v>
      </c>
      <c r="T15" s="4">
        <v>11.72</v>
      </c>
      <c r="U15" s="4">
        <v>234.3</v>
      </c>
      <c r="V15" s="4">
        <v>59</v>
      </c>
      <c r="W15" s="4">
        <v>5623.2</v>
      </c>
      <c r="X15" s="4">
        <v>0</v>
      </c>
      <c r="Y15" s="4">
        <f>J15*Rates!$D$6</f>
        <v>385684.51</v>
      </c>
      <c r="Z15" s="4">
        <f>K15*Rates!$D$7</f>
        <v>180582.61079999999</v>
      </c>
      <c r="AA15" s="4">
        <f>L15*Rates!$D$8</f>
        <v>23724.000000000004</v>
      </c>
      <c r="AB15" s="4">
        <f>M15*Rates!$D$9</f>
        <v>810</v>
      </c>
      <c r="AC15" s="4">
        <f>O15*Rates!$D$10</f>
        <v>3426.8</v>
      </c>
      <c r="AD15" s="4">
        <f>P15*Rates!$D$11</f>
        <v>11862.000000000002</v>
      </c>
      <c r="AE15" s="4">
        <f>Q15*Rates!$D$12</f>
        <v>12389.2</v>
      </c>
      <c r="AF15" s="4">
        <f>R15*Rates!$D$13</f>
        <v>2372.31</v>
      </c>
      <c r="AG15" s="4">
        <f>S15*Rates!$D$14</f>
        <v>3690.2249999999999</v>
      </c>
      <c r="AH15" s="4">
        <f>T15*Rates!$D$15</f>
        <v>46.88</v>
      </c>
      <c r="AI15" s="4">
        <f>U15*Rates!$D$16</f>
        <v>12417.900000000001</v>
      </c>
      <c r="AJ15" s="4">
        <f>V15*Rates!$D$17</f>
        <v>177</v>
      </c>
      <c r="AK15" s="4">
        <f>W15*Rates!$D$18</f>
        <v>1124.6400000000001</v>
      </c>
      <c r="AL15" s="4">
        <f>X15*Rates!$D$19</f>
        <v>0</v>
      </c>
      <c r="AM15" s="4">
        <f t="shared" si="1"/>
        <v>638308.07580000011</v>
      </c>
    </row>
    <row r="16" spans="1:39" x14ac:dyDescent="0.25">
      <c r="A16" s="3">
        <v>15</v>
      </c>
      <c r="B16" s="3" t="s">
        <v>219</v>
      </c>
      <c r="C16" s="3" t="s">
        <v>110</v>
      </c>
      <c r="D16" s="3" t="s">
        <v>236</v>
      </c>
      <c r="E16" s="4">
        <v>67</v>
      </c>
      <c r="F16" s="4">
        <v>4</v>
      </c>
      <c r="G16" s="4">
        <v>2.5</v>
      </c>
      <c r="H16" s="4">
        <v>285</v>
      </c>
      <c r="I16" s="4">
        <v>32</v>
      </c>
      <c r="J16" s="4">
        <v>6832.8</v>
      </c>
      <c r="K16" s="4">
        <f t="shared" si="0"/>
        <v>819.93600000000004</v>
      </c>
      <c r="L16" s="4">
        <v>1003.2</v>
      </c>
      <c r="M16" s="4">
        <v>288</v>
      </c>
      <c r="N16" s="4">
        <v>10032</v>
      </c>
      <c r="O16" s="4">
        <v>1003.2</v>
      </c>
      <c r="P16" s="4">
        <v>501.6</v>
      </c>
      <c r="Q16" s="4">
        <v>501.6</v>
      </c>
      <c r="R16" s="4">
        <v>10032</v>
      </c>
      <c r="S16" s="4">
        <v>20064</v>
      </c>
      <c r="T16" s="4">
        <v>31.35</v>
      </c>
      <c r="U16" s="4">
        <v>627</v>
      </c>
      <c r="V16" s="4">
        <v>157</v>
      </c>
      <c r="W16" s="4">
        <v>10972.5</v>
      </c>
      <c r="X16" s="4">
        <v>0</v>
      </c>
      <c r="Y16" s="4">
        <f>J16*Rates!$D$6</f>
        <v>730426.32000000007</v>
      </c>
      <c r="Z16" s="4">
        <f>K16*Rates!$D$7</f>
        <v>341995.30560000002</v>
      </c>
      <c r="AA16" s="4">
        <f>L16*Rates!$D$8</f>
        <v>45144</v>
      </c>
      <c r="AB16" s="4">
        <f>M16*Rates!$D$9</f>
        <v>576</v>
      </c>
      <c r="AC16" s="4">
        <f>O16*Rates!$D$10</f>
        <v>6520.8</v>
      </c>
      <c r="AD16" s="4">
        <f>P16*Rates!$D$11</f>
        <v>22572</v>
      </c>
      <c r="AE16" s="4">
        <f>Q16*Rates!$D$12</f>
        <v>23575.200000000001</v>
      </c>
      <c r="AF16" s="4">
        <f>R16*Rates!$D$13</f>
        <v>4514.4000000000005</v>
      </c>
      <c r="AG16" s="4">
        <f>S16*Rates!$D$14</f>
        <v>7022.4</v>
      </c>
      <c r="AH16" s="4">
        <f>T16*Rates!$D$15</f>
        <v>125.4</v>
      </c>
      <c r="AI16" s="4">
        <f>U16*Rates!$D$16</f>
        <v>33231</v>
      </c>
      <c r="AJ16" s="4">
        <f>V16*Rates!$D$17</f>
        <v>471</v>
      </c>
      <c r="AK16" s="4">
        <f>W16*Rates!$D$18</f>
        <v>2194.5</v>
      </c>
      <c r="AL16" s="4">
        <f>X16*Rates!$D$19</f>
        <v>0</v>
      </c>
      <c r="AM16" s="4">
        <f t="shared" si="1"/>
        <v>1218368.3255999999</v>
      </c>
    </row>
    <row r="17" spans="1:39" x14ac:dyDescent="0.25">
      <c r="A17" s="3">
        <v>16</v>
      </c>
      <c r="B17" s="3" t="s">
        <v>221</v>
      </c>
      <c r="C17" s="3" t="s">
        <v>110</v>
      </c>
      <c r="D17" s="3" t="s">
        <v>237</v>
      </c>
      <c r="E17" s="4">
        <v>17</v>
      </c>
      <c r="F17" s="4">
        <v>4</v>
      </c>
      <c r="G17" s="4">
        <v>2.5</v>
      </c>
      <c r="H17" s="4">
        <v>72.5</v>
      </c>
      <c r="I17" s="4">
        <v>45</v>
      </c>
      <c r="J17" s="4">
        <v>2464.9</v>
      </c>
      <c r="K17" s="4">
        <f t="shared" si="0"/>
        <v>295.78800000000001</v>
      </c>
      <c r="L17" s="4">
        <v>358.9</v>
      </c>
      <c r="M17" s="4">
        <v>405</v>
      </c>
      <c r="N17" s="4">
        <v>3588.8</v>
      </c>
      <c r="O17" s="4">
        <v>358.9</v>
      </c>
      <c r="P17" s="4">
        <v>179.4</v>
      </c>
      <c r="Q17" s="4">
        <v>179.4</v>
      </c>
      <c r="R17" s="4">
        <v>3588.8</v>
      </c>
      <c r="S17" s="4">
        <v>7177.5</v>
      </c>
      <c r="T17" s="4">
        <v>7.98</v>
      </c>
      <c r="U17" s="4">
        <v>159.5</v>
      </c>
      <c r="V17" s="4">
        <v>40</v>
      </c>
      <c r="W17" s="4">
        <v>3828</v>
      </c>
      <c r="X17" s="4">
        <v>10766.2</v>
      </c>
      <c r="Y17" s="4">
        <f>J17*Rates!$D$6</f>
        <v>263497.81</v>
      </c>
      <c r="Z17" s="4">
        <f>K17*Rates!$D$7</f>
        <v>123373.17480000001</v>
      </c>
      <c r="AA17" s="4">
        <f>L17*Rates!$D$8</f>
        <v>16150.499999999998</v>
      </c>
      <c r="AB17" s="4">
        <f>M17*Rates!$D$9</f>
        <v>810</v>
      </c>
      <c r="AC17" s="4">
        <f>O17*Rates!$D$10</f>
        <v>2332.85</v>
      </c>
      <c r="AD17" s="4">
        <f>P17*Rates!$D$11</f>
        <v>8073</v>
      </c>
      <c r="AE17" s="4">
        <f>Q17*Rates!$D$12</f>
        <v>8431.8000000000011</v>
      </c>
      <c r="AF17" s="4">
        <f>R17*Rates!$D$13</f>
        <v>1614.96</v>
      </c>
      <c r="AG17" s="4">
        <f>S17*Rates!$D$14</f>
        <v>2512.125</v>
      </c>
      <c r="AH17" s="4">
        <f>T17*Rates!$D$15</f>
        <v>31.92</v>
      </c>
      <c r="AI17" s="4">
        <f>U17*Rates!$D$16</f>
        <v>8453.5</v>
      </c>
      <c r="AJ17" s="4">
        <f>V17*Rates!$D$17</f>
        <v>120</v>
      </c>
      <c r="AK17" s="4">
        <f>W17*Rates!$D$18</f>
        <v>765.6</v>
      </c>
      <c r="AL17" s="4">
        <f>X17*Rates!$D$19</f>
        <v>43064.800000000003</v>
      </c>
      <c r="AM17" s="4">
        <f t="shared" si="1"/>
        <v>479232.03979999991</v>
      </c>
    </row>
    <row r="18" spans="1:39" x14ac:dyDescent="0.25">
      <c r="A18" s="3">
        <v>17</v>
      </c>
      <c r="B18" s="3" t="s">
        <v>223</v>
      </c>
      <c r="C18" s="3" t="s">
        <v>110</v>
      </c>
      <c r="D18" s="3" t="s">
        <v>238</v>
      </c>
      <c r="E18" s="4">
        <v>17</v>
      </c>
      <c r="F18" s="4">
        <v>4</v>
      </c>
      <c r="G18" s="4">
        <v>2.5</v>
      </c>
      <c r="H18" s="4">
        <v>72.5</v>
      </c>
      <c r="I18" s="4">
        <v>45</v>
      </c>
      <c r="J18" s="4">
        <v>2464.9</v>
      </c>
      <c r="K18" s="4">
        <f t="shared" si="0"/>
        <v>295.78800000000001</v>
      </c>
      <c r="L18" s="4">
        <v>358.9</v>
      </c>
      <c r="M18" s="4">
        <v>405</v>
      </c>
      <c r="N18" s="4">
        <v>3588.8</v>
      </c>
      <c r="O18" s="4">
        <v>358.9</v>
      </c>
      <c r="P18" s="4">
        <v>179.4</v>
      </c>
      <c r="Q18" s="4">
        <v>179.4</v>
      </c>
      <c r="R18" s="4">
        <v>3588.8</v>
      </c>
      <c r="S18" s="4">
        <v>7177.5</v>
      </c>
      <c r="T18" s="4">
        <v>7.98</v>
      </c>
      <c r="U18" s="4">
        <v>159.5</v>
      </c>
      <c r="V18" s="4">
        <v>40</v>
      </c>
      <c r="W18" s="4">
        <v>3828</v>
      </c>
      <c r="X18" s="4">
        <v>10766.2</v>
      </c>
      <c r="Y18" s="4">
        <f>J18*Rates!$D$6</f>
        <v>263497.81</v>
      </c>
      <c r="Z18" s="4">
        <f>K18*Rates!$D$7</f>
        <v>123373.17480000001</v>
      </c>
      <c r="AA18" s="4">
        <f>L18*Rates!$D$8</f>
        <v>16150.499999999998</v>
      </c>
      <c r="AB18" s="4">
        <f>M18*Rates!$D$9</f>
        <v>810</v>
      </c>
      <c r="AC18" s="4">
        <f>O18*Rates!$D$10</f>
        <v>2332.85</v>
      </c>
      <c r="AD18" s="4">
        <f>P18*Rates!$D$11</f>
        <v>8073</v>
      </c>
      <c r="AE18" s="4">
        <f>Q18*Rates!$D$12</f>
        <v>8431.8000000000011</v>
      </c>
      <c r="AF18" s="4">
        <f>R18*Rates!$D$13</f>
        <v>1614.96</v>
      </c>
      <c r="AG18" s="4">
        <f>S18*Rates!$D$14</f>
        <v>2512.125</v>
      </c>
      <c r="AH18" s="4">
        <f>T18*Rates!$D$15</f>
        <v>31.92</v>
      </c>
      <c r="AI18" s="4">
        <f>U18*Rates!$D$16</f>
        <v>8453.5</v>
      </c>
      <c r="AJ18" s="4">
        <f>V18*Rates!$D$17</f>
        <v>120</v>
      </c>
      <c r="AK18" s="4">
        <f>W18*Rates!$D$18</f>
        <v>765.6</v>
      </c>
      <c r="AL18" s="4">
        <f>X18*Rates!$D$19</f>
        <v>43064.800000000003</v>
      </c>
      <c r="AM18" s="4">
        <f t="shared" si="1"/>
        <v>479232.03979999991</v>
      </c>
    </row>
    <row r="19" spans="1:39" x14ac:dyDescent="0.25">
      <c r="A19" s="3">
        <v>18</v>
      </c>
      <c r="B19" s="3" t="s">
        <v>219</v>
      </c>
      <c r="C19" s="3" t="s">
        <v>111</v>
      </c>
      <c r="D19" s="3" t="s">
        <v>239</v>
      </c>
      <c r="E19" s="4">
        <v>64</v>
      </c>
      <c r="F19" s="4">
        <v>4</v>
      </c>
      <c r="G19" s="4">
        <v>2.5</v>
      </c>
      <c r="H19" s="4">
        <v>272.25</v>
      </c>
      <c r="I19" s="4">
        <v>32</v>
      </c>
      <c r="J19" s="4">
        <v>6528</v>
      </c>
      <c r="K19" s="4">
        <f t="shared" si="0"/>
        <v>783.36</v>
      </c>
      <c r="L19" s="4">
        <v>958.3</v>
      </c>
      <c r="M19" s="4">
        <v>288</v>
      </c>
      <c r="N19" s="4">
        <v>9583.2000000000007</v>
      </c>
      <c r="O19" s="4">
        <v>958.3</v>
      </c>
      <c r="P19" s="4">
        <v>479.2</v>
      </c>
      <c r="Q19" s="4">
        <v>479.2</v>
      </c>
      <c r="R19" s="4">
        <v>9583.2000000000007</v>
      </c>
      <c r="S19" s="4">
        <v>19166.400000000001</v>
      </c>
      <c r="T19" s="4">
        <v>29.95</v>
      </c>
      <c r="U19" s="4">
        <v>599</v>
      </c>
      <c r="V19" s="4">
        <v>150</v>
      </c>
      <c r="W19" s="4">
        <v>10481.6</v>
      </c>
      <c r="X19" s="4">
        <v>0</v>
      </c>
      <c r="Y19" s="4">
        <f>J19*Rates!$D$6</f>
        <v>697843.20000000007</v>
      </c>
      <c r="Z19" s="4">
        <f>K19*Rates!$D$7</f>
        <v>326739.45600000001</v>
      </c>
      <c r="AA19" s="4">
        <f>L19*Rates!$D$8</f>
        <v>43123.5</v>
      </c>
      <c r="AB19" s="4">
        <f>M19*Rates!$D$9</f>
        <v>576</v>
      </c>
      <c r="AC19" s="4">
        <f>O19*Rates!$D$10</f>
        <v>6228.95</v>
      </c>
      <c r="AD19" s="4">
        <f>P19*Rates!$D$11</f>
        <v>21564</v>
      </c>
      <c r="AE19" s="4">
        <f>Q19*Rates!$D$12</f>
        <v>22522.399999999998</v>
      </c>
      <c r="AF19" s="4">
        <f>R19*Rates!$D$13</f>
        <v>4312.4400000000005</v>
      </c>
      <c r="AG19" s="4">
        <f>S19*Rates!$D$14</f>
        <v>6708.24</v>
      </c>
      <c r="AH19" s="4">
        <f>T19*Rates!$D$15</f>
        <v>119.8</v>
      </c>
      <c r="AI19" s="4">
        <f>U19*Rates!$D$16</f>
        <v>31747</v>
      </c>
      <c r="AJ19" s="4">
        <f>V19*Rates!$D$17</f>
        <v>450</v>
      </c>
      <c r="AK19" s="4">
        <f>W19*Rates!$D$18</f>
        <v>2096.3200000000002</v>
      </c>
      <c r="AL19" s="4">
        <f>X19*Rates!$D$19</f>
        <v>0</v>
      </c>
      <c r="AM19" s="4">
        <f t="shared" si="1"/>
        <v>1164031.3059999999</v>
      </c>
    </row>
    <row r="20" spans="1:39" x14ac:dyDescent="0.25">
      <c r="A20" s="3">
        <v>19</v>
      </c>
      <c r="B20" s="3" t="s">
        <v>221</v>
      </c>
      <c r="C20" s="3" t="s">
        <v>111</v>
      </c>
      <c r="D20" s="3" t="s">
        <v>240</v>
      </c>
      <c r="E20" s="4">
        <v>29</v>
      </c>
      <c r="F20" s="4">
        <v>4</v>
      </c>
      <c r="G20" s="4">
        <v>2.5</v>
      </c>
      <c r="H20" s="4">
        <v>123.5</v>
      </c>
      <c r="I20" s="4">
        <v>45</v>
      </c>
      <c r="J20" s="4">
        <v>4179.3999999999996</v>
      </c>
      <c r="K20" s="4">
        <f t="shared" si="0"/>
        <v>501.52799999999996</v>
      </c>
      <c r="L20" s="4">
        <v>611.29999999999995</v>
      </c>
      <c r="M20" s="4">
        <v>405</v>
      </c>
      <c r="N20" s="4">
        <v>6113.3</v>
      </c>
      <c r="O20" s="4">
        <v>611.29999999999995</v>
      </c>
      <c r="P20" s="4">
        <v>305.7</v>
      </c>
      <c r="Q20" s="4">
        <v>305.7</v>
      </c>
      <c r="R20" s="4">
        <v>6113.3</v>
      </c>
      <c r="S20" s="4">
        <v>12226.5</v>
      </c>
      <c r="T20" s="4">
        <v>13.59</v>
      </c>
      <c r="U20" s="4">
        <v>271.7</v>
      </c>
      <c r="V20" s="4">
        <v>68</v>
      </c>
      <c r="W20" s="4">
        <v>6520.8</v>
      </c>
      <c r="X20" s="4">
        <v>18339.8</v>
      </c>
      <c r="Y20" s="4">
        <f>J20*Rates!$D$6</f>
        <v>446777.86</v>
      </c>
      <c r="Z20" s="4">
        <f>K20*Rates!$D$7</f>
        <v>209187.32879999999</v>
      </c>
      <c r="AA20" s="4">
        <f>L20*Rates!$D$8</f>
        <v>27508.499999999996</v>
      </c>
      <c r="AB20" s="4">
        <f>M20*Rates!$D$9</f>
        <v>810</v>
      </c>
      <c r="AC20" s="4">
        <f>O20*Rates!$D$10</f>
        <v>3973.45</v>
      </c>
      <c r="AD20" s="4">
        <f>P20*Rates!$D$11</f>
        <v>13756.5</v>
      </c>
      <c r="AE20" s="4">
        <f>Q20*Rates!$D$12</f>
        <v>14367.9</v>
      </c>
      <c r="AF20" s="4">
        <f>R20*Rates!$D$13</f>
        <v>2750.9850000000001</v>
      </c>
      <c r="AG20" s="4">
        <f>S20*Rates!$D$14</f>
        <v>4279.2749999999996</v>
      </c>
      <c r="AH20" s="4">
        <f>T20*Rates!$D$15</f>
        <v>54.36</v>
      </c>
      <c r="AI20" s="4">
        <f>U20*Rates!$D$16</f>
        <v>14400.099999999999</v>
      </c>
      <c r="AJ20" s="4">
        <f>V20*Rates!$D$17</f>
        <v>204</v>
      </c>
      <c r="AK20" s="4">
        <f>W20*Rates!$D$18</f>
        <v>1304.1600000000001</v>
      </c>
      <c r="AL20" s="4">
        <f>X20*Rates!$D$19</f>
        <v>73359.199999999997</v>
      </c>
      <c r="AM20" s="4">
        <f t="shared" si="1"/>
        <v>812733.61879999994</v>
      </c>
    </row>
    <row r="21" spans="1:39" x14ac:dyDescent="0.25">
      <c r="A21" s="3">
        <v>20</v>
      </c>
      <c r="B21" s="3" t="s">
        <v>223</v>
      </c>
      <c r="C21" s="3" t="s">
        <v>111</v>
      </c>
      <c r="D21" s="3" t="s">
        <v>241</v>
      </c>
      <c r="E21" s="4">
        <v>29</v>
      </c>
      <c r="F21" s="4">
        <v>4</v>
      </c>
      <c r="G21" s="4">
        <v>2.5</v>
      </c>
      <c r="H21" s="4">
        <v>123.5</v>
      </c>
      <c r="I21" s="4">
        <v>45</v>
      </c>
      <c r="J21" s="4">
        <v>4179.3999999999996</v>
      </c>
      <c r="K21" s="4">
        <f t="shared" si="0"/>
        <v>501.52799999999996</v>
      </c>
      <c r="L21" s="4">
        <v>611.29999999999995</v>
      </c>
      <c r="M21" s="4">
        <v>405</v>
      </c>
      <c r="N21" s="4">
        <v>6113.3</v>
      </c>
      <c r="O21" s="4">
        <v>611.29999999999995</v>
      </c>
      <c r="P21" s="4">
        <v>305.7</v>
      </c>
      <c r="Q21" s="4">
        <v>305.7</v>
      </c>
      <c r="R21" s="4">
        <v>6113.3</v>
      </c>
      <c r="S21" s="4">
        <v>12226.5</v>
      </c>
      <c r="T21" s="4">
        <v>13.59</v>
      </c>
      <c r="U21" s="4">
        <v>271.7</v>
      </c>
      <c r="V21" s="4">
        <v>68</v>
      </c>
      <c r="W21" s="4">
        <v>6520.8</v>
      </c>
      <c r="X21" s="4">
        <v>0</v>
      </c>
      <c r="Y21" s="4">
        <f>J21*Rates!$D$6</f>
        <v>446777.86</v>
      </c>
      <c r="Z21" s="4">
        <f>K21*Rates!$D$7</f>
        <v>209187.32879999999</v>
      </c>
      <c r="AA21" s="4">
        <f>L21*Rates!$D$8</f>
        <v>27508.499999999996</v>
      </c>
      <c r="AB21" s="4">
        <f>M21*Rates!$D$9</f>
        <v>810</v>
      </c>
      <c r="AC21" s="4">
        <f>O21*Rates!$D$10</f>
        <v>3973.45</v>
      </c>
      <c r="AD21" s="4">
        <f>P21*Rates!$D$11</f>
        <v>13756.5</v>
      </c>
      <c r="AE21" s="4">
        <f>Q21*Rates!$D$12</f>
        <v>14367.9</v>
      </c>
      <c r="AF21" s="4">
        <f>R21*Rates!$D$13</f>
        <v>2750.9850000000001</v>
      </c>
      <c r="AG21" s="4">
        <f>S21*Rates!$D$14</f>
        <v>4279.2749999999996</v>
      </c>
      <c r="AH21" s="4">
        <f>T21*Rates!$D$15</f>
        <v>54.36</v>
      </c>
      <c r="AI21" s="4">
        <f>U21*Rates!$D$16</f>
        <v>14400.099999999999</v>
      </c>
      <c r="AJ21" s="4">
        <f>V21*Rates!$D$17</f>
        <v>204</v>
      </c>
      <c r="AK21" s="4">
        <f>W21*Rates!$D$18</f>
        <v>1304.1600000000001</v>
      </c>
      <c r="AL21" s="4">
        <f>X21*Rates!$D$19</f>
        <v>0</v>
      </c>
      <c r="AM21" s="4">
        <f t="shared" si="1"/>
        <v>739374.41879999998</v>
      </c>
    </row>
    <row r="22" spans="1:39" x14ac:dyDescent="0.25">
      <c r="A22" s="3">
        <v>21</v>
      </c>
      <c r="B22" s="3" t="s">
        <v>221</v>
      </c>
      <c r="C22" s="3" t="s">
        <v>112</v>
      </c>
      <c r="D22" s="3" t="s">
        <v>242</v>
      </c>
      <c r="E22" s="4">
        <v>12</v>
      </c>
      <c r="F22" s="4">
        <v>4</v>
      </c>
      <c r="G22" s="4">
        <v>2.5</v>
      </c>
      <c r="H22" s="4">
        <v>51.25</v>
      </c>
      <c r="I22" s="4">
        <v>45</v>
      </c>
      <c r="J22" s="4">
        <v>1750.5</v>
      </c>
      <c r="K22" s="4">
        <f t="shared" si="0"/>
        <v>210.06</v>
      </c>
      <c r="L22" s="4">
        <v>253.7</v>
      </c>
      <c r="M22" s="4">
        <v>405</v>
      </c>
      <c r="N22" s="4">
        <v>2536.9</v>
      </c>
      <c r="O22" s="4">
        <v>253.7</v>
      </c>
      <c r="P22" s="4">
        <v>126.8</v>
      </c>
      <c r="Q22" s="4">
        <v>126.8</v>
      </c>
      <c r="R22" s="4">
        <v>2536.9</v>
      </c>
      <c r="S22" s="4">
        <v>5073.8</v>
      </c>
      <c r="T22" s="4">
        <v>5.64</v>
      </c>
      <c r="U22" s="4">
        <v>112.8</v>
      </c>
      <c r="V22" s="4">
        <v>29</v>
      </c>
      <c r="W22" s="4">
        <v>2706</v>
      </c>
      <c r="X22" s="4">
        <v>7610.6</v>
      </c>
      <c r="Y22" s="4">
        <f>J22*Rates!$D$6</f>
        <v>187128.45</v>
      </c>
      <c r="Z22" s="4">
        <f>K22*Rates!$D$7</f>
        <v>87616.026000000013</v>
      </c>
      <c r="AA22" s="4">
        <f>L22*Rates!$D$8</f>
        <v>11416.5</v>
      </c>
      <c r="AB22" s="4">
        <f>M22*Rates!$D$9</f>
        <v>810</v>
      </c>
      <c r="AC22" s="4">
        <f>O22*Rates!$D$10</f>
        <v>1649.05</v>
      </c>
      <c r="AD22" s="4">
        <f>P22*Rates!$D$11</f>
        <v>5706</v>
      </c>
      <c r="AE22" s="4">
        <f>Q22*Rates!$D$12</f>
        <v>5959.5999999999995</v>
      </c>
      <c r="AF22" s="4">
        <f>R22*Rates!$D$13</f>
        <v>1141.605</v>
      </c>
      <c r="AG22" s="4">
        <f>S22*Rates!$D$14</f>
        <v>1775.83</v>
      </c>
      <c r="AH22" s="4">
        <f>T22*Rates!$D$15</f>
        <v>22.56</v>
      </c>
      <c r="AI22" s="4">
        <f>U22*Rates!$D$16</f>
        <v>5978.4</v>
      </c>
      <c r="AJ22" s="4">
        <f>V22*Rates!$D$17</f>
        <v>87</v>
      </c>
      <c r="AK22" s="4">
        <f>W22*Rates!$D$18</f>
        <v>541.20000000000005</v>
      </c>
      <c r="AL22" s="4">
        <f>X22*Rates!$D$19</f>
        <v>30442.400000000001</v>
      </c>
      <c r="AM22" s="4">
        <f t="shared" si="1"/>
        <v>340274.62100000004</v>
      </c>
    </row>
    <row r="23" spans="1:39" x14ac:dyDescent="0.25">
      <c r="A23" s="3">
        <v>22</v>
      </c>
      <c r="B23" s="3" t="s">
        <v>223</v>
      </c>
      <c r="C23" s="3" t="s">
        <v>112</v>
      </c>
      <c r="D23" s="3" t="s">
        <v>243</v>
      </c>
      <c r="E23" s="4">
        <v>6</v>
      </c>
      <c r="F23" s="4">
        <v>4</v>
      </c>
      <c r="G23" s="4">
        <v>2.5</v>
      </c>
      <c r="H23" s="4">
        <v>25.75</v>
      </c>
      <c r="I23" s="4">
        <v>45</v>
      </c>
      <c r="J23" s="4">
        <v>893.3</v>
      </c>
      <c r="K23" s="4">
        <f t="shared" si="0"/>
        <v>107.19599999999998</v>
      </c>
      <c r="L23" s="4">
        <v>127.5</v>
      </c>
      <c r="M23" s="4">
        <v>405</v>
      </c>
      <c r="N23" s="4">
        <v>1274.5999999999999</v>
      </c>
      <c r="O23" s="4">
        <v>127.5</v>
      </c>
      <c r="P23" s="4">
        <v>63.7</v>
      </c>
      <c r="Q23" s="4">
        <v>63.7</v>
      </c>
      <c r="R23" s="4">
        <v>1274.5999999999999</v>
      </c>
      <c r="S23" s="4">
        <v>2549.1999999999998</v>
      </c>
      <c r="T23" s="4">
        <v>2.83</v>
      </c>
      <c r="U23" s="4">
        <v>56.7</v>
      </c>
      <c r="V23" s="4">
        <v>15</v>
      </c>
      <c r="W23" s="4">
        <v>1359.6</v>
      </c>
      <c r="X23" s="4">
        <v>3823.9</v>
      </c>
      <c r="Y23" s="4">
        <f>J23*Rates!$D$6</f>
        <v>95493.77</v>
      </c>
      <c r="Z23" s="4">
        <f>K23*Rates!$D$7</f>
        <v>44711.451599999993</v>
      </c>
      <c r="AA23" s="4">
        <f>L23*Rates!$D$8</f>
        <v>5737.5</v>
      </c>
      <c r="AB23" s="4">
        <f>M23*Rates!$D$9</f>
        <v>810</v>
      </c>
      <c r="AC23" s="4">
        <f>O23*Rates!$D$10</f>
        <v>828.75</v>
      </c>
      <c r="AD23" s="4">
        <f>P23*Rates!$D$11</f>
        <v>2866.5</v>
      </c>
      <c r="AE23" s="4">
        <f>Q23*Rates!$D$12</f>
        <v>2993.9</v>
      </c>
      <c r="AF23" s="4">
        <f>R23*Rates!$D$13</f>
        <v>573.56999999999994</v>
      </c>
      <c r="AG23" s="4">
        <f>S23*Rates!$D$14</f>
        <v>892.21999999999991</v>
      </c>
      <c r="AH23" s="4">
        <f>T23*Rates!$D$15</f>
        <v>11.32</v>
      </c>
      <c r="AI23" s="4">
        <f>U23*Rates!$D$16</f>
        <v>3005.1000000000004</v>
      </c>
      <c r="AJ23" s="4">
        <f>V23*Rates!$D$17</f>
        <v>45</v>
      </c>
      <c r="AK23" s="4">
        <f>W23*Rates!$D$18</f>
        <v>271.92</v>
      </c>
      <c r="AL23" s="4">
        <f>X23*Rates!$D$19</f>
        <v>15295.6</v>
      </c>
      <c r="AM23" s="4">
        <f t="shared" si="1"/>
        <v>173536.60160000002</v>
      </c>
    </row>
    <row r="24" spans="1:39" x14ac:dyDescent="0.25">
      <c r="A24" s="3">
        <v>23</v>
      </c>
      <c r="B24" s="3" t="s">
        <v>219</v>
      </c>
      <c r="C24" s="3" t="s">
        <v>113</v>
      </c>
      <c r="D24" s="3" t="s">
        <v>244</v>
      </c>
      <c r="E24" s="4">
        <v>12</v>
      </c>
      <c r="F24" s="4">
        <v>4</v>
      </c>
      <c r="G24" s="4">
        <v>2.5</v>
      </c>
      <c r="H24" s="4">
        <v>51.25</v>
      </c>
      <c r="I24" s="4">
        <v>32</v>
      </c>
      <c r="J24" s="4">
        <v>1244.8</v>
      </c>
      <c r="K24" s="4">
        <f t="shared" si="0"/>
        <v>149.37599999999998</v>
      </c>
      <c r="L24" s="4">
        <v>180.4</v>
      </c>
      <c r="M24" s="4">
        <v>288</v>
      </c>
      <c r="N24" s="4">
        <v>1804</v>
      </c>
      <c r="O24" s="4">
        <v>180.4</v>
      </c>
      <c r="P24" s="4">
        <v>90.2</v>
      </c>
      <c r="Q24" s="4">
        <v>90.2</v>
      </c>
      <c r="R24" s="4">
        <v>1804</v>
      </c>
      <c r="S24" s="4">
        <v>3608</v>
      </c>
      <c r="T24" s="4">
        <v>5.64</v>
      </c>
      <c r="U24" s="4">
        <v>112.8</v>
      </c>
      <c r="V24" s="4">
        <v>29</v>
      </c>
      <c r="W24" s="4">
        <v>1973.1</v>
      </c>
      <c r="X24" s="4">
        <v>0</v>
      </c>
      <c r="Y24" s="4">
        <f>J24*Rates!$D$6</f>
        <v>133069.12</v>
      </c>
      <c r="Z24" s="4">
        <f>K24*Rates!$D$7</f>
        <v>62304.729599999991</v>
      </c>
      <c r="AA24" s="4">
        <f>L24*Rates!$D$8</f>
        <v>8118</v>
      </c>
      <c r="AB24" s="4">
        <f>M24*Rates!$D$9</f>
        <v>576</v>
      </c>
      <c r="AC24" s="4">
        <f>O24*Rates!$D$10</f>
        <v>1172.6000000000001</v>
      </c>
      <c r="AD24" s="4">
        <f>P24*Rates!$D$11</f>
        <v>4059</v>
      </c>
      <c r="AE24" s="4">
        <f>Q24*Rates!$D$12</f>
        <v>4239.4000000000005</v>
      </c>
      <c r="AF24" s="4">
        <f>R24*Rates!$D$13</f>
        <v>811.80000000000007</v>
      </c>
      <c r="AG24" s="4">
        <f>S24*Rates!$D$14</f>
        <v>1262.8</v>
      </c>
      <c r="AH24" s="4">
        <f>T24*Rates!$D$15</f>
        <v>22.56</v>
      </c>
      <c r="AI24" s="4">
        <f>U24*Rates!$D$16</f>
        <v>5978.4</v>
      </c>
      <c r="AJ24" s="4">
        <f>V24*Rates!$D$17</f>
        <v>87</v>
      </c>
      <c r="AK24" s="4">
        <f>W24*Rates!$D$18</f>
        <v>394.62</v>
      </c>
      <c r="AL24" s="4">
        <f>X24*Rates!$D$19</f>
        <v>0</v>
      </c>
      <c r="AM24" s="4">
        <f t="shared" si="1"/>
        <v>222096.02959999995</v>
      </c>
    </row>
    <row r="25" spans="1:39" x14ac:dyDescent="0.25">
      <c r="A25" s="3">
        <v>24</v>
      </c>
      <c r="B25" s="3" t="s">
        <v>221</v>
      </c>
      <c r="C25" s="3" t="s">
        <v>113</v>
      </c>
      <c r="D25" s="3" t="s">
        <v>245</v>
      </c>
      <c r="E25" s="4">
        <v>12</v>
      </c>
      <c r="F25" s="4">
        <v>4</v>
      </c>
      <c r="G25" s="4">
        <v>2.5</v>
      </c>
      <c r="H25" s="4">
        <v>51.25</v>
      </c>
      <c r="I25" s="4">
        <v>45</v>
      </c>
      <c r="J25" s="4">
        <v>1750.5</v>
      </c>
      <c r="K25" s="4">
        <f t="shared" si="0"/>
        <v>210.06</v>
      </c>
      <c r="L25" s="4">
        <v>253.7</v>
      </c>
      <c r="M25" s="4">
        <v>405</v>
      </c>
      <c r="N25" s="4">
        <v>2536.9</v>
      </c>
      <c r="O25" s="4">
        <v>253.7</v>
      </c>
      <c r="P25" s="4">
        <v>126.8</v>
      </c>
      <c r="Q25" s="4">
        <v>126.8</v>
      </c>
      <c r="R25" s="4">
        <v>2536.9</v>
      </c>
      <c r="S25" s="4">
        <v>5073.8</v>
      </c>
      <c r="T25" s="4">
        <v>5.64</v>
      </c>
      <c r="U25" s="4">
        <v>112.8</v>
      </c>
      <c r="V25" s="4">
        <v>29</v>
      </c>
      <c r="W25" s="4">
        <v>2706</v>
      </c>
      <c r="X25" s="4">
        <v>0</v>
      </c>
      <c r="Y25" s="4">
        <f>J25*Rates!$D$6</f>
        <v>187128.45</v>
      </c>
      <c r="Z25" s="4">
        <f>K25*Rates!$D$7</f>
        <v>87616.026000000013</v>
      </c>
      <c r="AA25" s="4">
        <f>L25*Rates!$D$8</f>
        <v>11416.5</v>
      </c>
      <c r="AB25" s="4">
        <f>M25*Rates!$D$9</f>
        <v>810</v>
      </c>
      <c r="AC25" s="4">
        <f>O25*Rates!$D$10</f>
        <v>1649.05</v>
      </c>
      <c r="AD25" s="4">
        <f>P25*Rates!$D$11</f>
        <v>5706</v>
      </c>
      <c r="AE25" s="4">
        <f>Q25*Rates!$D$12</f>
        <v>5959.5999999999995</v>
      </c>
      <c r="AF25" s="4">
        <f>R25*Rates!$D$13</f>
        <v>1141.605</v>
      </c>
      <c r="AG25" s="4">
        <f>S25*Rates!$D$14</f>
        <v>1775.83</v>
      </c>
      <c r="AH25" s="4">
        <f>T25*Rates!$D$15</f>
        <v>22.56</v>
      </c>
      <c r="AI25" s="4">
        <f>U25*Rates!$D$16</f>
        <v>5978.4</v>
      </c>
      <c r="AJ25" s="4">
        <f>V25*Rates!$D$17</f>
        <v>87</v>
      </c>
      <c r="AK25" s="4">
        <f>W25*Rates!$D$18</f>
        <v>541.20000000000005</v>
      </c>
      <c r="AL25" s="4">
        <f>X25*Rates!$D$19</f>
        <v>0</v>
      </c>
      <c r="AM25" s="4">
        <f t="shared" si="1"/>
        <v>309832.22100000002</v>
      </c>
    </row>
    <row r="26" spans="1:39" x14ac:dyDescent="0.25">
      <c r="A26" s="3">
        <v>25</v>
      </c>
      <c r="B26" s="3" t="s">
        <v>223</v>
      </c>
      <c r="C26" s="3" t="s">
        <v>113</v>
      </c>
      <c r="D26" s="3" t="s">
        <v>246</v>
      </c>
      <c r="E26" s="4">
        <v>4</v>
      </c>
      <c r="F26" s="4">
        <v>4</v>
      </c>
      <c r="G26" s="4">
        <v>2.5</v>
      </c>
      <c r="H26" s="4">
        <v>17.25</v>
      </c>
      <c r="I26" s="4">
        <v>45</v>
      </c>
      <c r="J26" s="4">
        <v>607.5</v>
      </c>
      <c r="K26" s="4">
        <f t="shared" si="0"/>
        <v>72.899999999999991</v>
      </c>
      <c r="L26" s="4">
        <v>85.4</v>
      </c>
      <c r="M26" s="4">
        <v>405</v>
      </c>
      <c r="N26" s="4">
        <v>853.9</v>
      </c>
      <c r="O26" s="4">
        <v>85.4</v>
      </c>
      <c r="P26" s="4">
        <v>42.7</v>
      </c>
      <c r="Q26" s="4">
        <v>42.7</v>
      </c>
      <c r="R26" s="4">
        <v>853.9</v>
      </c>
      <c r="S26" s="4">
        <v>1707.8</v>
      </c>
      <c r="T26" s="4">
        <v>1.9</v>
      </c>
      <c r="U26" s="4">
        <v>38</v>
      </c>
      <c r="V26" s="4">
        <v>10</v>
      </c>
      <c r="W26" s="4">
        <v>910.8</v>
      </c>
      <c r="X26" s="4">
        <v>0</v>
      </c>
      <c r="Y26" s="4">
        <f>J26*Rates!$D$6</f>
        <v>64941.75</v>
      </c>
      <c r="Z26" s="4">
        <f>K26*Rates!$D$7</f>
        <v>30406.589999999997</v>
      </c>
      <c r="AA26" s="4">
        <f>L26*Rates!$D$8</f>
        <v>3843.0000000000005</v>
      </c>
      <c r="AB26" s="4">
        <f>M26*Rates!$D$9</f>
        <v>810</v>
      </c>
      <c r="AC26" s="4">
        <f>O26*Rates!$D$10</f>
        <v>555.1</v>
      </c>
      <c r="AD26" s="4">
        <f>P26*Rates!$D$11</f>
        <v>1921.5000000000002</v>
      </c>
      <c r="AE26" s="4">
        <f>Q26*Rates!$D$12</f>
        <v>2006.9</v>
      </c>
      <c r="AF26" s="4">
        <f>R26*Rates!$D$13</f>
        <v>384.255</v>
      </c>
      <c r="AG26" s="4">
        <f>S26*Rates!$D$14</f>
        <v>597.7299999999999</v>
      </c>
      <c r="AH26" s="4">
        <f>T26*Rates!$D$15</f>
        <v>7.6</v>
      </c>
      <c r="AI26" s="4">
        <f>U26*Rates!$D$16</f>
        <v>2014</v>
      </c>
      <c r="AJ26" s="4">
        <f>V26*Rates!$D$17</f>
        <v>30</v>
      </c>
      <c r="AK26" s="4">
        <f>W26*Rates!$D$18</f>
        <v>182.16</v>
      </c>
      <c r="AL26" s="4">
        <f>X26*Rates!$D$19</f>
        <v>0</v>
      </c>
      <c r="AM26" s="4">
        <f t="shared" si="1"/>
        <v>107700.58500000001</v>
      </c>
    </row>
    <row r="27" spans="1:39" x14ac:dyDescent="0.25">
      <c r="A27" s="3">
        <v>26</v>
      </c>
      <c r="B27" s="3" t="s">
        <v>219</v>
      </c>
      <c r="C27" s="3" t="s">
        <v>114</v>
      </c>
      <c r="D27" s="3" t="s">
        <v>247</v>
      </c>
      <c r="E27" s="4">
        <v>15</v>
      </c>
      <c r="F27" s="4">
        <v>4</v>
      </c>
      <c r="G27" s="4">
        <v>2.5</v>
      </c>
      <c r="H27" s="4">
        <v>64</v>
      </c>
      <c r="I27" s="4">
        <v>32</v>
      </c>
      <c r="J27" s="4">
        <v>1549.6</v>
      </c>
      <c r="K27" s="4">
        <f t="shared" si="0"/>
        <v>185.95199999999997</v>
      </c>
      <c r="L27" s="4">
        <v>225.3</v>
      </c>
      <c r="M27" s="4">
        <v>288</v>
      </c>
      <c r="N27" s="4">
        <v>2252.8000000000002</v>
      </c>
      <c r="O27" s="4">
        <v>225.3</v>
      </c>
      <c r="P27" s="4">
        <v>112.6</v>
      </c>
      <c r="Q27" s="4">
        <v>112.6</v>
      </c>
      <c r="R27" s="4">
        <v>2252.8000000000002</v>
      </c>
      <c r="S27" s="4">
        <v>4505.6000000000004</v>
      </c>
      <c r="T27" s="4">
        <v>7.04</v>
      </c>
      <c r="U27" s="4">
        <v>140.80000000000001</v>
      </c>
      <c r="V27" s="4">
        <v>36</v>
      </c>
      <c r="W27" s="4">
        <v>2464</v>
      </c>
      <c r="X27" s="4">
        <v>0</v>
      </c>
      <c r="Y27" s="4">
        <f>J27*Rates!$D$6</f>
        <v>165652.24</v>
      </c>
      <c r="Z27" s="4">
        <f>K27*Rates!$D$7</f>
        <v>77560.579199999993</v>
      </c>
      <c r="AA27" s="4">
        <f>L27*Rates!$D$8</f>
        <v>10138.5</v>
      </c>
      <c r="AB27" s="4">
        <f>M27*Rates!$D$9</f>
        <v>576</v>
      </c>
      <c r="AC27" s="4">
        <f>O27*Rates!$D$10</f>
        <v>1464.45</v>
      </c>
      <c r="AD27" s="4">
        <f>P27*Rates!$D$11</f>
        <v>5067</v>
      </c>
      <c r="AE27" s="4">
        <f>Q27*Rates!$D$12</f>
        <v>5292.2</v>
      </c>
      <c r="AF27" s="4">
        <f>R27*Rates!$D$13</f>
        <v>1013.7600000000001</v>
      </c>
      <c r="AG27" s="4">
        <f>S27*Rates!$D$14</f>
        <v>1576.96</v>
      </c>
      <c r="AH27" s="4">
        <f>T27*Rates!$D$15</f>
        <v>28.16</v>
      </c>
      <c r="AI27" s="4">
        <f>U27*Rates!$D$16</f>
        <v>7462.4000000000005</v>
      </c>
      <c r="AJ27" s="4">
        <f>V27*Rates!$D$17</f>
        <v>108</v>
      </c>
      <c r="AK27" s="4">
        <f>W27*Rates!$D$18</f>
        <v>492.8</v>
      </c>
      <c r="AL27" s="4">
        <f>X27*Rates!$D$19</f>
        <v>0</v>
      </c>
      <c r="AM27" s="4">
        <f t="shared" si="1"/>
        <v>276433.04920000001</v>
      </c>
    </row>
    <row r="28" spans="1:39" x14ac:dyDescent="0.25">
      <c r="A28" s="3">
        <v>27</v>
      </c>
      <c r="B28" s="3" t="s">
        <v>221</v>
      </c>
      <c r="C28" s="3" t="s">
        <v>114</v>
      </c>
      <c r="D28" s="3" t="s">
        <v>248</v>
      </c>
      <c r="E28" s="4">
        <v>14</v>
      </c>
      <c r="F28" s="4">
        <v>4</v>
      </c>
      <c r="G28" s="4">
        <v>2.5</v>
      </c>
      <c r="H28" s="4">
        <v>59.75</v>
      </c>
      <c r="I28" s="4">
        <v>45</v>
      </c>
      <c r="J28" s="4">
        <v>2036.3</v>
      </c>
      <c r="K28" s="4">
        <f t="shared" si="0"/>
        <v>244.35599999999999</v>
      </c>
      <c r="L28" s="4">
        <v>295.8</v>
      </c>
      <c r="M28" s="4">
        <v>405</v>
      </c>
      <c r="N28" s="4">
        <v>2957.6</v>
      </c>
      <c r="O28" s="4">
        <v>295.8</v>
      </c>
      <c r="P28" s="4">
        <v>147.9</v>
      </c>
      <c r="Q28" s="4">
        <v>147.9</v>
      </c>
      <c r="R28" s="4">
        <v>2957.6</v>
      </c>
      <c r="S28" s="4">
        <v>5915.3</v>
      </c>
      <c r="T28" s="4">
        <v>6.57</v>
      </c>
      <c r="U28" s="4">
        <v>131.5</v>
      </c>
      <c r="V28" s="4">
        <v>33</v>
      </c>
      <c r="W28" s="4">
        <v>3154.8</v>
      </c>
      <c r="X28" s="4">
        <v>8872.9</v>
      </c>
      <c r="Y28" s="4">
        <f>J28*Rates!$D$6</f>
        <v>217680.47</v>
      </c>
      <c r="Z28" s="4">
        <f>K28*Rates!$D$7</f>
        <v>101920.8876</v>
      </c>
      <c r="AA28" s="4">
        <f>L28*Rates!$D$8</f>
        <v>13311</v>
      </c>
      <c r="AB28" s="4">
        <f>M28*Rates!$D$9</f>
        <v>810</v>
      </c>
      <c r="AC28" s="4">
        <f>O28*Rates!$D$10</f>
        <v>1922.7</v>
      </c>
      <c r="AD28" s="4">
        <f>P28*Rates!$D$11</f>
        <v>6655.5</v>
      </c>
      <c r="AE28" s="4">
        <f>Q28*Rates!$D$12</f>
        <v>6951.3</v>
      </c>
      <c r="AF28" s="4">
        <f>R28*Rates!$D$13</f>
        <v>1330.92</v>
      </c>
      <c r="AG28" s="4">
        <f>S28*Rates!$D$14</f>
        <v>2070.355</v>
      </c>
      <c r="AH28" s="4">
        <f>T28*Rates!$D$15</f>
        <v>26.28</v>
      </c>
      <c r="AI28" s="4">
        <f>U28*Rates!$D$16</f>
        <v>6969.5</v>
      </c>
      <c r="AJ28" s="4">
        <f>V28*Rates!$D$17</f>
        <v>99</v>
      </c>
      <c r="AK28" s="4">
        <f>W28*Rates!$D$18</f>
        <v>630.96</v>
      </c>
      <c r="AL28" s="4">
        <f>X28*Rates!$D$19</f>
        <v>35491.599999999999</v>
      </c>
      <c r="AM28" s="4">
        <f t="shared" si="1"/>
        <v>395870.47259999998</v>
      </c>
    </row>
    <row r="29" spans="1:39" x14ac:dyDescent="0.25">
      <c r="A29" s="3">
        <v>28</v>
      </c>
      <c r="B29" s="3" t="s">
        <v>223</v>
      </c>
      <c r="C29" s="3" t="s">
        <v>114</v>
      </c>
      <c r="D29" s="3" t="s">
        <v>249</v>
      </c>
      <c r="E29" s="4">
        <v>8</v>
      </c>
      <c r="F29" s="4">
        <v>4</v>
      </c>
      <c r="G29" s="4">
        <v>2.5</v>
      </c>
      <c r="H29" s="4">
        <v>34.25</v>
      </c>
      <c r="I29" s="4">
        <v>45</v>
      </c>
      <c r="J29" s="4">
        <v>1179</v>
      </c>
      <c r="K29" s="4">
        <f t="shared" si="0"/>
        <v>141.47999999999999</v>
      </c>
      <c r="L29" s="4">
        <v>169.5</v>
      </c>
      <c r="M29" s="4">
        <v>405</v>
      </c>
      <c r="N29" s="4">
        <v>1695.4</v>
      </c>
      <c r="O29" s="4">
        <v>169.5</v>
      </c>
      <c r="P29" s="4">
        <v>84.8</v>
      </c>
      <c r="Q29" s="4">
        <v>84.8</v>
      </c>
      <c r="R29" s="4">
        <v>1695.4</v>
      </c>
      <c r="S29" s="4">
        <v>3390.8</v>
      </c>
      <c r="T29" s="4">
        <v>3.77</v>
      </c>
      <c r="U29" s="4">
        <v>75.400000000000006</v>
      </c>
      <c r="V29" s="4">
        <v>19</v>
      </c>
      <c r="W29" s="4">
        <v>1808.4</v>
      </c>
      <c r="X29" s="4">
        <v>0</v>
      </c>
      <c r="Y29" s="4">
        <f>J29*Rates!$D$6</f>
        <v>126035.1</v>
      </c>
      <c r="Z29" s="4">
        <f>K29*Rates!$D$7</f>
        <v>59011.307999999997</v>
      </c>
      <c r="AA29" s="4">
        <f>L29*Rates!$D$8</f>
        <v>7627.5</v>
      </c>
      <c r="AB29" s="4">
        <f>M29*Rates!$D$9</f>
        <v>810</v>
      </c>
      <c r="AC29" s="4">
        <f>O29*Rates!$D$10</f>
        <v>1101.75</v>
      </c>
      <c r="AD29" s="4">
        <f>P29*Rates!$D$11</f>
        <v>3816</v>
      </c>
      <c r="AE29" s="4">
        <f>Q29*Rates!$D$12</f>
        <v>3985.6</v>
      </c>
      <c r="AF29" s="4">
        <f>R29*Rates!$D$13</f>
        <v>762.93000000000006</v>
      </c>
      <c r="AG29" s="4">
        <f>S29*Rates!$D$14</f>
        <v>1186.78</v>
      </c>
      <c r="AH29" s="4">
        <f>T29*Rates!$D$15</f>
        <v>15.08</v>
      </c>
      <c r="AI29" s="4">
        <f>U29*Rates!$D$16</f>
        <v>3996.2000000000003</v>
      </c>
      <c r="AJ29" s="4">
        <f>V29*Rates!$D$17</f>
        <v>57</v>
      </c>
      <c r="AK29" s="4">
        <f>W29*Rates!$D$18</f>
        <v>361.68000000000006</v>
      </c>
      <c r="AL29" s="4">
        <f>X29*Rates!$D$19</f>
        <v>0</v>
      </c>
      <c r="AM29" s="4">
        <f t="shared" si="1"/>
        <v>208766.92799999999</v>
      </c>
    </row>
    <row r="30" spans="1:39" x14ac:dyDescent="0.25">
      <c r="A30" s="3">
        <v>29</v>
      </c>
      <c r="B30" s="3" t="s">
        <v>221</v>
      </c>
      <c r="C30" s="3" t="s">
        <v>115</v>
      </c>
      <c r="D30" s="3" t="s">
        <v>250</v>
      </c>
      <c r="E30" s="4">
        <v>5</v>
      </c>
      <c r="F30" s="4">
        <v>4</v>
      </c>
      <c r="G30" s="4">
        <v>2.5</v>
      </c>
      <c r="H30" s="4">
        <v>21.5</v>
      </c>
      <c r="I30" s="4">
        <v>45</v>
      </c>
      <c r="J30" s="4">
        <v>750.4</v>
      </c>
      <c r="K30" s="4">
        <f t="shared" si="0"/>
        <v>90.047999999999988</v>
      </c>
      <c r="L30" s="4">
        <v>106.4</v>
      </c>
      <c r="M30" s="4">
        <v>405</v>
      </c>
      <c r="N30" s="4">
        <v>1064.2</v>
      </c>
      <c r="O30" s="4">
        <v>106.4</v>
      </c>
      <c r="P30" s="4">
        <v>53.2</v>
      </c>
      <c r="Q30" s="4">
        <v>53.2</v>
      </c>
      <c r="R30" s="4">
        <v>1064.2</v>
      </c>
      <c r="S30" s="4">
        <v>2128.5</v>
      </c>
      <c r="T30" s="4">
        <v>2.37</v>
      </c>
      <c r="U30" s="4">
        <v>47.3</v>
      </c>
      <c r="V30" s="4">
        <v>12</v>
      </c>
      <c r="W30" s="4">
        <v>1135.2</v>
      </c>
      <c r="X30" s="4">
        <v>3192.8</v>
      </c>
      <c r="Y30" s="4">
        <f>J30*Rates!$D$6</f>
        <v>80217.759999999995</v>
      </c>
      <c r="Z30" s="4">
        <f>K30*Rates!$D$7</f>
        <v>37559.020799999998</v>
      </c>
      <c r="AA30" s="4">
        <f>L30*Rates!$D$8</f>
        <v>4788</v>
      </c>
      <c r="AB30" s="4">
        <f>M30*Rates!$D$9</f>
        <v>810</v>
      </c>
      <c r="AC30" s="4">
        <f>O30*Rates!$D$10</f>
        <v>691.6</v>
      </c>
      <c r="AD30" s="4">
        <f>P30*Rates!$D$11</f>
        <v>2394</v>
      </c>
      <c r="AE30" s="4">
        <f>Q30*Rates!$D$12</f>
        <v>2500.4</v>
      </c>
      <c r="AF30" s="4">
        <f>R30*Rates!$D$13</f>
        <v>478.89000000000004</v>
      </c>
      <c r="AG30" s="4">
        <f>S30*Rates!$D$14</f>
        <v>744.97499999999991</v>
      </c>
      <c r="AH30" s="4">
        <f>T30*Rates!$D$15</f>
        <v>9.48</v>
      </c>
      <c r="AI30" s="4">
        <f>U30*Rates!$D$16</f>
        <v>2506.8999999999996</v>
      </c>
      <c r="AJ30" s="4">
        <f>V30*Rates!$D$17</f>
        <v>36</v>
      </c>
      <c r="AK30" s="4">
        <f>W30*Rates!$D$18</f>
        <v>227.04000000000002</v>
      </c>
      <c r="AL30" s="4">
        <f>X30*Rates!$D$19</f>
        <v>12771.2</v>
      </c>
      <c r="AM30" s="4">
        <f t="shared" si="1"/>
        <v>145735.26580000002</v>
      </c>
    </row>
    <row r="31" spans="1:39" x14ac:dyDescent="0.25">
      <c r="A31" s="3">
        <v>30</v>
      </c>
      <c r="B31" s="3" t="s">
        <v>223</v>
      </c>
      <c r="C31" s="3" t="s">
        <v>115</v>
      </c>
      <c r="D31" s="3" t="s">
        <v>251</v>
      </c>
      <c r="E31" s="4">
        <v>4</v>
      </c>
      <c r="F31" s="4">
        <v>4</v>
      </c>
      <c r="G31" s="4">
        <v>2.5</v>
      </c>
      <c r="H31" s="4">
        <v>17.25</v>
      </c>
      <c r="I31" s="4">
        <v>45</v>
      </c>
      <c r="J31" s="4">
        <v>607.5</v>
      </c>
      <c r="K31" s="4">
        <f t="shared" si="0"/>
        <v>72.899999999999991</v>
      </c>
      <c r="L31" s="4">
        <v>85.4</v>
      </c>
      <c r="M31" s="4">
        <v>405</v>
      </c>
      <c r="N31" s="4">
        <v>853.9</v>
      </c>
      <c r="O31" s="4">
        <v>85.4</v>
      </c>
      <c r="P31" s="4">
        <v>42.7</v>
      </c>
      <c r="Q31" s="4">
        <v>42.7</v>
      </c>
      <c r="R31" s="4">
        <v>853.9</v>
      </c>
      <c r="S31" s="4">
        <v>1707.8</v>
      </c>
      <c r="T31" s="4">
        <v>1.9</v>
      </c>
      <c r="U31" s="4">
        <v>38</v>
      </c>
      <c r="V31" s="4">
        <v>10</v>
      </c>
      <c r="W31" s="4">
        <v>910.8</v>
      </c>
      <c r="X31" s="4">
        <v>0</v>
      </c>
      <c r="Y31" s="4">
        <f>J31*Rates!$D$6</f>
        <v>64941.75</v>
      </c>
      <c r="Z31" s="4">
        <f>K31*Rates!$D$7</f>
        <v>30406.589999999997</v>
      </c>
      <c r="AA31" s="4">
        <f>L31*Rates!$D$8</f>
        <v>3843.0000000000005</v>
      </c>
      <c r="AB31" s="4">
        <f>M31*Rates!$D$9</f>
        <v>810</v>
      </c>
      <c r="AC31" s="4">
        <f>O31*Rates!$D$10</f>
        <v>555.1</v>
      </c>
      <c r="AD31" s="4">
        <f>P31*Rates!$D$11</f>
        <v>1921.5000000000002</v>
      </c>
      <c r="AE31" s="4">
        <f>Q31*Rates!$D$12</f>
        <v>2006.9</v>
      </c>
      <c r="AF31" s="4">
        <f>R31*Rates!$D$13</f>
        <v>384.255</v>
      </c>
      <c r="AG31" s="4">
        <f>S31*Rates!$D$14</f>
        <v>597.7299999999999</v>
      </c>
      <c r="AH31" s="4">
        <f>T31*Rates!$D$15</f>
        <v>7.6</v>
      </c>
      <c r="AI31" s="4">
        <f>U31*Rates!$D$16</f>
        <v>2014</v>
      </c>
      <c r="AJ31" s="4">
        <f>V31*Rates!$D$17</f>
        <v>30</v>
      </c>
      <c r="AK31" s="4">
        <f>W31*Rates!$D$18</f>
        <v>182.16</v>
      </c>
      <c r="AL31" s="4">
        <f>X31*Rates!$D$19</f>
        <v>0</v>
      </c>
      <c r="AM31" s="4">
        <f t="shared" si="1"/>
        <v>107700.58500000001</v>
      </c>
    </row>
    <row r="32" spans="1:39" x14ac:dyDescent="0.25">
      <c r="A32" s="3">
        <v>31</v>
      </c>
      <c r="B32" s="3" t="s">
        <v>221</v>
      </c>
      <c r="C32" s="3" t="s">
        <v>116</v>
      </c>
      <c r="D32" s="3" t="s">
        <v>252</v>
      </c>
      <c r="E32" s="4">
        <v>12</v>
      </c>
      <c r="F32" s="4">
        <v>4</v>
      </c>
      <c r="G32" s="4">
        <v>2.5</v>
      </c>
      <c r="H32" s="4">
        <v>51.25</v>
      </c>
      <c r="I32" s="4">
        <v>45</v>
      </c>
      <c r="J32" s="4">
        <v>1750.5</v>
      </c>
      <c r="K32" s="4">
        <f t="shared" si="0"/>
        <v>210.06</v>
      </c>
      <c r="L32" s="4">
        <v>253.7</v>
      </c>
      <c r="M32" s="4">
        <v>405</v>
      </c>
      <c r="N32" s="4">
        <v>2536.9</v>
      </c>
      <c r="O32" s="4">
        <v>253.7</v>
      </c>
      <c r="P32" s="4">
        <v>126.8</v>
      </c>
      <c r="Q32" s="4">
        <v>126.8</v>
      </c>
      <c r="R32" s="4">
        <v>2536.9</v>
      </c>
      <c r="S32" s="4">
        <v>5073.8</v>
      </c>
      <c r="T32" s="4">
        <v>5.64</v>
      </c>
      <c r="U32" s="4">
        <v>112.8</v>
      </c>
      <c r="V32" s="4">
        <v>29</v>
      </c>
      <c r="W32" s="4">
        <v>2706</v>
      </c>
      <c r="X32" s="4">
        <v>7610.6</v>
      </c>
      <c r="Y32" s="4">
        <f>J32*Rates!$D$6</f>
        <v>187128.45</v>
      </c>
      <c r="Z32" s="4">
        <f>K32*Rates!$D$7</f>
        <v>87616.026000000013</v>
      </c>
      <c r="AA32" s="4">
        <f>L32*Rates!$D$8</f>
        <v>11416.5</v>
      </c>
      <c r="AB32" s="4">
        <f>M32*Rates!$D$9</f>
        <v>810</v>
      </c>
      <c r="AC32" s="4">
        <f>O32*Rates!$D$10</f>
        <v>1649.05</v>
      </c>
      <c r="AD32" s="4">
        <f>P32*Rates!$D$11</f>
        <v>5706</v>
      </c>
      <c r="AE32" s="4">
        <f>Q32*Rates!$D$12</f>
        <v>5959.5999999999995</v>
      </c>
      <c r="AF32" s="4">
        <f>R32*Rates!$D$13</f>
        <v>1141.605</v>
      </c>
      <c r="AG32" s="4">
        <f>S32*Rates!$D$14</f>
        <v>1775.83</v>
      </c>
      <c r="AH32" s="4">
        <f>T32*Rates!$D$15</f>
        <v>22.56</v>
      </c>
      <c r="AI32" s="4">
        <f>U32*Rates!$D$16</f>
        <v>5978.4</v>
      </c>
      <c r="AJ32" s="4">
        <f>V32*Rates!$D$17</f>
        <v>87</v>
      </c>
      <c r="AK32" s="4">
        <f>W32*Rates!$D$18</f>
        <v>541.20000000000005</v>
      </c>
      <c r="AL32" s="4">
        <f>X32*Rates!$D$19</f>
        <v>30442.400000000001</v>
      </c>
      <c r="AM32" s="4">
        <f t="shared" si="1"/>
        <v>340274.62100000004</v>
      </c>
    </row>
    <row r="33" spans="1:39" x14ac:dyDescent="0.25">
      <c r="A33" s="3">
        <v>32</v>
      </c>
      <c r="B33" s="3" t="s">
        <v>223</v>
      </c>
      <c r="C33" s="3" t="s">
        <v>116</v>
      </c>
      <c r="D33" s="3" t="s">
        <v>253</v>
      </c>
      <c r="E33" s="4">
        <v>3</v>
      </c>
      <c r="F33" s="4">
        <v>4</v>
      </c>
      <c r="G33" s="4">
        <v>2.5</v>
      </c>
      <c r="H33" s="4">
        <v>13</v>
      </c>
      <c r="I33" s="4">
        <v>45</v>
      </c>
      <c r="J33" s="4">
        <v>464.6</v>
      </c>
      <c r="K33" s="4">
        <f t="shared" si="0"/>
        <v>55.752000000000002</v>
      </c>
      <c r="L33" s="4">
        <v>64.400000000000006</v>
      </c>
      <c r="M33" s="4">
        <v>405</v>
      </c>
      <c r="N33" s="4">
        <v>643.5</v>
      </c>
      <c r="O33" s="4">
        <v>64.400000000000006</v>
      </c>
      <c r="P33" s="4">
        <v>32.200000000000003</v>
      </c>
      <c r="Q33" s="4">
        <v>32.200000000000003</v>
      </c>
      <c r="R33" s="4">
        <v>643.5</v>
      </c>
      <c r="S33" s="4">
        <v>1287</v>
      </c>
      <c r="T33" s="4">
        <v>1.43</v>
      </c>
      <c r="U33" s="4">
        <v>28.6</v>
      </c>
      <c r="V33" s="4">
        <v>8</v>
      </c>
      <c r="W33" s="4">
        <v>686.4</v>
      </c>
      <c r="X33" s="4">
        <v>1930.5</v>
      </c>
      <c r="Y33" s="4">
        <f>J33*Rates!$D$6</f>
        <v>49665.740000000005</v>
      </c>
      <c r="Z33" s="4">
        <f>K33*Rates!$D$7</f>
        <v>23254.159200000002</v>
      </c>
      <c r="AA33" s="4">
        <f>L33*Rates!$D$8</f>
        <v>2898.0000000000005</v>
      </c>
      <c r="AB33" s="4">
        <f>M33*Rates!$D$9</f>
        <v>810</v>
      </c>
      <c r="AC33" s="4">
        <f>O33*Rates!$D$10</f>
        <v>418.6</v>
      </c>
      <c r="AD33" s="4">
        <f>P33*Rates!$D$11</f>
        <v>1449.0000000000002</v>
      </c>
      <c r="AE33" s="4">
        <f>Q33*Rates!$D$12</f>
        <v>1513.4</v>
      </c>
      <c r="AF33" s="4">
        <f>R33*Rates!$D$13</f>
        <v>289.57499999999999</v>
      </c>
      <c r="AG33" s="4">
        <f>S33*Rates!$D$14</f>
        <v>450.45</v>
      </c>
      <c r="AH33" s="4">
        <f>T33*Rates!$D$15</f>
        <v>5.72</v>
      </c>
      <c r="AI33" s="4">
        <f>U33*Rates!$D$16</f>
        <v>1515.8000000000002</v>
      </c>
      <c r="AJ33" s="4">
        <f>V33*Rates!$D$17</f>
        <v>24</v>
      </c>
      <c r="AK33" s="4">
        <f>W33*Rates!$D$18</f>
        <v>137.28</v>
      </c>
      <c r="AL33" s="4">
        <f>X33*Rates!$D$19</f>
        <v>7722</v>
      </c>
      <c r="AM33" s="4">
        <f t="shared" si="1"/>
        <v>90153.724200000011</v>
      </c>
    </row>
    <row r="34" spans="1:39" x14ac:dyDescent="0.25">
      <c r="A34" s="3">
        <v>33</v>
      </c>
      <c r="B34" s="3" t="s">
        <v>221</v>
      </c>
      <c r="C34" s="3" t="s">
        <v>117</v>
      </c>
      <c r="D34" s="3" t="s">
        <v>254</v>
      </c>
      <c r="E34" s="4">
        <v>15</v>
      </c>
      <c r="F34" s="4">
        <v>4</v>
      </c>
      <c r="G34" s="4">
        <v>2.5</v>
      </c>
      <c r="H34" s="4">
        <v>64</v>
      </c>
      <c r="I34" s="4">
        <v>45</v>
      </c>
      <c r="J34" s="4">
        <v>2179.1</v>
      </c>
      <c r="K34" s="4">
        <f t="shared" ref="K34:K65" si="2">0.12*J34</f>
        <v>261.49199999999996</v>
      </c>
      <c r="L34" s="4">
        <v>316.8</v>
      </c>
      <c r="M34" s="4">
        <v>405</v>
      </c>
      <c r="N34" s="4">
        <v>3168</v>
      </c>
      <c r="O34" s="4">
        <v>316.8</v>
      </c>
      <c r="P34" s="4">
        <v>158.4</v>
      </c>
      <c r="Q34" s="4">
        <v>158.4</v>
      </c>
      <c r="R34" s="4">
        <v>3168</v>
      </c>
      <c r="S34" s="4">
        <v>6336</v>
      </c>
      <c r="T34" s="4">
        <v>7.04</v>
      </c>
      <c r="U34" s="4">
        <v>140.80000000000001</v>
      </c>
      <c r="V34" s="4">
        <v>36</v>
      </c>
      <c r="W34" s="4">
        <v>3379.2</v>
      </c>
      <c r="X34" s="4">
        <v>9504</v>
      </c>
      <c r="Y34" s="4">
        <f>J34*Rates!$D$6</f>
        <v>232945.79</v>
      </c>
      <c r="Z34" s="4">
        <f>K34*Rates!$D$7</f>
        <v>109068.31319999999</v>
      </c>
      <c r="AA34" s="4">
        <f>L34*Rates!$D$8</f>
        <v>14256</v>
      </c>
      <c r="AB34" s="4">
        <f>M34*Rates!$D$9</f>
        <v>810</v>
      </c>
      <c r="AC34" s="4">
        <f>O34*Rates!$D$10</f>
        <v>2059.2000000000003</v>
      </c>
      <c r="AD34" s="4">
        <f>P34*Rates!$D$11</f>
        <v>7128</v>
      </c>
      <c r="AE34" s="4">
        <f>Q34*Rates!$D$12</f>
        <v>7444.8</v>
      </c>
      <c r="AF34" s="4">
        <f>R34*Rates!$D$13</f>
        <v>1425.6000000000001</v>
      </c>
      <c r="AG34" s="4">
        <f>S34*Rates!$D$14</f>
        <v>2217.6</v>
      </c>
      <c r="AH34" s="4">
        <f>T34*Rates!$D$15</f>
        <v>28.16</v>
      </c>
      <c r="AI34" s="4">
        <f>U34*Rates!$D$16</f>
        <v>7462.4000000000005</v>
      </c>
      <c r="AJ34" s="4">
        <f>V34*Rates!$D$17</f>
        <v>108</v>
      </c>
      <c r="AK34" s="4">
        <f>W34*Rates!$D$18</f>
        <v>675.84</v>
      </c>
      <c r="AL34" s="4">
        <f>X34*Rates!$D$19</f>
        <v>38016</v>
      </c>
      <c r="AM34" s="4">
        <f t="shared" ref="AM34:AM65" si="3">SUM(Y34:AL34)</f>
        <v>423645.70319999999</v>
      </c>
    </row>
    <row r="35" spans="1:39" x14ac:dyDescent="0.25">
      <c r="A35" s="3">
        <v>34</v>
      </c>
      <c r="B35" s="3" t="s">
        <v>223</v>
      </c>
      <c r="C35" s="3" t="s">
        <v>117</v>
      </c>
      <c r="D35" s="3" t="s">
        <v>255</v>
      </c>
      <c r="E35" s="4">
        <v>7</v>
      </c>
      <c r="F35" s="4">
        <v>4</v>
      </c>
      <c r="G35" s="4">
        <v>2.5</v>
      </c>
      <c r="H35" s="4">
        <v>30</v>
      </c>
      <c r="I35" s="4">
        <v>45</v>
      </c>
      <c r="J35" s="4">
        <v>1036.0999999999999</v>
      </c>
      <c r="K35" s="4">
        <f t="shared" si="2"/>
        <v>124.33199999999998</v>
      </c>
      <c r="L35" s="4">
        <v>148.5</v>
      </c>
      <c r="M35" s="4">
        <v>405</v>
      </c>
      <c r="N35" s="4">
        <v>1485</v>
      </c>
      <c r="O35" s="4">
        <v>148.5</v>
      </c>
      <c r="P35" s="4">
        <v>74.3</v>
      </c>
      <c r="Q35" s="4">
        <v>74.3</v>
      </c>
      <c r="R35" s="4">
        <v>1485</v>
      </c>
      <c r="S35" s="4">
        <v>2970</v>
      </c>
      <c r="T35" s="4">
        <v>3.3</v>
      </c>
      <c r="U35" s="4">
        <v>66</v>
      </c>
      <c r="V35" s="4">
        <v>17</v>
      </c>
      <c r="W35" s="4">
        <v>1584</v>
      </c>
      <c r="X35" s="4">
        <v>0</v>
      </c>
      <c r="Y35" s="4">
        <f>J35*Rates!$D$6</f>
        <v>110759.09</v>
      </c>
      <c r="Z35" s="4">
        <f>K35*Rates!$D$7</f>
        <v>51858.877199999995</v>
      </c>
      <c r="AA35" s="4">
        <f>L35*Rates!$D$8</f>
        <v>6682.5</v>
      </c>
      <c r="AB35" s="4">
        <f>M35*Rates!$D$9</f>
        <v>810</v>
      </c>
      <c r="AC35" s="4">
        <f>O35*Rates!$D$10</f>
        <v>965.25</v>
      </c>
      <c r="AD35" s="4">
        <f>P35*Rates!$D$11</f>
        <v>3343.5</v>
      </c>
      <c r="AE35" s="4">
        <f>Q35*Rates!$D$12</f>
        <v>3492.1</v>
      </c>
      <c r="AF35" s="4">
        <f>R35*Rates!$D$13</f>
        <v>668.25</v>
      </c>
      <c r="AG35" s="4">
        <f>S35*Rates!$D$14</f>
        <v>1039.5</v>
      </c>
      <c r="AH35" s="4">
        <f>T35*Rates!$D$15</f>
        <v>13.2</v>
      </c>
      <c r="AI35" s="4">
        <f>U35*Rates!$D$16</f>
        <v>3498</v>
      </c>
      <c r="AJ35" s="4">
        <f>V35*Rates!$D$17</f>
        <v>51</v>
      </c>
      <c r="AK35" s="4">
        <f>W35*Rates!$D$18</f>
        <v>316.8</v>
      </c>
      <c r="AL35" s="4">
        <f>X35*Rates!$D$19</f>
        <v>0</v>
      </c>
      <c r="AM35" s="4">
        <f t="shared" si="3"/>
        <v>183498.06719999999</v>
      </c>
    </row>
    <row r="36" spans="1:39" x14ac:dyDescent="0.25">
      <c r="A36" s="3">
        <v>35</v>
      </c>
      <c r="B36" s="3" t="s">
        <v>223</v>
      </c>
      <c r="C36" s="3" t="s">
        <v>118</v>
      </c>
      <c r="D36" s="3" t="s">
        <v>256</v>
      </c>
      <c r="E36" s="4">
        <v>6</v>
      </c>
      <c r="F36" s="4">
        <v>4</v>
      </c>
      <c r="G36" s="4">
        <v>2.5</v>
      </c>
      <c r="H36" s="4">
        <v>25.75</v>
      </c>
      <c r="I36" s="4">
        <v>45</v>
      </c>
      <c r="J36" s="4">
        <v>893.3</v>
      </c>
      <c r="K36" s="4">
        <f t="shared" si="2"/>
        <v>107.19599999999998</v>
      </c>
      <c r="L36" s="4">
        <v>127.5</v>
      </c>
      <c r="M36" s="4">
        <v>405</v>
      </c>
      <c r="N36" s="4">
        <v>1274.5999999999999</v>
      </c>
      <c r="O36" s="4">
        <v>127.5</v>
      </c>
      <c r="P36" s="4">
        <v>63.7</v>
      </c>
      <c r="Q36" s="4">
        <v>63.7</v>
      </c>
      <c r="R36" s="4">
        <v>1274.5999999999999</v>
      </c>
      <c r="S36" s="4">
        <v>2549.1999999999998</v>
      </c>
      <c r="T36" s="4">
        <v>2.83</v>
      </c>
      <c r="U36" s="4">
        <v>56.7</v>
      </c>
      <c r="V36" s="4">
        <v>15</v>
      </c>
      <c r="W36" s="4">
        <v>1359.6</v>
      </c>
      <c r="X36" s="4">
        <v>3823.9</v>
      </c>
      <c r="Y36" s="4">
        <f>J36*Rates!$D$6</f>
        <v>95493.77</v>
      </c>
      <c r="Z36" s="4">
        <f>K36*Rates!$D$7</f>
        <v>44711.451599999993</v>
      </c>
      <c r="AA36" s="4">
        <f>L36*Rates!$D$8</f>
        <v>5737.5</v>
      </c>
      <c r="AB36" s="4">
        <f>M36*Rates!$D$9</f>
        <v>810</v>
      </c>
      <c r="AC36" s="4">
        <f>O36*Rates!$D$10</f>
        <v>828.75</v>
      </c>
      <c r="AD36" s="4">
        <f>P36*Rates!$D$11</f>
        <v>2866.5</v>
      </c>
      <c r="AE36" s="4">
        <f>Q36*Rates!$D$12</f>
        <v>2993.9</v>
      </c>
      <c r="AF36" s="4">
        <f>R36*Rates!$D$13</f>
        <v>573.56999999999994</v>
      </c>
      <c r="AG36" s="4">
        <f>S36*Rates!$D$14</f>
        <v>892.21999999999991</v>
      </c>
      <c r="AH36" s="4">
        <f>T36*Rates!$D$15</f>
        <v>11.32</v>
      </c>
      <c r="AI36" s="4">
        <f>U36*Rates!$D$16</f>
        <v>3005.1000000000004</v>
      </c>
      <c r="AJ36" s="4">
        <f>V36*Rates!$D$17</f>
        <v>45</v>
      </c>
      <c r="AK36" s="4">
        <f>W36*Rates!$D$18</f>
        <v>271.92</v>
      </c>
      <c r="AL36" s="4">
        <f>X36*Rates!$D$19</f>
        <v>15295.6</v>
      </c>
      <c r="AM36" s="4">
        <f t="shared" si="3"/>
        <v>173536.60160000002</v>
      </c>
    </row>
    <row r="37" spans="1:39" x14ac:dyDescent="0.25">
      <c r="A37" s="3">
        <v>36</v>
      </c>
      <c r="B37" s="3" t="s">
        <v>221</v>
      </c>
      <c r="C37" s="3" t="s">
        <v>121</v>
      </c>
      <c r="D37" s="3" t="s">
        <v>257</v>
      </c>
      <c r="E37" s="4">
        <v>6</v>
      </c>
      <c r="F37" s="4">
        <v>4</v>
      </c>
      <c r="G37" s="4">
        <v>2.5</v>
      </c>
      <c r="H37" s="4">
        <v>25.75</v>
      </c>
      <c r="I37" s="4">
        <v>45</v>
      </c>
      <c r="J37" s="4">
        <v>893.3</v>
      </c>
      <c r="K37" s="4">
        <f t="shared" si="2"/>
        <v>107.19599999999998</v>
      </c>
      <c r="L37" s="4">
        <v>127.5</v>
      </c>
      <c r="M37" s="4">
        <v>405</v>
      </c>
      <c r="N37" s="4">
        <v>1274.5999999999999</v>
      </c>
      <c r="O37" s="4">
        <v>127.5</v>
      </c>
      <c r="P37" s="4">
        <v>63.7</v>
      </c>
      <c r="Q37" s="4">
        <v>63.7</v>
      </c>
      <c r="R37" s="4">
        <v>1274.5999999999999</v>
      </c>
      <c r="S37" s="4">
        <v>2549.1999999999998</v>
      </c>
      <c r="T37" s="4">
        <v>2.83</v>
      </c>
      <c r="U37" s="4">
        <v>56.7</v>
      </c>
      <c r="V37" s="4">
        <v>15</v>
      </c>
      <c r="W37" s="4">
        <v>1359.6</v>
      </c>
      <c r="X37" s="4">
        <v>3823.9</v>
      </c>
      <c r="Y37" s="4">
        <f>J37*Rates!$D$6</f>
        <v>95493.77</v>
      </c>
      <c r="Z37" s="4">
        <f>K37*Rates!$D$7</f>
        <v>44711.451599999993</v>
      </c>
      <c r="AA37" s="4">
        <f>L37*Rates!$D$8</f>
        <v>5737.5</v>
      </c>
      <c r="AB37" s="4">
        <f>M37*Rates!$D$9</f>
        <v>810</v>
      </c>
      <c r="AC37" s="4">
        <f>O37*Rates!$D$10</f>
        <v>828.75</v>
      </c>
      <c r="AD37" s="4">
        <f>P37*Rates!$D$11</f>
        <v>2866.5</v>
      </c>
      <c r="AE37" s="4">
        <f>Q37*Rates!$D$12</f>
        <v>2993.9</v>
      </c>
      <c r="AF37" s="4">
        <f>R37*Rates!$D$13</f>
        <v>573.56999999999994</v>
      </c>
      <c r="AG37" s="4">
        <f>S37*Rates!$D$14</f>
        <v>892.21999999999991</v>
      </c>
      <c r="AH37" s="4">
        <f>T37*Rates!$D$15</f>
        <v>11.32</v>
      </c>
      <c r="AI37" s="4">
        <f>U37*Rates!$D$16</f>
        <v>3005.1000000000004</v>
      </c>
      <c r="AJ37" s="4">
        <f>V37*Rates!$D$17</f>
        <v>45</v>
      </c>
      <c r="AK37" s="4">
        <f>W37*Rates!$D$18</f>
        <v>271.92</v>
      </c>
      <c r="AL37" s="4">
        <f>X37*Rates!$D$19</f>
        <v>15295.6</v>
      </c>
      <c r="AM37" s="4">
        <f t="shared" si="3"/>
        <v>173536.60160000002</v>
      </c>
    </row>
    <row r="38" spans="1:39" x14ac:dyDescent="0.25">
      <c r="A38" s="3">
        <v>37</v>
      </c>
      <c r="B38" s="3" t="s">
        <v>223</v>
      </c>
      <c r="C38" s="3" t="s">
        <v>121</v>
      </c>
      <c r="D38" s="3" t="s">
        <v>258</v>
      </c>
      <c r="E38" s="4">
        <v>3</v>
      </c>
      <c r="F38" s="4">
        <v>4</v>
      </c>
      <c r="G38" s="4">
        <v>2.5</v>
      </c>
      <c r="H38" s="4">
        <v>13</v>
      </c>
      <c r="I38" s="4">
        <v>45</v>
      </c>
      <c r="J38" s="4">
        <v>464.6</v>
      </c>
      <c r="K38" s="4">
        <f t="shared" si="2"/>
        <v>55.752000000000002</v>
      </c>
      <c r="L38" s="4">
        <v>64.400000000000006</v>
      </c>
      <c r="M38" s="4">
        <v>405</v>
      </c>
      <c r="N38" s="4">
        <v>643.5</v>
      </c>
      <c r="O38" s="4">
        <v>64.400000000000006</v>
      </c>
      <c r="P38" s="4">
        <v>32.200000000000003</v>
      </c>
      <c r="Q38" s="4">
        <v>32.200000000000003</v>
      </c>
      <c r="R38" s="4">
        <v>643.5</v>
      </c>
      <c r="S38" s="4">
        <v>1287</v>
      </c>
      <c r="T38" s="4">
        <v>1.43</v>
      </c>
      <c r="U38" s="4">
        <v>28.6</v>
      </c>
      <c r="V38" s="4">
        <v>8</v>
      </c>
      <c r="W38" s="4">
        <v>686.4</v>
      </c>
      <c r="X38" s="4">
        <v>0</v>
      </c>
      <c r="Y38" s="4">
        <f>J38*Rates!$D$6</f>
        <v>49665.740000000005</v>
      </c>
      <c r="Z38" s="4">
        <f>K38*Rates!$D$7</f>
        <v>23254.159200000002</v>
      </c>
      <c r="AA38" s="4">
        <f>L38*Rates!$D$8</f>
        <v>2898.0000000000005</v>
      </c>
      <c r="AB38" s="4">
        <f>M38*Rates!$D$9</f>
        <v>810</v>
      </c>
      <c r="AC38" s="4">
        <f>O38*Rates!$D$10</f>
        <v>418.6</v>
      </c>
      <c r="AD38" s="4">
        <f>P38*Rates!$D$11</f>
        <v>1449.0000000000002</v>
      </c>
      <c r="AE38" s="4">
        <f>Q38*Rates!$D$12</f>
        <v>1513.4</v>
      </c>
      <c r="AF38" s="4">
        <f>R38*Rates!$D$13</f>
        <v>289.57499999999999</v>
      </c>
      <c r="AG38" s="4">
        <f>S38*Rates!$D$14</f>
        <v>450.45</v>
      </c>
      <c r="AH38" s="4">
        <f>T38*Rates!$D$15</f>
        <v>5.72</v>
      </c>
      <c r="AI38" s="4">
        <f>U38*Rates!$D$16</f>
        <v>1515.8000000000002</v>
      </c>
      <c r="AJ38" s="4">
        <f>V38*Rates!$D$17</f>
        <v>24</v>
      </c>
      <c r="AK38" s="4">
        <f>W38*Rates!$D$18</f>
        <v>137.28</v>
      </c>
      <c r="AL38" s="4">
        <f>X38*Rates!$D$19</f>
        <v>0</v>
      </c>
      <c r="AM38" s="4">
        <f t="shared" si="3"/>
        <v>82431.724200000011</v>
      </c>
    </row>
    <row r="39" spans="1:39" x14ac:dyDescent="0.25">
      <c r="A39" s="3">
        <v>38</v>
      </c>
      <c r="B39" s="3" t="s">
        <v>221</v>
      </c>
      <c r="C39" s="3" t="s">
        <v>122</v>
      </c>
      <c r="D39" s="3" t="s">
        <v>259</v>
      </c>
      <c r="E39" s="4">
        <v>5</v>
      </c>
      <c r="F39" s="4">
        <v>4</v>
      </c>
      <c r="G39" s="4">
        <v>2.5</v>
      </c>
      <c r="H39" s="4">
        <v>21.5</v>
      </c>
      <c r="I39" s="4">
        <v>45</v>
      </c>
      <c r="J39" s="4">
        <v>750.4</v>
      </c>
      <c r="K39" s="4">
        <f t="shared" si="2"/>
        <v>90.047999999999988</v>
      </c>
      <c r="L39" s="4">
        <v>106.4</v>
      </c>
      <c r="M39" s="4">
        <v>405</v>
      </c>
      <c r="N39" s="4">
        <v>1064.2</v>
      </c>
      <c r="O39" s="4">
        <v>106.4</v>
      </c>
      <c r="P39" s="4">
        <v>53.2</v>
      </c>
      <c r="Q39" s="4">
        <v>53.2</v>
      </c>
      <c r="R39" s="4">
        <v>1064.2</v>
      </c>
      <c r="S39" s="4">
        <v>2128.5</v>
      </c>
      <c r="T39" s="4">
        <v>2.37</v>
      </c>
      <c r="U39" s="4">
        <v>47.3</v>
      </c>
      <c r="V39" s="4">
        <v>12</v>
      </c>
      <c r="W39" s="4">
        <v>1135.2</v>
      </c>
      <c r="X39" s="4">
        <v>3192.8</v>
      </c>
      <c r="Y39" s="4">
        <f>J39*Rates!$D$6</f>
        <v>80217.759999999995</v>
      </c>
      <c r="Z39" s="4">
        <f>K39*Rates!$D$7</f>
        <v>37559.020799999998</v>
      </c>
      <c r="AA39" s="4">
        <f>L39*Rates!$D$8</f>
        <v>4788</v>
      </c>
      <c r="AB39" s="4">
        <f>M39*Rates!$D$9</f>
        <v>810</v>
      </c>
      <c r="AC39" s="4">
        <f>O39*Rates!$D$10</f>
        <v>691.6</v>
      </c>
      <c r="AD39" s="4">
        <f>P39*Rates!$D$11</f>
        <v>2394</v>
      </c>
      <c r="AE39" s="4">
        <f>Q39*Rates!$D$12</f>
        <v>2500.4</v>
      </c>
      <c r="AF39" s="4">
        <f>R39*Rates!$D$13</f>
        <v>478.89000000000004</v>
      </c>
      <c r="AG39" s="4">
        <f>S39*Rates!$D$14</f>
        <v>744.97499999999991</v>
      </c>
      <c r="AH39" s="4">
        <f>T39*Rates!$D$15</f>
        <v>9.48</v>
      </c>
      <c r="AI39" s="4">
        <f>U39*Rates!$D$16</f>
        <v>2506.8999999999996</v>
      </c>
      <c r="AJ39" s="4">
        <f>V39*Rates!$D$17</f>
        <v>36</v>
      </c>
      <c r="AK39" s="4">
        <f>W39*Rates!$D$18</f>
        <v>227.04000000000002</v>
      </c>
      <c r="AL39" s="4">
        <f>X39*Rates!$D$19</f>
        <v>12771.2</v>
      </c>
      <c r="AM39" s="4">
        <f t="shared" si="3"/>
        <v>145735.26580000002</v>
      </c>
    </row>
    <row r="40" spans="1:39" x14ac:dyDescent="0.25">
      <c r="A40" s="3">
        <v>39</v>
      </c>
      <c r="B40" s="3" t="s">
        <v>223</v>
      </c>
      <c r="C40" s="3" t="s">
        <v>122</v>
      </c>
      <c r="D40" s="3" t="s">
        <v>260</v>
      </c>
      <c r="E40" s="4">
        <v>3</v>
      </c>
      <c r="F40" s="4">
        <v>4</v>
      </c>
      <c r="G40" s="4">
        <v>2.5</v>
      </c>
      <c r="H40" s="4">
        <v>13</v>
      </c>
      <c r="I40" s="4">
        <v>45</v>
      </c>
      <c r="J40" s="4">
        <v>464.6</v>
      </c>
      <c r="K40" s="4">
        <f t="shared" si="2"/>
        <v>55.752000000000002</v>
      </c>
      <c r="L40" s="4">
        <v>64.400000000000006</v>
      </c>
      <c r="M40" s="4">
        <v>405</v>
      </c>
      <c r="N40" s="4">
        <v>643.5</v>
      </c>
      <c r="O40" s="4">
        <v>64.400000000000006</v>
      </c>
      <c r="P40" s="4">
        <v>32.200000000000003</v>
      </c>
      <c r="Q40" s="4">
        <v>32.200000000000003</v>
      </c>
      <c r="R40" s="4">
        <v>643.5</v>
      </c>
      <c r="S40" s="4">
        <v>1287</v>
      </c>
      <c r="T40" s="4">
        <v>1.43</v>
      </c>
      <c r="U40" s="4">
        <v>28.6</v>
      </c>
      <c r="V40" s="4">
        <v>8</v>
      </c>
      <c r="W40" s="4">
        <v>686.4</v>
      </c>
      <c r="X40" s="4">
        <v>0</v>
      </c>
      <c r="Y40" s="4">
        <f>J40*Rates!$D$6</f>
        <v>49665.740000000005</v>
      </c>
      <c r="Z40" s="4">
        <f>K40*Rates!$D$7</f>
        <v>23254.159200000002</v>
      </c>
      <c r="AA40" s="4">
        <f>L40*Rates!$D$8</f>
        <v>2898.0000000000005</v>
      </c>
      <c r="AB40" s="4">
        <f>M40*Rates!$D$9</f>
        <v>810</v>
      </c>
      <c r="AC40" s="4">
        <f>O40*Rates!$D$10</f>
        <v>418.6</v>
      </c>
      <c r="AD40" s="4">
        <f>P40*Rates!$D$11</f>
        <v>1449.0000000000002</v>
      </c>
      <c r="AE40" s="4">
        <f>Q40*Rates!$D$12</f>
        <v>1513.4</v>
      </c>
      <c r="AF40" s="4">
        <f>R40*Rates!$D$13</f>
        <v>289.57499999999999</v>
      </c>
      <c r="AG40" s="4">
        <f>S40*Rates!$D$14</f>
        <v>450.45</v>
      </c>
      <c r="AH40" s="4">
        <f>T40*Rates!$D$15</f>
        <v>5.72</v>
      </c>
      <c r="AI40" s="4">
        <f>U40*Rates!$D$16</f>
        <v>1515.8000000000002</v>
      </c>
      <c r="AJ40" s="4">
        <f>V40*Rates!$D$17</f>
        <v>24</v>
      </c>
      <c r="AK40" s="4">
        <f>W40*Rates!$D$18</f>
        <v>137.28</v>
      </c>
      <c r="AL40" s="4">
        <f>X40*Rates!$D$19</f>
        <v>0</v>
      </c>
      <c r="AM40" s="4">
        <f t="shared" si="3"/>
        <v>82431.724200000011</v>
      </c>
    </row>
    <row r="41" spans="1:39" x14ac:dyDescent="0.25">
      <c r="A41" s="3">
        <v>40</v>
      </c>
      <c r="B41" s="3" t="s">
        <v>219</v>
      </c>
      <c r="C41" s="3" t="s">
        <v>123</v>
      </c>
      <c r="D41" s="3" t="s">
        <v>261</v>
      </c>
      <c r="E41" s="4">
        <v>10</v>
      </c>
      <c r="F41" s="4">
        <v>4</v>
      </c>
      <c r="G41" s="4">
        <v>2.5</v>
      </c>
      <c r="H41" s="4">
        <v>42.75</v>
      </c>
      <c r="I41" s="4">
        <v>32</v>
      </c>
      <c r="J41" s="4">
        <v>1041.5999999999999</v>
      </c>
      <c r="K41" s="4">
        <f t="shared" si="2"/>
        <v>124.99199999999999</v>
      </c>
      <c r="L41" s="4">
        <v>150.5</v>
      </c>
      <c r="M41" s="4">
        <v>288</v>
      </c>
      <c r="N41" s="4">
        <v>1504.8</v>
      </c>
      <c r="O41" s="4">
        <v>150.5</v>
      </c>
      <c r="P41" s="4">
        <v>75.2</v>
      </c>
      <c r="Q41" s="4">
        <v>75.2</v>
      </c>
      <c r="R41" s="4">
        <v>1504.8</v>
      </c>
      <c r="S41" s="4">
        <v>3009.6</v>
      </c>
      <c r="T41" s="4">
        <v>4.7</v>
      </c>
      <c r="U41" s="4">
        <v>94.1</v>
      </c>
      <c r="V41" s="4">
        <v>24</v>
      </c>
      <c r="W41" s="4">
        <v>1645.9</v>
      </c>
      <c r="X41" s="4">
        <v>0</v>
      </c>
      <c r="Y41" s="4">
        <f>J41*Rates!$D$6</f>
        <v>111347.04</v>
      </c>
      <c r="Z41" s="4">
        <f>K41*Rates!$D$7</f>
        <v>52134.163199999995</v>
      </c>
      <c r="AA41" s="4">
        <f>L41*Rates!$D$8</f>
        <v>6772.5</v>
      </c>
      <c r="AB41" s="4">
        <f>M41*Rates!$D$9</f>
        <v>576</v>
      </c>
      <c r="AC41" s="4">
        <f>O41*Rates!$D$10</f>
        <v>978.25</v>
      </c>
      <c r="AD41" s="4">
        <f>P41*Rates!$D$11</f>
        <v>3384</v>
      </c>
      <c r="AE41" s="4">
        <f>Q41*Rates!$D$12</f>
        <v>3534.4</v>
      </c>
      <c r="AF41" s="4">
        <f>R41*Rates!$D$13</f>
        <v>677.16</v>
      </c>
      <c r="AG41" s="4">
        <f>S41*Rates!$D$14</f>
        <v>1053.3599999999999</v>
      </c>
      <c r="AH41" s="4">
        <f>T41*Rates!$D$15</f>
        <v>18.8</v>
      </c>
      <c r="AI41" s="4">
        <f>U41*Rates!$D$16</f>
        <v>4987.2999999999993</v>
      </c>
      <c r="AJ41" s="4">
        <f>V41*Rates!$D$17</f>
        <v>72</v>
      </c>
      <c r="AK41" s="4">
        <f>W41*Rates!$D$18</f>
        <v>329.18000000000006</v>
      </c>
      <c r="AL41" s="4">
        <f>X41*Rates!$D$19</f>
        <v>0</v>
      </c>
      <c r="AM41" s="4">
        <f t="shared" si="3"/>
        <v>185864.15319999994</v>
      </c>
    </row>
    <row r="42" spans="1:39" x14ac:dyDescent="0.25">
      <c r="A42" s="3">
        <v>41</v>
      </c>
      <c r="B42" s="3" t="s">
        <v>221</v>
      </c>
      <c r="C42" s="3" t="s">
        <v>123</v>
      </c>
      <c r="D42" s="3" t="s">
        <v>262</v>
      </c>
      <c r="E42" s="4">
        <v>7</v>
      </c>
      <c r="F42" s="4">
        <v>4</v>
      </c>
      <c r="G42" s="4">
        <v>2.5</v>
      </c>
      <c r="H42" s="4">
        <v>30</v>
      </c>
      <c r="I42" s="4">
        <v>45</v>
      </c>
      <c r="J42" s="4">
        <v>1036.0999999999999</v>
      </c>
      <c r="K42" s="4">
        <f t="shared" si="2"/>
        <v>124.33199999999998</v>
      </c>
      <c r="L42" s="4">
        <v>148.5</v>
      </c>
      <c r="M42" s="4">
        <v>405</v>
      </c>
      <c r="N42" s="4">
        <v>1485</v>
      </c>
      <c r="O42" s="4">
        <v>148.5</v>
      </c>
      <c r="P42" s="4">
        <v>74.3</v>
      </c>
      <c r="Q42" s="4">
        <v>74.3</v>
      </c>
      <c r="R42" s="4">
        <v>1485</v>
      </c>
      <c r="S42" s="4">
        <v>2970</v>
      </c>
      <c r="T42" s="4">
        <v>3.3</v>
      </c>
      <c r="U42" s="4">
        <v>66</v>
      </c>
      <c r="V42" s="4">
        <v>17</v>
      </c>
      <c r="W42" s="4">
        <v>1584</v>
      </c>
      <c r="X42" s="4">
        <v>4455</v>
      </c>
      <c r="Y42" s="4">
        <f>J42*Rates!$D$6</f>
        <v>110759.09</v>
      </c>
      <c r="Z42" s="4">
        <f>K42*Rates!$D$7</f>
        <v>51858.877199999995</v>
      </c>
      <c r="AA42" s="4">
        <f>L42*Rates!$D$8</f>
        <v>6682.5</v>
      </c>
      <c r="AB42" s="4">
        <f>M42*Rates!$D$9</f>
        <v>810</v>
      </c>
      <c r="AC42" s="4">
        <f>O42*Rates!$D$10</f>
        <v>965.25</v>
      </c>
      <c r="AD42" s="4">
        <f>P42*Rates!$D$11</f>
        <v>3343.5</v>
      </c>
      <c r="AE42" s="4">
        <f>Q42*Rates!$D$12</f>
        <v>3492.1</v>
      </c>
      <c r="AF42" s="4">
        <f>R42*Rates!$D$13</f>
        <v>668.25</v>
      </c>
      <c r="AG42" s="4">
        <f>S42*Rates!$D$14</f>
        <v>1039.5</v>
      </c>
      <c r="AH42" s="4">
        <f>T42*Rates!$D$15</f>
        <v>13.2</v>
      </c>
      <c r="AI42" s="4">
        <f>U42*Rates!$D$16</f>
        <v>3498</v>
      </c>
      <c r="AJ42" s="4">
        <f>V42*Rates!$D$17</f>
        <v>51</v>
      </c>
      <c r="AK42" s="4">
        <f>W42*Rates!$D$18</f>
        <v>316.8</v>
      </c>
      <c r="AL42" s="4">
        <f>X42*Rates!$D$19</f>
        <v>17820</v>
      </c>
      <c r="AM42" s="4">
        <f t="shared" si="3"/>
        <v>201318.06719999999</v>
      </c>
    </row>
    <row r="43" spans="1:39" x14ac:dyDescent="0.25">
      <c r="A43" s="3">
        <v>42</v>
      </c>
      <c r="B43" s="3" t="s">
        <v>223</v>
      </c>
      <c r="C43" s="3" t="s">
        <v>123</v>
      </c>
      <c r="D43" s="3" t="s">
        <v>263</v>
      </c>
      <c r="E43" s="4">
        <v>4</v>
      </c>
      <c r="F43" s="4">
        <v>4</v>
      </c>
      <c r="G43" s="4">
        <v>2.5</v>
      </c>
      <c r="H43" s="4">
        <v>17.25</v>
      </c>
      <c r="I43" s="4">
        <v>45</v>
      </c>
      <c r="J43" s="4">
        <v>607.5</v>
      </c>
      <c r="K43" s="4">
        <f t="shared" si="2"/>
        <v>72.899999999999991</v>
      </c>
      <c r="L43" s="4">
        <v>85.4</v>
      </c>
      <c r="M43" s="4">
        <v>405</v>
      </c>
      <c r="N43" s="4">
        <v>853.9</v>
      </c>
      <c r="O43" s="4">
        <v>85.4</v>
      </c>
      <c r="P43" s="4">
        <v>42.7</v>
      </c>
      <c r="Q43" s="4">
        <v>42.7</v>
      </c>
      <c r="R43" s="4">
        <v>853.9</v>
      </c>
      <c r="S43" s="4">
        <v>1707.8</v>
      </c>
      <c r="T43" s="4">
        <v>1.9</v>
      </c>
      <c r="U43" s="4">
        <v>38</v>
      </c>
      <c r="V43" s="4">
        <v>10</v>
      </c>
      <c r="W43" s="4">
        <v>910.8</v>
      </c>
      <c r="X43" s="4">
        <v>0</v>
      </c>
      <c r="Y43" s="4">
        <f>J43*Rates!$D$6</f>
        <v>64941.75</v>
      </c>
      <c r="Z43" s="4">
        <f>K43*Rates!$D$7</f>
        <v>30406.589999999997</v>
      </c>
      <c r="AA43" s="4">
        <f>L43*Rates!$D$8</f>
        <v>3843.0000000000005</v>
      </c>
      <c r="AB43" s="4">
        <f>M43*Rates!$D$9</f>
        <v>810</v>
      </c>
      <c r="AC43" s="4">
        <f>O43*Rates!$D$10</f>
        <v>555.1</v>
      </c>
      <c r="AD43" s="4">
        <f>P43*Rates!$D$11</f>
        <v>1921.5000000000002</v>
      </c>
      <c r="AE43" s="4">
        <f>Q43*Rates!$D$12</f>
        <v>2006.9</v>
      </c>
      <c r="AF43" s="4">
        <f>R43*Rates!$D$13</f>
        <v>384.255</v>
      </c>
      <c r="AG43" s="4">
        <f>S43*Rates!$D$14</f>
        <v>597.7299999999999</v>
      </c>
      <c r="AH43" s="4">
        <f>T43*Rates!$D$15</f>
        <v>7.6</v>
      </c>
      <c r="AI43" s="4">
        <f>U43*Rates!$D$16</f>
        <v>2014</v>
      </c>
      <c r="AJ43" s="4">
        <f>V43*Rates!$D$17</f>
        <v>30</v>
      </c>
      <c r="AK43" s="4">
        <f>W43*Rates!$D$18</f>
        <v>182.16</v>
      </c>
      <c r="AL43" s="4">
        <f>X43*Rates!$D$19</f>
        <v>0</v>
      </c>
      <c r="AM43" s="4">
        <f t="shared" si="3"/>
        <v>107700.58500000001</v>
      </c>
    </row>
    <row r="44" spans="1:39" x14ac:dyDescent="0.25">
      <c r="A44" s="3">
        <v>43</v>
      </c>
      <c r="B44" s="3" t="s">
        <v>223</v>
      </c>
      <c r="C44" s="3" t="s">
        <v>124</v>
      </c>
      <c r="D44" s="3" t="s">
        <v>264</v>
      </c>
      <c r="E44" s="4">
        <v>10</v>
      </c>
      <c r="F44" s="4">
        <v>4</v>
      </c>
      <c r="G44" s="4">
        <v>2.5</v>
      </c>
      <c r="H44" s="4">
        <v>42.75</v>
      </c>
      <c r="I44" s="4">
        <v>45</v>
      </c>
      <c r="J44" s="4">
        <v>1464.8</v>
      </c>
      <c r="K44" s="4">
        <f t="shared" si="2"/>
        <v>175.77599999999998</v>
      </c>
      <c r="L44" s="4">
        <v>211.6</v>
      </c>
      <c r="M44" s="4">
        <v>405</v>
      </c>
      <c r="N44" s="4">
        <v>2116.1</v>
      </c>
      <c r="O44" s="4">
        <v>211.6</v>
      </c>
      <c r="P44" s="4">
        <v>105.8</v>
      </c>
      <c r="Q44" s="4">
        <v>105.8</v>
      </c>
      <c r="R44" s="4">
        <v>2116.1</v>
      </c>
      <c r="S44" s="4">
        <v>4232.2</v>
      </c>
      <c r="T44" s="4">
        <v>4.7</v>
      </c>
      <c r="U44" s="4">
        <v>94.1</v>
      </c>
      <c r="V44" s="4">
        <v>24</v>
      </c>
      <c r="W44" s="4">
        <v>2257.1999999999998</v>
      </c>
      <c r="X44" s="4">
        <v>0</v>
      </c>
      <c r="Y44" s="4">
        <f>J44*Rates!$D$6</f>
        <v>156587.12</v>
      </c>
      <c r="Z44" s="4">
        <f>K44*Rates!$D$7</f>
        <v>73316.169599999994</v>
      </c>
      <c r="AA44" s="4">
        <f>L44*Rates!$D$8</f>
        <v>9522</v>
      </c>
      <c r="AB44" s="4">
        <f>M44*Rates!$D$9</f>
        <v>810</v>
      </c>
      <c r="AC44" s="4">
        <f>O44*Rates!$D$10</f>
        <v>1375.3999999999999</v>
      </c>
      <c r="AD44" s="4">
        <f>P44*Rates!$D$11</f>
        <v>4761</v>
      </c>
      <c r="AE44" s="4">
        <f>Q44*Rates!$D$12</f>
        <v>4972.5999999999995</v>
      </c>
      <c r="AF44" s="4">
        <f>R44*Rates!$D$13</f>
        <v>952.245</v>
      </c>
      <c r="AG44" s="4">
        <f>S44*Rates!$D$14</f>
        <v>1481.2699999999998</v>
      </c>
      <c r="AH44" s="4">
        <f>T44*Rates!$D$15</f>
        <v>18.8</v>
      </c>
      <c r="AI44" s="4">
        <f>U44*Rates!$D$16</f>
        <v>4987.2999999999993</v>
      </c>
      <c r="AJ44" s="4">
        <f>V44*Rates!$D$17</f>
        <v>72</v>
      </c>
      <c r="AK44" s="4">
        <f>W44*Rates!$D$18</f>
        <v>451.44</v>
      </c>
      <c r="AL44" s="4">
        <f>X44*Rates!$D$19</f>
        <v>0</v>
      </c>
      <c r="AM44" s="4">
        <f t="shared" si="3"/>
        <v>259307.34459999995</v>
      </c>
    </row>
    <row r="45" spans="1:39" x14ac:dyDescent="0.25">
      <c r="A45" s="3">
        <v>44</v>
      </c>
      <c r="B45" s="3" t="s">
        <v>223</v>
      </c>
      <c r="C45" s="3" t="s">
        <v>125</v>
      </c>
      <c r="D45" s="3" t="s">
        <v>265</v>
      </c>
      <c r="E45" s="4">
        <v>10</v>
      </c>
      <c r="F45" s="4">
        <v>4</v>
      </c>
      <c r="G45" s="4">
        <v>2.5</v>
      </c>
      <c r="H45" s="4">
        <v>42.75</v>
      </c>
      <c r="I45" s="4">
        <v>45</v>
      </c>
      <c r="J45" s="4">
        <v>1464.8</v>
      </c>
      <c r="K45" s="4">
        <f t="shared" si="2"/>
        <v>175.77599999999998</v>
      </c>
      <c r="L45" s="4">
        <v>211.6</v>
      </c>
      <c r="M45" s="4">
        <v>405</v>
      </c>
      <c r="N45" s="4">
        <v>2116.1</v>
      </c>
      <c r="O45" s="4">
        <v>211.6</v>
      </c>
      <c r="P45" s="4">
        <v>105.8</v>
      </c>
      <c r="Q45" s="4">
        <v>105.8</v>
      </c>
      <c r="R45" s="4">
        <v>2116.1</v>
      </c>
      <c r="S45" s="4">
        <v>4232.2</v>
      </c>
      <c r="T45" s="4">
        <v>4.7</v>
      </c>
      <c r="U45" s="4">
        <v>94.1</v>
      </c>
      <c r="V45" s="4">
        <v>24</v>
      </c>
      <c r="W45" s="4">
        <v>2257.1999999999998</v>
      </c>
      <c r="X45" s="4">
        <v>0</v>
      </c>
      <c r="Y45" s="4">
        <f>J45*Rates!$D$6</f>
        <v>156587.12</v>
      </c>
      <c r="Z45" s="4">
        <f>K45*Rates!$D$7</f>
        <v>73316.169599999994</v>
      </c>
      <c r="AA45" s="4">
        <f>L45*Rates!$D$8</f>
        <v>9522</v>
      </c>
      <c r="AB45" s="4">
        <f>M45*Rates!$D$9</f>
        <v>810</v>
      </c>
      <c r="AC45" s="4">
        <f>O45*Rates!$D$10</f>
        <v>1375.3999999999999</v>
      </c>
      <c r="AD45" s="4">
        <f>P45*Rates!$D$11</f>
        <v>4761</v>
      </c>
      <c r="AE45" s="4">
        <f>Q45*Rates!$D$12</f>
        <v>4972.5999999999995</v>
      </c>
      <c r="AF45" s="4">
        <f>R45*Rates!$D$13</f>
        <v>952.245</v>
      </c>
      <c r="AG45" s="4">
        <f>S45*Rates!$D$14</f>
        <v>1481.2699999999998</v>
      </c>
      <c r="AH45" s="4">
        <f>T45*Rates!$D$15</f>
        <v>18.8</v>
      </c>
      <c r="AI45" s="4">
        <f>U45*Rates!$D$16</f>
        <v>4987.2999999999993</v>
      </c>
      <c r="AJ45" s="4">
        <f>V45*Rates!$D$17</f>
        <v>72</v>
      </c>
      <c r="AK45" s="4">
        <f>W45*Rates!$D$18</f>
        <v>451.44</v>
      </c>
      <c r="AL45" s="4">
        <f>X45*Rates!$D$19</f>
        <v>0</v>
      </c>
      <c r="AM45" s="4">
        <f t="shared" si="3"/>
        <v>259307.34459999995</v>
      </c>
    </row>
    <row r="46" spans="1:39" x14ac:dyDescent="0.25">
      <c r="A46" s="3">
        <v>45</v>
      </c>
      <c r="B46" s="3" t="s">
        <v>219</v>
      </c>
      <c r="C46" s="3" t="s">
        <v>126</v>
      </c>
      <c r="D46" s="3" t="s">
        <v>266</v>
      </c>
      <c r="E46" s="4">
        <v>3</v>
      </c>
      <c r="F46" s="4">
        <v>4</v>
      </c>
      <c r="G46" s="4">
        <v>2.5</v>
      </c>
      <c r="H46" s="4">
        <v>13</v>
      </c>
      <c r="I46" s="4">
        <v>32</v>
      </c>
      <c r="J46" s="4">
        <v>330.4</v>
      </c>
      <c r="K46" s="4">
        <f t="shared" si="2"/>
        <v>39.647999999999996</v>
      </c>
      <c r="L46" s="4">
        <v>45.8</v>
      </c>
      <c r="M46" s="4">
        <v>288</v>
      </c>
      <c r="N46" s="4">
        <v>457.6</v>
      </c>
      <c r="O46" s="4">
        <v>45.8</v>
      </c>
      <c r="P46" s="4">
        <v>22.9</v>
      </c>
      <c r="Q46" s="4">
        <v>22.9</v>
      </c>
      <c r="R46" s="4">
        <v>457.6</v>
      </c>
      <c r="S46" s="4">
        <v>915.2</v>
      </c>
      <c r="T46" s="4">
        <v>1.43</v>
      </c>
      <c r="U46" s="4">
        <v>28.6</v>
      </c>
      <c r="V46" s="4">
        <v>8</v>
      </c>
      <c r="W46" s="4">
        <v>500.5</v>
      </c>
      <c r="X46" s="4">
        <v>0</v>
      </c>
      <c r="Y46" s="4">
        <f>J46*Rates!$D$6</f>
        <v>35319.760000000002</v>
      </c>
      <c r="Z46" s="4">
        <f>K46*Rates!$D$7</f>
        <v>16537.180799999998</v>
      </c>
      <c r="AA46" s="4">
        <f>L46*Rates!$D$8</f>
        <v>2061</v>
      </c>
      <c r="AB46" s="4">
        <f>M46*Rates!$D$9</f>
        <v>576</v>
      </c>
      <c r="AC46" s="4">
        <f>O46*Rates!$D$10</f>
        <v>297.7</v>
      </c>
      <c r="AD46" s="4">
        <f>P46*Rates!$D$11</f>
        <v>1030.5</v>
      </c>
      <c r="AE46" s="4">
        <f>Q46*Rates!$D$12</f>
        <v>1076.3</v>
      </c>
      <c r="AF46" s="4">
        <f>R46*Rates!$D$13</f>
        <v>205.92000000000002</v>
      </c>
      <c r="AG46" s="4">
        <f>S46*Rates!$D$14</f>
        <v>320.32</v>
      </c>
      <c r="AH46" s="4">
        <f>T46*Rates!$D$15</f>
        <v>5.72</v>
      </c>
      <c r="AI46" s="4">
        <f>U46*Rates!$D$16</f>
        <v>1515.8000000000002</v>
      </c>
      <c r="AJ46" s="4">
        <f>V46*Rates!$D$17</f>
        <v>24</v>
      </c>
      <c r="AK46" s="4">
        <f>W46*Rates!$D$18</f>
        <v>100.10000000000001</v>
      </c>
      <c r="AL46" s="4">
        <f>X46*Rates!$D$19</f>
        <v>0</v>
      </c>
      <c r="AM46" s="4">
        <f t="shared" si="3"/>
        <v>59070.300799999997</v>
      </c>
    </row>
    <row r="47" spans="1:39" x14ac:dyDescent="0.25">
      <c r="A47" s="3">
        <v>46</v>
      </c>
      <c r="B47" s="3" t="s">
        <v>223</v>
      </c>
      <c r="C47" s="3" t="s">
        <v>127</v>
      </c>
      <c r="D47" s="3" t="s">
        <v>267</v>
      </c>
      <c r="E47" s="4">
        <v>4</v>
      </c>
      <c r="F47" s="4">
        <v>4</v>
      </c>
      <c r="G47" s="4">
        <v>2.5</v>
      </c>
      <c r="H47" s="4">
        <v>17.25</v>
      </c>
      <c r="I47" s="4">
        <v>45</v>
      </c>
      <c r="J47" s="4">
        <v>607.5</v>
      </c>
      <c r="K47" s="4">
        <f t="shared" si="2"/>
        <v>72.899999999999991</v>
      </c>
      <c r="L47" s="4">
        <v>85.4</v>
      </c>
      <c r="M47" s="4">
        <v>405</v>
      </c>
      <c r="N47" s="4">
        <v>853.9</v>
      </c>
      <c r="O47" s="4">
        <v>85.4</v>
      </c>
      <c r="P47" s="4">
        <v>42.7</v>
      </c>
      <c r="Q47" s="4">
        <v>42.7</v>
      </c>
      <c r="R47" s="4">
        <v>853.9</v>
      </c>
      <c r="S47" s="4">
        <v>1707.8</v>
      </c>
      <c r="T47" s="4">
        <v>1.9</v>
      </c>
      <c r="U47" s="4">
        <v>38</v>
      </c>
      <c r="V47" s="4">
        <v>10</v>
      </c>
      <c r="W47" s="4">
        <v>910.8</v>
      </c>
      <c r="X47" s="4">
        <v>0</v>
      </c>
      <c r="Y47" s="4">
        <f>J47*Rates!$D$6</f>
        <v>64941.75</v>
      </c>
      <c r="Z47" s="4">
        <f>K47*Rates!$D$7</f>
        <v>30406.589999999997</v>
      </c>
      <c r="AA47" s="4">
        <f>L47*Rates!$D$8</f>
        <v>3843.0000000000005</v>
      </c>
      <c r="AB47" s="4">
        <f>M47*Rates!$D$9</f>
        <v>810</v>
      </c>
      <c r="AC47" s="4">
        <f>O47*Rates!$D$10</f>
        <v>555.1</v>
      </c>
      <c r="AD47" s="4">
        <f>P47*Rates!$D$11</f>
        <v>1921.5000000000002</v>
      </c>
      <c r="AE47" s="4">
        <f>Q47*Rates!$D$12</f>
        <v>2006.9</v>
      </c>
      <c r="AF47" s="4">
        <f>R47*Rates!$D$13</f>
        <v>384.255</v>
      </c>
      <c r="AG47" s="4">
        <f>S47*Rates!$D$14</f>
        <v>597.7299999999999</v>
      </c>
      <c r="AH47" s="4">
        <f>T47*Rates!$D$15</f>
        <v>7.6</v>
      </c>
      <c r="AI47" s="4">
        <f>U47*Rates!$D$16</f>
        <v>2014</v>
      </c>
      <c r="AJ47" s="4">
        <f>V47*Rates!$D$17</f>
        <v>30</v>
      </c>
      <c r="AK47" s="4">
        <f>W47*Rates!$D$18</f>
        <v>182.16</v>
      </c>
      <c r="AL47" s="4">
        <f>X47*Rates!$D$19</f>
        <v>0</v>
      </c>
      <c r="AM47" s="4">
        <f t="shared" si="3"/>
        <v>107700.58500000001</v>
      </c>
    </row>
    <row r="48" spans="1:39" x14ac:dyDescent="0.25">
      <c r="A48" s="3">
        <v>47</v>
      </c>
      <c r="B48" s="3" t="s">
        <v>219</v>
      </c>
      <c r="C48" s="3" t="s">
        <v>129</v>
      </c>
      <c r="D48" s="3" t="s">
        <v>268</v>
      </c>
      <c r="E48" s="4">
        <v>86</v>
      </c>
      <c r="F48" s="4">
        <v>4</v>
      </c>
      <c r="G48" s="4">
        <v>2.5</v>
      </c>
      <c r="H48" s="4">
        <v>365.75</v>
      </c>
      <c r="I48" s="4">
        <v>32</v>
      </c>
      <c r="J48" s="4">
        <v>8763.2000000000007</v>
      </c>
      <c r="K48" s="4">
        <f t="shared" si="2"/>
        <v>1051.5840000000001</v>
      </c>
      <c r="L48" s="4">
        <v>1287.4000000000001</v>
      </c>
      <c r="M48" s="4">
        <v>288</v>
      </c>
      <c r="N48" s="4">
        <v>12874.4</v>
      </c>
      <c r="O48" s="4">
        <v>1287.4000000000001</v>
      </c>
      <c r="P48" s="4">
        <v>643.70000000000005</v>
      </c>
      <c r="Q48" s="4">
        <v>643.70000000000005</v>
      </c>
      <c r="R48" s="4">
        <v>12874.4</v>
      </c>
      <c r="S48" s="4">
        <v>25748.799999999999</v>
      </c>
      <c r="T48" s="4">
        <v>40.229999999999997</v>
      </c>
      <c r="U48" s="4">
        <v>804.7</v>
      </c>
      <c r="V48" s="4">
        <v>202</v>
      </c>
      <c r="W48" s="4">
        <v>14081.4</v>
      </c>
      <c r="X48" s="4">
        <v>0</v>
      </c>
      <c r="Y48" s="4">
        <f>J48*Rates!$D$6</f>
        <v>936786.08000000007</v>
      </c>
      <c r="Z48" s="4">
        <f>K48*Rates!$D$7</f>
        <v>438615.68640000006</v>
      </c>
      <c r="AA48" s="4">
        <f>L48*Rates!$D$8</f>
        <v>57933.000000000007</v>
      </c>
      <c r="AB48" s="4">
        <f>M48*Rates!$D$9</f>
        <v>576</v>
      </c>
      <c r="AC48" s="4">
        <f>O48*Rates!$D$10</f>
        <v>8368.1</v>
      </c>
      <c r="AD48" s="4">
        <f>P48*Rates!$D$11</f>
        <v>28966.500000000004</v>
      </c>
      <c r="AE48" s="4">
        <f>Q48*Rates!$D$12</f>
        <v>30253.9</v>
      </c>
      <c r="AF48" s="4">
        <f>R48*Rates!$D$13</f>
        <v>5793.48</v>
      </c>
      <c r="AG48" s="4">
        <f>S48*Rates!$D$14</f>
        <v>9012.08</v>
      </c>
      <c r="AH48" s="4">
        <f>T48*Rates!$D$15</f>
        <v>160.91999999999999</v>
      </c>
      <c r="AI48" s="4">
        <f>U48*Rates!$D$16</f>
        <v>42649.100000000006</v>
      </c>
      <c r="AJ48" s="4">
        <f>V48*Rates!$D$17</f>
        <v>606</v>
      </c>
      <c r="AK48" s="4">
        <f>W48*Rates!$D$18</f>
        <v>2816.28</v>
      </c>
      <c r="AL48" s="4">
        <f>X48*Rates!$D$19</f>
        <v>0</v>
      </c>
      <c r="AM48" s="4">
        <f t="shared" si="3"/>
        <v>1562537.1264000002</v>
      </c>
    </row>
    <row r="49" spans="1:39" x14ac:dyDescent="0.25">
      <c r="A49" s="3">
        <v>48</v>
      </c>
      <c r="B49" s="3" t="s">
        <v>221</v>
      </c>
      <c r="C49" s="3" t="s">
        <v>129</v>
      </c>
      <c r="D49" s="3" t="s">
        <v>269</v>
      </c>
      <c r="E49" s="4">
        <v>53</v>
      </c>
      <c r="F49" s="4">
        <v>4</v>
      </c>
      <c r="G49" s="4">
        <v>2.5</v>
      </c>
      <c r="H49" s="4">
        <v>225.5</v>
      </c>
      <c r="I49" s="4">
        <v>45</v>
      </c>
      <c r="J49" s="4">
        <v>7608.4</v>
      </c>
      <c r="K49" s="4">
        <f t="shared" si="2"/>
        <v>913.00799999999992</v>
      </c>
      <c r="L49" s="4">
        <v>1116.2</v>
      </c>
      <c r="M49" s="4">
        <v>405</v>
      </c>
      <c r="N49" s="4">
        <v>11162.2</v>
      </c>
      <c r="O49" s="4">
        <v>1116.2</v>
      </c>
      <c r="P49" s="4">
        <v>558.1</v>
      </c>
      <c r="Q49" s="4">
        <v>558.1</v>
      </c>
      <c r="R49" s="4">
        <v>11162.2</v>
      </c>
      <c r="S49" s="4">
        <v>22324.5</v>
      </c>
      <c r="T49" s="4">
        <v>24.81</v>
      </c>
      <c r="U49" s="4">
        <v>496.1</v>
      </c>
      <c r="V49" s="4">
        <v>125</v>
      </c>
      <c r="W49" s="4">
        <v>11906.4</v>
      </c>
      <c r="X49" s="4">
        <v>33486.800000000003</v>
      </c>
      <c r="Y49" s="4">
        <f>J49*Rates!$D$6</f>
        <v>813337.96</v>
      </c>
      <c r="Z49" s="4">
        <f>K49*Rates!$D$7</f>
        <v>380815.63679999998</v>
      </c>
      <c r="AA49" s="4">
        <f>L49*Rates!$D$8</f>
        <v>50229</v>
      </c>
      <c r="AB49" s="4">
        <f>M49*Rates!$D$9</f>
        <v>810</v>
      </c>
      <c r="AC49" s="4">
        <f>O49*Rates!$D$10</f>
        <v>7255.3</v>
      </c>
      <c r="AD49" s="4">
        <f>P49*Rates!$D$11</f>
        <v>25114.5</v>
      </c>
      <c r="AE49" s="4">
        <f>Q49*Rates!$D$12</f>
        <v>26230.7</v>
      </c>
      <c r="AF49" s="4">
        <f>R49*Rates!$D$13</f>
        <v>5022.9900000000007</v>
      </c>
      <c r="AG49" s="4">
        <f>S49*Rates!$D$14</f>
        <v>7813.5749999999998</v>
      </c>
      <c r="AH49" s="4">
        <f>T49*Rates!$D$15</f>
        <v>99.24</v>
      </c>
      <c r="AI49" s="4">
        <f>U49*Rates!$D$16</f>
        <v>26293.300000000003</v>
      </c>
      <c r="AJ49" s="4">
        <f>V49*Rates!$D$17</f>
        <v>375</v>
      </c>
      <c r="AK49" s="4">
        <f>W49*Rates!$D$18</f>
        <v>2381.2800000000002</v>
      </c>
      <c r="AL49" s="4">
        <f>X49*Rates!$D$19</f>
        <v>133947.20000000001</v>
      </c>
      <c r="AM49" s="4">
        <f t="shared" si="3"/>
        <v>1479725.6817999999</v>
      </c>
    </row>
    <row r="50" spans="1:39" x14ac:dyDescent="0.25">
      <c r="A50" s="3">
        <v>49</v>
      </c>
      <c r="B50" s="3" t="s">
        <v>223</v>
      </c>
      <c r="C50" s="3" t="s">
        <v>129</v>
      </c>
      <c r="D50" s="3" t="s">
        <v>270</v>
      </c>
      <c r="E50" s="4">
        <v>22</v>
      </c>
      <c r="F50" s="4">
        <v>4</v>
      </c>
      <c r="G50" s="4">
        <v>2.5</v>
      </c>
      <c r="H50" s="4">
        <v>93.75</v>
      </c>
      <c r="I50" s="4">
        <v>45</v>
      </c>
      <c r="J50" s="4">
        <v>3179.3</v>
      </c>
      <c r="K50" s="4">
        <f t="shared" si="2"/>
        <v>381.51600000000002</v>
      </c>
      <c r="L50" s="4">
        <v>464.1</v>
      </c>
      <c r="M50" s="4">
        <v>405</v>
      </c>
      <c r="N50" s="4">
        <v>4640.6000000000004</v>
      </c>
      <c r="O50" s="4">
        <v>464.1</v>
      </c>
      <c r="P50" s="4">
        <v>232</v>
      </c>
      <c r="Q50" s="4">
        <v>232</v>
      </c>
      <c r="R50" s="4">
        <v>4640.6000000000004</v>
      </c>
      <c r="S50" s="4">
        <v>9281.2000000000007</v>
      </c>
      <c r="T50" s="4">
        <v>10.31</v>
      </c>
      <c r="U50" s="4">
        <v>206.3</v>
      </c>
      <c r="V50" s="4">
        <v>52</v>
      </c>
      <c r="W50" s="4">
        <v>4950</v>
      </c>
      <c r="X50" s="4">
        <v>0</v>
      </c>
      <c r="Y50" s="4">
        <f>J50*Rates!$D$6</f>
        <v>339867.17000000004</v>
      </c>
      <c r="Z50" s="4">
        <f>K50*Rates!$D$7</f>
        <v>159130.3236</v>
      </c>
      <c r="AA50" s="4">
        <f>L50*Rates!$D$8</f>
        <v>20884.5</v>
      </c>
      <c r="AB50" s="4">
        <f>M50*Rates!$D$9</f>
        <v>810</v>
      </c>
      <c r="AC50" s="4">
        <f>O50*Rates!$D$10</f>
        <v>3016.65</v>
      </c>
      <c r="AD50" s="4">
        <f>P50*Rates!$D$11</f>
        <v>10440</v>
      </c>
      <c r="AE50" s="4">
        <f>Q50*Rates!$D$12</f>
        <v>10904</v>
      </c>
      <c r="AF50" s="4">
        <f>R50*Rates!$D$13</f>
        <v>2088.2700000000004</v>
      </c>
      <c r="AG50" s="4">
        <f>S50*Rates!$D$14</f>
        <v>3248.42</v>
      </c>
      <c r="AH50" s="4">
        <f>T50*Rates!$D$15</f>
        <v>41.24</v>
      </c>
      <c r="AI50" s="4">
        <f>U50*Rates!$D$16</f>
        <v>10933.900000000001</v>
      </c>
      <c r="AJ50" s="4">
        <f>V50*Rates!$D$17</f>
        <v>156</v>
      </c>
      <c r="AK50" s="4">
        <f>W50*Rates!$D$18</f>
        <v>990</v>
      </c>
      <c r="AL50" s="4">
        <f>X50*Rates!$D$19</f>
        <v>0</v>
      </c>
      <c r="AM50" s="4">
        <f t="shared" si="3"/>
        <v>562510.47360000014</v>
      </c>
    </row>
    <row r="51" spans="1:39" x14ac:dyDescent="0.25">
      <c r="A51" s="3">
        <v>50</v>
      </c>
      <c r="B51" s="3" t="s">
        <v>219</v>
      </c>
      <c r="C51" s="3" t="s">
        <v>130</v>
      </c>
      <c r="D51" s="3" t="s">
        <v>271</v>
      </c>
      <c r="E51" s="4">
        <v>24</v>
      </c>
      <c r="F51" s="4">
        <v>4</v>
      </c>
      <c r="G51" s="4">
        <v>2.5</v>
      </c>
      <c r="H51" s="4">
        <v>102.25</v>
      </c>
      <c r="I51" s="4">
        <v>32</v>
      </c>
      <c r="J51" s="4">
        <v>2464</v>
      </c>
      <c r="K51" s="4">
        <f t="shared" si="2"/>
        <v>295.68</v>
      </c>
      <c r="L51" s="4">
        <v>359.9</v>
      </c>
      <c r="M51" s="4">
        <v>288</v>
      </c>
      <c r="N51" s="4">
        <v>3599.2</v>
      </c>
      <c r="O51" s="4">
        <v>359.9</v>
      </c>
      <c r="P51" s="4">
        <v>180</v>
      </c>
      <c r="Q51" s="4">
        <v>180</v>
      </c>
      <c r="R51" s="4">
        <v>3599.2</v>
      </c>
      <c r="S51" s="4">
        <v>7198.4</v>
      </c>
      <c r="T51" s="4">
        <v>11.25</v>
      </c>
      <c r="U51" s="4">
        <v>225</v>
      </c>
      <c r="V51" s="4">
        <v>57</v>
      </c>
      <c r="W51" s="4">
        <v>3936.6</v>
      </c>
      <c r="X51" s="4">
        <v>0</v>
      </c>
      <c r="Y51" s="4">
        <f>J51*Rates!$D$6</f>
        <v>263401.60000000003</v>
      </c>
      <c r="Z51" s="4">
        <f>K51*Rates!$D$7</f>
        <v>123328.12800000001</v>
      </c>
      <c r="AA51" s="4">
        <f>L51*Rates!$D$8</f>
        <v>16195.499999999998</v>
      </c>
      <c r="AB51" s="4">
        <f>M51*Rates!$D$9</f>
        <v>576</v>
      </c>
      <c r="AC51" s="4">
        <f>O51*Rates!$D$10</f>
        <v>2339.35</v>
      </c>
      <c r="AD51" s="4">
        <f>P51*Rates!$D$11</f>
        <v>8100</v>
      </c>
      <c r="AE51" s="4">
        <f>Q51*Rates!$D$12</f>
        <v>8460</v>
      </c>
      <c r="AF51" s="4">
        <f>R51*Rates!$D$13</f>
        <v>1619.6399999999999</v>
      </c>
      <c r="AG51" s="4">
        <f>S51*Rates!$D$14</f>
        <v>2519.4399999999996</v>
      </c>
      <c r="AH51" s="4">
        <f>T51*Rates!$D$15</f>
        <v>45</v>
      </c>
      <c r="AI51" s="4">
        <f>U51*Rates!$D$16</f>
        <v>11925</v>
      </c>
      <c r="AJ51" s="4">
        <f>V51*Rates!$D$17</f>
        <v>171</v>
      </c>
      <c r="AK51" s="4">
        <f>W51*Rates!$D$18</f>
        <v>787.32</v>
      </c>
      <c r="AL51" s="4">
        <f>X51*Rates!$D$19</f>
        <v>0</v>
      </c>
      <c r="AM51" s="4">
        <f t="shared" si="3"/>
        <v>439467.97800000006</v>
      </c>
    </row>
    <row r="52" spans="1:39" x14ac:dyDescent="0.25">
      <c r="A52" s="3">
        <v>51</v>
      </c>
      <c r="B52" s="3" t="s">
        <v>221</v>
      </c>
      <c r="C52" s="3" t="s">
        <v>130</v>
      </c>
      <c r="D52" s="3" t="s">
        <v>272</v>
      </c>
      <c r="E52" s="4">
        <v>24</v>
      </c>
      <c r="F52" s="4">
        <v>4</v>
      </c>
      <c r="G52" s="4">
        <v>2.5</v>
      </c>
      <c r="H52" s="4">
        <v>102.25</v>
      </c>
      <c r="I52" s="4">
        <v>45</v>
      </c>
      <c r="J52" s="4">
        <v>3465</v>
      </c>
      <c r="K52" s="4">
        <f t="shared" si="2"/>
        <v>415.8</v>
      </c>
      <c r="L52" s="4">
        <v>506.1</v>
      </c>
      <c r="M52" s="4">
        <v>405</v>
      </c>
      <c r="N52" s="4">
        <v>5061.3999999999996</v>
      </c>
      <c r="O52" s="4">
        <v>506.1</v>
      </c>
      <c r="P52" s="4">
        <v>253.1</v>
      </c>
      <c r="Q52" s="4">
        <v>253.1</v>
      </c>
      <c r="R52" s="4">
        <v>5061.3999999999996</v>
      </c>
      <c r="S52" s="4">
        <v>10122.799999999999</v>
      </c>
      <c r="T52" s="4">
        <v>11.25</v>
      </c>
      <c r="U52" s="4">
        <v>225</v>
      </c>
      <c r="V52" s="4">
        <v>57</v>
      </c>
      <c r="W52" s="4">
        <v>5398.8</v>
      </c>
      <c r="X52" s="4">
        <v>15184.1</v>
      </c>
      <c r="Y52" s="4">
        <f>J52*Rates!$D$6</f>
        <v>370408.5</v>
      </c>
      <c r="Z52" s="4">
        <f>K52*Rates!$D$7</f>
        <v>173430.18000000002</v>
      </c>
      <c r="AA52" s="4">
        <f>L52*Rates!$D$8</f>
        <v>22774.5</v>
      </c>
      <c r="AB52" s="4">
        <f>M52*Rates!$D$9</f>
        <v>810</v>
      </c>
      <c r="AC52" s="4">
        <f>O52*Rates!$D$10</f>
        <v>3289.65</v>
      </c>
      <c r="AD52" s="4">
        <f>P52*Rates!$D$11</f>
        <v>11389.5</v>
      </c>
      <c r="AE52" s="4">
        <f>Q52*Rates!$D$12</f>
        <v>11895.699999999999</v>
      </c>
      <c r="AF52" s="4">
        <f>R52*Rates!$D$13</f>
        <v>2277.63</v>
      </c>
      <c r="AG52" s="4">
        <f>S52*Rates!$D$14</f>
        <v>3542.9799999999996</v>
      </c>
      <c r="AH52" s="4">
        <f>T52*Rates!$D$15</f>
        <v>45</v>
      </c>
      <c r="AI52" s="4">
        <f>U52*Rates!$D$16</f>
        <v>11925</v>
      </c>
      <c r="AJ52" s="4">
        <f>V52*Rates!$D$17</f>
        <v>171</v>
      </c>
      <c r="AK52" s="4">
        <f>W52*Rates!$D$18</f>
        <v>1079.76</v>
      </c>
      <c r="AL52" s="4">
        <f>X52*Rates!$D$19</f>
        <v>60736.4</v>
      </c>
      <c r="AM52" s="4">
        <f t="shared" si="3"/>
        <v>673775.8</v>
      </c>
    </row>
    <row r="53" spans="1:39" x14ac:dyDescent="0.25">
      <c r="A53" s="3">
        <v>52</v>
      </c>
      <c r="B53" s="3" t="s">
        <v>223</v>
      </c>
      <c r="C53" s="3" t="s">
        <v>130</v>
      </c>
      <c r="D53" s="3" t="s">
        <v>273</v>
      </c>
      <c r="E53" s="4">
        <v>13</v>
      </c>
      <c r="F53" s="4">
        <v>4</v>
      </c>
      <c r="G53" s="4">
        <v>2.5</v>
      </c>
      <c r="H53" s="4">
        <v>55.5</v>
      </c>
      <c r="I53" s="4">
        <v>45</v>
      </c>
      <c r="J53" s="4">
        <v>1893.4</v>
      </c>
      <c r="K53" s="4">
        <f t="shared" si="2"/>
        <v>227.208</v>
      </c>
      <c r="L53" s="4">
        <v>274.7</v>
      </c>
      <c r="M53" s="4">
        <v>405</v>
      </c>
      <c r="N53" s="4">
        <v>2747.2</v>
      </c>
      <c r="O53" s="4">
        <v>274.7</v>
      </c>
      <c r="P53" s="4">
        <v>137.4</v>
      </c>
      <c r="Q53" s="4">
        <v>137.4</v>
      </c>
      <c r="R53" s="4">
        <v>2747.2</v>
      </c>
      <c r="S53" s="4">
        <v>5494.5</v>
      </c>
      <c r="T53" s="4">
        <v>6.11</v>
      </c>
      <c r="U53" s="4">
        <v>122.1</v>
      </c>
      <c r="V53" s="4">
        <v>31</v>
      </c>
      <c r="W53" s="4">
        <v>2930.4</v>
      </c>
      <c r="X53" s="4">
        <v>0</v>
      </c>
      <c r="Y53" s="4">
        <f>J53*Rates!$D$6</f>
        <v>202404.46000000002</v>
      </c>
      <c r="Z53" s="4">
        <f>K53*Rates!$D$7</f>
        <v>94768.4568</v>
      </c>
      <c r="AA53" s="4">
        <f>L53*Rates!$D$8</f>
        <v>12361.5</v>
      </c>
      <c r="AB53" s="4">
        <f>M53*Rates!$D$9</f>
        <v>810</v>
      </c>
      <c r="AC53" s="4">
        <f>O53*Rates!$D$10</f>
        <v>1785.55</v>
      </c>
      <c r="AD53" s="4">
        <f>P53*Rates!$D$11</f>
        <v>6183</v>
      </c>
      <c r="AE53" s="4">
        <f>Q53*Rates!$D$12</f>
        <v>6457.8</v>
      </c>
      <c r="AF53" s="4">
        <f>R53*Rates!$D$13</f>
        <v>1236.24</v>
      </c>
      <c r="AG53" s="4">
        <f>S53*Rates!$D$14</f>
        <v>1923.0749999999998</v>
      </c>
      <c r="AH53" s="4">
        <f>T53*Rates!$D$15</f>
        <v>24.44</v>
      </c>
      <c r="AI53" s="4">
        <f>U53*Rates!$D$16</f>
        <v>6471.2999999999993</v>
      </c>
      <c r="AJ53" s="4">
        <f>V53*Rates!$D$17</f>
        <v>93</v>
      </c>
      <c r="AK53" s="4">
        <f>W53*Rates!$D$18</f>
        <v>586.08000000000004</v>
      </c>
      <c r="AL53" s="4">
        <f>X53*Rates!$D$19</f>
        <v>0</v>
      </c>
      <c r="AM53" s="4">
        <f t="shared" si="3"/>
        <v>335104.90179999999</v>
      </c>
    </row>
    <row r="54" spans="1:39" x14ac:dyDescent="0.25">
      <c r="A54" s="3">
        <v>53</v>
      </c>
      <c r="B54" s="3" t="s">
        <v>221</v>
      </c>
      <c r="C54" s="3" t="s">
        <v>132</v>
      </c>
      <c r="D54" s="3" t="s">
        <v>274</v>
      </c>
      <c r="E54" s="4">
        <v>4</v>
      </c>
      <c r="F54" s="4">
        <v>4</v>
      </c>
      <c r="G54" s="4">
        <v>2.5</v>
      </c>
      <c r="H54" s="4">
        <v>17.25</v>
      </c>
      <c r="I54" s="4">
        <v>45</v>
      </c>
      <c r="J54" s="4">
        <v>607.5</v>
      </c>
      <c r="K54" s="4">
        <f t="shared" si="2"/>
        <v>72.899999999999991</v>
      </c>
      <c r="L54" s="4">
        <v>85.4</v>
      </c>
      <c r="M54" s="4">
        <v>405</v>
      </c>
      <c r="N54" s="4">
        <v>853.9</v>
      </c>
      <c r="O54" s="4">
        <v>85.4</v>
      </c>
      <c r="P54" s="4">
        <v>42.7</v>
      </c>
      <c r="Q54" s="4">
        <v>42.7</v>
      </c>
      <c r="R54" s="4">
        <v>853.9</v>
      </c>
      <c r="S54" s="4">
        <v>1707.8</v>
      </c>
      <c r="T54" s="4">
        <v>1.9</v>
      </c>
      <c r="U54" s="4">
        <v>38</v>
      </c>
      <c r="V54" s="4">
        <v>10</v>
      </c>
      <c r="W54" s="4">
        <v>910.8</v>
      </c>
      <c r="X54" s="4">
        <v>2561.6</v>
      </c>
      <c r="Y54" s="4">
        <f>J54*Rates!$D$6</f>
        <v>64941.75</v>
      </c>
      <c r="Z54" s="4">
        <f>K54*Rates!$D$7</f>
        <v>30406.589999999997</v>
      </c>
      <c r="AA54" s="4">
        <f>L54*Rates!$D$8</f>
        <v>3843.0000000000005</v>
      </c>
      <c r="AB54" s="4">
        <f>M54*Rates!$D$9</f>
        <v>810</v>
      </c>
      <c r="AC54" s="4">
        <f>O54*Rates!$D$10</f>
        <v>555.1</v>
      </c>
      <c r="AD54" s="4">
        <f>P54*Rates!$D$11</f>
        <v>1921.5000000000002</v>
      </c>
      <c r="AE54" s="4">
        <f>Q54*Rates!$D$12</f>
        <v>2006.9</v>
      </c>
      <c r="AF54" s="4">
        <f>R54*Rates!$D$13</f>
        <v>384.255</v>
      </c>
      <c r="AG54" s="4">
        <f>S54*Rates!$D$14</f>
        <v>597.7299999999999</v>
      </c>
      <c r="AH54" s="4">
        <f>T54*Rates!$D$15</f>
        <v>7.6</v>
      </c>
      <c r="AI54" s="4">
        <f>U54*Rates!$D$16</f>
        <v>2014</v>
      </c>
      <c r="AJ54" s="4">
        <f>V54*Rates!$D$17</f>
        <v>30</v>
      </c>
      <c r="AK54" s="4">
        <f>W54*Rates!$D$18</f>
        <v>182.16</v>
      </c>
      <c r="AL54" s="4">
        <f>X54*Rates!$D$19</f>
        <v>10246.4</v>
      </c>
      <c r="AM54" s="4">
        <f t="shared" si="3"/>
        <v>117946.985</v>
      </c>
    </row>
    <row r="55" spans="1:39" x14ac:dyDescent="0.25">
      <c r="A55" s="3">
        <v>54</v>
      </c>
      <c r="B55" s="3" t="s">
        <v>219</v>
      </c>
      <c r="C55" s="3" t="s">
        <v>134</v>
      </c>
      <c r="D55" s="3" t="s">
        <v>275</v>
      </c>
      <c r="E55" s="4">
        <v>122</v>
      </c>
      <c r="F55" s="4">
        <v>4</v>
      </c>
      <c r="G55" s="4">
        <v>2.5</v>
      </c>
      <c r="H55" s="4">
        <v>518.75</v>
      </c>
      <c r="I55" s="4">
        <v>32</v>
      </c>
      <c r="J55" s="4">
        <v>12420.8</v>
      </c>
      <c r="K55" s="4">
        <f t="shared" si="2"/>
        <v>1490.4959999999999</v>
      </c>
      <c r="L55" s="4">
        <v>1826</v>
      </c>
      <c r="M55" s="4">
        <v>288</v>
      </c>
      <c r="N55" s="4">
        <v>18260</v>
      </c>
      <c r="O55" s="4">
        <v>1826</v>
      </c>
      <c r="P55" s="4">
        <v>913</v>
      </c>
      <c r="Q55" s="4">
        <v>913</v>
      </c>
      <c r="R55" s="4">
        <v>18260</v>
      </c>
      <c r="S55" s="4">
        <v>36520</v>
      </c>
      <c r="T55" s="4">
        <v>57.06</v>
      </c>
      <c r="U55" s="4">
        <v>1141.2</v>
      </c>
      <c r="V55" s="4">
        <v>286</v>
      </c>
      <c r="W55" s="4">
        <v>19971.900000000001</v>
      </c>
      <c r="X55" s="4">
        <v>0</v>
      </c>
      <c r="Y55" s="4">
        <f>J55*Rates!$D$6</f>
        <v>1327783.52</v>
      </c>
      <c r="Z55" s="4">
        <f>K55*Rates!$D$7</f>
        <v>621685.88159999996</v>
      </c>
      <c r="AA55" s="4">
        <f>L55*Rates!$D$8</f>
        <v>82170</v>
      </c>
      <c r="AB55" s="4">
        <f>M55*Rates!$D$9</f>
        <v>576</v>
      </c>
      <c r="AC55" s="4">
        <f>O55*Rates!$D$10</f>
        <v>11869</v>
      </c>
      <c r="AD55" s="4">
        <f>P55*Rates!$D$11</f>
        <v>41085</v>
      </c>
      <c r="AE55" s="4">
        <f>Q55*Rates!$D$12</f>
        <v>42911</v>
      </c>
      <c r="AF55" s="4">
        <f>R55*Rates!$D$13</f>
        <v>8217</v>
      </c>
      <c r="AG55" s="4">
        <f>S55*Rates!$D$14</f>
        <v>12782</v>
      </c>
      <c r="AH55" s="4">
        <f>T55*Rates!$D$15</f>
        <v>228.24</v>
      </c>
      <c r="AI55" s="4">
        <f>U55*Rates!$D$16</f>
        <v>60483.600000000006</v>
      </c>
      <c r="AJ55" s="4">
        <f>V55*Rates!$D$17</f>
        <v>858</v>
      </c>
      <c r="AK55" s="4">
        <f>W55*Rates!$D$18</f>
        <v>3994.3800000000006</v>
      </c>
      <c r="AL55" s="4">
        <f>X55*Rates!$D$19</f>
        <v>0</v>
      </c>
      <c r="AM55" s="4">
        <f t="shared" si="3"/>
        <v>2214643.6216000002</v>
      </c>
    </row>
    <row r="56" spans="1:39" x14ac:dyDescent="0.25">
      <c r="A56" s="3">
        <v>55</v>
      </c>
      <c r="B56" s="3" t="s">
        <v>221</v>
      </c>
      <c r="C56" s="3" t="s">
        <v>134</v>
      </c>
      <c r="D56" s="3" t="s">
        <v>275</v>
      </c>
      <c r="E56" s="4">
        <v>122</v>
      </c>
      <c r="F56" s="4">
        <v>4</v>
      </c>
      <c r="G56" s="4">
        <v>2.5</v>
      </c>
      <c r="H56" s="4">
        <v>518.75</v>
      </c>
      <c r="I56" s="4">
        <v>45</v>
      </c>
      <c r="J56" s="4">
        <v>17466.8</v>
      </c>
      <c r="K56" s="4">
        <f t="shared" si="2"/>
        <v>2096.0159999999996</v>
      </c>
      <c r="L56" s="4">
        <v>2567.8000000000002</v>
      </c>
      <c r="M56" s="4">
        <v>405</v>
      </c>
      <c r="N56" s="4">
        <v>25678.1</v>
      </c>
      <c r="O56" s="4">
        <v>2567.8000000000002</v>
      </c>
      <c r="P56" s="4">
        <v>1283.9000000000001</v>
      </c>
      <c r="Q56" s="4">
        <v>1283.9000000000001</v>
      </c>
      <c r="R56" s="4">
        <v>25678.1</v>
      </c>
      <c r="S56" s="4">
        <v>51356.3</v>
      </c>
      <c r="T56" s="4">
        <v>57.06</v>
      </c>
      <c r="U56" s="4">
        <v>1141.2</v>
      </c>
      <c r="V56" s="4">
        <v>286</v>
      </c>
      <c r="W56" s="4">
        <v>27390</v>
      </c>
      <c r="X56" s="4">
        <v>77034.399999999994</v>
      </c>
      <c r="Y56" s="4">
        <f>J56*Rates!$D$6</f>
        <v>1867200.92</v>
      </c>
      <c r="Z56" s="4">
        <f>K56*Rates!$D$7</f>
        <v>874248.27359999984</v>
      </c>
      <c r="AA56" s="4">
        <f>L56*Rates!$D$8</f>
        <v>115551.00000000001</v>
      </c>
      <c r="AB56" s="4">
        <f>M56*Rates!$D$9</f>
        <v>810</v>
      </c>
      <c r="AC56" s="4">
        <f>O56*Rates!$D$10</f>
        <v>16690.7</v>
      </c>
      <c r="AD56" s="4">
        <f>P56*Rates!$D$11</f>
        <v>57775.500000000007</v>
      </c>
      <c r="AE56" s="4">
        <f>Q56*Rates!$D$12</f>
        <v>60343.3</v>
      </c>
      <c r="AF56" s="4">
        <f>R56*Rates!$D$13</f>
        <v>11555.145</v>
      </c>
      <c r="AG56" s="4">
        <f>S56*Rates!$D$14</f>
        <v>17974.704999999998</v>
      </c>
      <c r="AH56" s="4">
        <f>T56*Rates!$D$15</f>
        <v>228.24</v>
      </c>
      <c r="AI56" s="4">
        <f>U56*Rates!$D$16</f>
        <v>60483.600000000006</v>
      </c>
      <c r="AJ56" s="4">
        <f>V56*Rates!$D$17</f>
        <v>858</v>
      </c>
      <c r="AK56" s="4">
        <f>W56*Rates!$D$18</f>
        <v>5478</v>
      </c>
      <c r="AL56" s="4">
        <f>X56*Rates!$D$19</f>
        <v>308137.59999999998</v>
      </c>
      <c r="AM56" s="4">
        <f t="shared" si="3"/>
        <v>3397334.9836000004</v>
      </c>
    </row>
    <row r="57" spans="1:39" x14ac:dyDescent="0.25">
      <c r="A57" s="3">
        <v>56</v>
      </c>
      <c r="B57" s="3" t="s">
        <v>223</v>
      </c>
      <c r="C57" s="3" t="s">
        <v>134</v>
      </c>
      <c r="D57" s="3" t="s">
        <v>276</v>
      </c>
      <c r="E57" s="4">
        <v>60</v>
      </c>
      <c r="F57" s="4">
        <v>4</v>
      </c>
      <c r="G57" s="4">
        <v>2.5</v>
      </c>
      <c r="H57" s="4">
        <v>255.25</v>
      </c>
      <c r="I57" s="4">
        <v>45</v>
      </c>
      <c r="J57" s="4">
        <v>8608.5</v>
      </c>
      <c r="K57" s="4">
        <f t="shared" si="2"/>
        <v>1033.02</v>
      </c>
      <c r="L57" s="4">
        <v>1263.5</v>
      </c>
      <c r="M57" s="4">
        <v>405</v>
      </c>
      <c r="N57" s="4">
        <v>12634.9</v>
      </c>
      <c r="O57" s="4">
        <v>1263.5</v>
      </c>
      <c r="P57" s="4">
        <v>631.70000000000005</v>
      </c>
      <c r="Q57" s="4">
        <v>631.70000000000005</v>
      </c>
      <c r="R57" s="4">
        <v>12634.9</v>
      </c>
      <c r="S57" s="4">
        <v>25269.8</v>
      </c>
      <c r="T57" s="4">
        <v>28.08</v>
      </c>
      <c r="U57" s="4">
        <v>561.6</v>
      </c>
      <c r="V57" s="4">
        <v>141</v>
      </c>
      <c r="W57" s="4">
        <v>13477.2</v>
      </c>
      <c r="X57" s="4">
        <v>0</v>
      </c>
      <c r="Y57" s="4">
        <f>J57*Rates!$D$6</f>
        <v>920248.65</v>
      </c>
      <c r="Z57" s="4">
        <f>K57*Rates!$D$7</f>
        <v>430872.64199999999</v>
      </c>
      <c r="AA57" s="4">
        <f>L57*Rates!$D$8</f>
        <v>56857.5</v>
      </c>
      <c r="AB57" s="4">
        <f>M57*Rates!$D$9</f>
        <v>810</v>
      </c>
      <c r="AC57" s="4">
        <f>O57*Rates!$D$10</f>
        <v>8212.75</v>
      </c>
      <c r="AD57" s="4">
        <f>P57*Rates!$D$11</f>
        <v>28426.500000000004</v>
      </c>
      <c r="AE57" s="4">
        <f>Q57*Rates!$D$12</f>
        <v>29689.9</v>
      </c>
      <c r="AF57" s="4">
        <f>R57*Rates!$D$13</f>
        <v>5685.7049999999999</v>
      </c>
      <c r="AG57" s="4">
        <f>S57*Rates!$D$14</f>
        <v>8844.4299999999985</v>
      </c>
      <c r="AH57" s="4">
        <f>T57*Rates!$D$15</f>
        <v>112.32</v>
      </c>
      <c r="AI57" s="4">
        <f>U57*Rates!$D$16</f>
        <v>29764.800000000003</v>
      </c>
      <c r="AJ57" s="4">
        <f>V57*Rates!$D$17</f>
        <v>423</v>
      </c>
      <c r="AK57" s="4">
        <f>W57*Rates!$D$18</f>
        <v>2695.4400000000005</v>
      </c>
      <c r="AL57" s="4">
        <f>X57*Rates!$D$19</f>
        <v>0</v>
      </c>
      <c r="AM57" s="4">
        <f t="shared" si="3"/>
        <v>1522643.6369999999</v>
      </c>
    </row>
    <row r="58" spans="1:39" x14ac:dyDescent="0.25">
      <c r="A58" s="3">
        <v>57</v>
      </c>
      <c r="B58" s="3" t="s">
        <v>219</v>
      </c>
      <c r="C58" s="3" t="s">
        <v>135</v>
      </c>
      <c r="D58" s="3" t="s">
        <v>277</v>
      </c>
      <c r="E58" s="4">
        <v>23</v>
      </c>
      <c r="F58" s="4">
        <v>4</v>
      </c>
      <c r="G58" s="4">
        <v>2.5</v>
      </c>
      <c r="H58" s="4">
        <v>98</v>
      </c>
      <c r="I58" s="4">
        <v>32</v>
      </c>
      <c r="J58" s="4">
        <v>2362.4</v>
      </c>
      <c r="K58" s="4">
        <f t="shared" si="2"/>
        <v>283.488</v>
      </c>
      <c r="L58" s="4">
        <v>345</v>
      </c>
      <c r="M58" s="4">
        <v>288</v>
      </c>
      <c r="N58" s="4">
        <v>3449.6</v>
      </c>
      <c r="O58" s="4">
        <v>345</v>
      </c>
      <c r="P58" s="4">
        <v>172.5</v>
      </c>
      <c r="Q58" s="4">
        <v>172.5</v>
      </c>
      <c r="R58" s="4">
        <v>3449.6</v>
      </c>
      <c r="S58" s="4">
        <v>6899.2</v>
      </c>
      <c r="T58" s="4">
        <v>10.78</v>
      </c>
      <c r="U58" s="4">
        <v>215.6</v>
      </c>
      <c r="V58" s="4">
        <v>54</v>
      </c>
      <c r="W58" s="4">
        <v>3773</v>
      </c>
      <c r="X58" s="4">
        <v>0</v>
      </c>
      <c r="Y58" s="4">
        <f>J58*Rates!$D$6</f>
        <v>252540.56000000003</v>
      </c>
      <c r="Z58" s="4">
        <f>K58*Rates!$D$7</f>
        <v>118242.84480000001</v>
      </c>
      <c r="AA58" s="4">
        <f>L58*Rates!$D$8</f>
        <v>15525</v>
      </c>
      <c r="AB58" s="4">
        <f>M58*Rates!$D$9</f>
        <v>576</v>
      </c>
      <c r="AC58" s="4">
        <f>O58*Rates!$D$10</f>
        <v>2242.5</v>
      </c>
      <c r="AD58" s="4">
        <f>P58*Rates!$D$11</f>
        <v>7762.5</v>
      </c>
      <c r="AE58" s="4">
        <f>Q58*Rates!$D$12</f>
        <v>8107.5</v>
      </c>
      <c r="AF58" s="4">
        <f>R58*Rates!$D$13</f>
        <v>1552.32</v>
      </c>
      <c r="AG58" s="4">
        <f>S58*Rates!$D$14</f>
        <v>2414.7199999999998</v>
      </c>
      <c r="AH58" s="4">
        <f>T58*Rates!$D$15</f>
        <v>43.12</v>
      </c>
      <c r="AI58" s="4">
        <f>U58*Rates!$D$16</f>
        <v>11426.8</v>
      </c>
      <c r="AJ58" s="4">
        <f>V58*Rates!$D$17</f>
        <v>162</v>
      </c>
      <c r="AK58" s="4">
        <f>W58*Rates!$D$18</f>
        <v>754.6</v>
      </c>
      <c r="AL58" s="4">
        <f>X58*Rates!$D$19</f>
        <v>0</v>
      </c>
      <c r="AM58" s="4">
        <f t="shared" si="3"/>
        <v>421350.46479999996</v>
      </c>
    </row>
    <row r="59" spans="1:39" x14ac:dyDescent="0.25">
      <c r="A59" s="3">
        <v>58</v>
      </c>
      <c r="B59" s="3" t="s">
        <v>221</v>
      </c>
      <c r="C59" s="3" t="s">
        <v>135</v>
      </c>
      <c r="D59" s="3" t="s">
        <v>278</v>
      </c>
      <c r="E59" s="4">
        <v>15</v>
      </c>
      <c r="F59" s="4">
        <v>4</v>
      </c>
      <c r="G59" s="4">
        <v>2.5</v>
      </c>
      <c r="H59" s="4">
        <v>64</v>
      </c>
      <c r="I59" s="4">
        <v>45</v>
      </c>
      <c r="J59" s="4">
        <v>2179.1</v>
      </c>
      <c r="K59" s="4">
        <f t="shared" si="2"/>
        <v>261.49199999999996</v>
      </c>
      <c r="L59" s="4">
        <v>316.8</v>
      </c>
      <c r="M59" s="4">
        <v>405</v>
      </c>
      <c r="N59" s="4">
        <v>3168</v>
      </c>
      <c r="O59" s="4">
        <v>316.8</v>
      </c>
      <c r="P59" s="4">
        <v>158.4</v>
      </c>
      <c r="Q59" s="4">
        <v>158.4</v>
      </c>
      <c r="R59" s="4">
        <v>3168</v>
      </c>
      <c r="S59" s="4">
        <v>6336</v>
      </c>
      <c r="T59" s="4">
        <v>7.04</v>
      </c>
      <c r="U59" s="4">
        <v>140.80000000000001</v>
      </c>
      <c r="V59" s="4">
        <v>36</v>
      </c>
      <c r="W59" s="4">
        <v>3379.2</v>
      </c>
      <c r="X59" s="4">
        <v>0</v>
      </c>
      <c r="Y59" s="4">
        <f>J59*Rates!$D$6</f>
        <v>232945.79</v>
      </c>
      <c r="Z59" s="4">
        <f>K59*Rates!$D$7</f>
        <v>109068.31319999999</v>
      </c>
      <c r="AA59" s="4">
        <f>L59*Rates!$D$8</f>
        <v>14256</v>
      </c>
      <c r="AB59" s="4">
        <f>M59*Rates!$D$9</f>
        <v>810</v>
      </c>
      <c r="AC59" s="4">
        <f>O59*Rates!$D$10</f>
        <v>2059.2000000000003</v>
      </c>
      <c r="AD59" s="4">
        <f>P59*Rates!$D$11</f>
        <v>7128</v>
      </c>
      <c r="AE59" s="4">
        <f>Q59*Rates!$D$12</f>
        <v>7444.8</v>
      </c>
      <c r="AF59" s="4">
        <f>R59*Rates!$D$13</f>
        <v>1425.6000000000001</v>
      </c>
      <c r="AG59" s="4">
        <f>S59*Rates!$D$14</f>
        <v>2217.6</v>
      </c>
      <c r="AH59" s="4">
        <f>T59*Rates!$D$15</f>
        <v>28.16</v>
      </c>
      <c r="AI59" s="4">
        <f>U59*Rates!$D$16</f>
        <v>7462.4000000000005</v>
      </c>
      <c r="AJ59" s="4">
        <f>V59*Rates!$D$17</f>
        <v>108</v>
      </c>
      <c r="AK59" s="4">
        <f>W59*Rates!$D$18</f>
        <v>675.84</v>
      </c>
      <c r="AL59" s="4">
        <f>X59*Rates!$D$19</f>
        <v>0</v>
      </c>
      <c r="AM59" s="4">
        <f t="shared" si="3"/>
        <v>385629.70319999999</v>
      </c>
    </row>
    <row r="60" spans="1:39" x14ac:dyDescent="0.25">
      <c r="A60" s="3">
        <v>59</v>
      </c>
      <c r="B60" s="3" t="s">
        <v>223</v>
      </c>
      <c r="C60" s="3" t="s">
        <v>135</v>
      </c>
      <c r="D60" s="3" t="s">
        <v>279</v>
      </c>
      <c r="E60" s="4">
        <v>12</v>
      </c>
      <c r="F60" s="4">
        <v>4</v>
      </c>
      <c r="G60" s="4">
        <v>2.5</v>
      </c>
      <c r="H60" s="4">
        <v>51.25</v>
      </c>
      <c r="I60" s="4">
        <v>45</v>
      </c>
      <c r="J60" s="4">
        <v>1750.5</v>
      </c>
      <c r="K60" s="4">
        <f t="shared" si="2"/>
        <v>210.06</v>
      </c>
      <c r="L60" s="4">
        <v>253.7</v>
      </c>
      <c r="M60" s="4">
        <v>405</v>
      </c>
      <c r="N60" s="4">
        <v>2536.9</v>
      </c>
      <c r="O60" s="4">
        <v>253.7</v>
      </c>
      <c r="P60" s="4">
        <v>126.8</v>
      </c>
      <c r="Q60" s="4">
        <v>126.8</v>
      </c>
      <c r="R60" s="4">
        <v>2536.9</v>
      </c>
      <c r="S60" s="4">
        <v>5073.8</v>
      </c>
      <c r="T60" s="4">
        <v>5.64</v>
      </c>
      <c r="U60" s="4">
        <v>112.8</v>
      </c>
      <c r="V60" s="4">
        <v>29</v>
      </c>
      <c r="W60" s="4">
        <v>2706</v>
      </c>
      <c r="X60" s="4">
        <v>0</v>
      </c>
      <c r="Y60" s="4">
        <f>J60*Rates!$D$6</f>
        <v>187128.45</v>
      </c>
      <c r="Z60" s="4">
        <f>K60*Rates!$D$7</f>
        <v>87616.026000000013</v>
      </c>
      <c r="AA60" s="4">
        <f>L60*Rates!$D$8</f>
        <v>11416.5</v>
      </c>
      <c r="AB60" s="4">
        <f>M60*Rates!$D$9</f>
        <v>810</v>
      </c>
      <c r="AC60" s="4">
        <f>O60*Rates!$D$10</f>
        <v>1649.05</v>
      </c>
      <c r="AD60" s="4">
        <f>P60*Rates!$D$11</f>
        <v>5706</v>
      </c>
      <c r="AE60" s="4">
        <f>Q60*Rates!$D$12</f>
        <v>5959.5999999999995</v>
      </c>
      <c r="AF60" s="4">
        <f>R60*Rates!$D$13</f>
        <v>1141.605</v>
      </c>
      <c r="AG60" s="4">
        <f>S60*Rates!$D$14</f>
        <v>1775.83</v>
      </c>
      <c r="AH60" s="4">
        <f>T60*Rates!$D$15</f>
        <v>22.56</v>
      </c>
      <c r="AI60" s="4">
        <f>U60*Rates!$D$16</f>
        <v>5978.4</v>
      </c>
      <c r="AJ60" s="4">
        <f>V60*Rates!$D$17</f>
        <v>87</v>
      </c>
      <c r="AK60" s="4">
        <f>W60*Rates!$D$18</f>
        <v>541.20000000000005</v>
      </c>
      <c r="AL60" s="4">
        <f>X60*Rates!$D$19</f>
        <v>0</v>
      </c>
      <c r="AM60" s="4">
        <f t="shared" si="3"/>
        <v>309832.22100000002</v>
      </c>
    </row>
    <row r="61" spans="1:39" x14ac:dyDescent="0.25">
      <c r="A61" s="3">
        <v>60</v>
      </c>
      <c r="B61" s="3" t="s">
        <v>223</v>
      </c>
      <c r="C61" s="3" t="s">
        <v>136</v>
      </c>
      <c r="D61" s="3" t="s">
        <v>280</v>
      </c>
      <c r="E61" s="4">
        <v>3</v>
      </c>
      <c r="F61" s="4">
        <v>4</v>
      </c>
      <c r="G61" s="4">
        <v>2.5</v>
      </c>
      <c r="H61" s="4">
        <v>13</v>
      </c>
      <c r="I61" s="4">
        <v>45</v>
      </c>
      <c r="J61" s="4">
        <v>464.6</v>
      </c>
      <c r="K61" s="4">
        <f t="shared" si="2"/>
        <v>55.752000000000002</v>
      </c>
      <c r="L61" s="4">
        <v>64.400000000000006</v>
      </c>
      <c r="M61" s="4">
        <v>405</v>
      </c>
      <c r="N61" s="4">
        <v>643.5</v>
      </c>
      <c r="O61" s="4">
        <v>64.400000000000006</v>
      </c>
      <c r="P61" s="4">
        <v>32.200000000000003</v>
      </c>
      <c r="Q61" s="4">
        <v>32.200000000000003</v>
      </c>
      <c r="R61" s="4">
        <v>643.5</v>
      </c>
      <c r="S61" s="4">
        <v>1287</v>
      </c>
      <c r="T61" s="4">
        <v>1.43</v>
      </c>
      <c r="U61" s="4">
        <v>28.6</v>
      </c>
      <c r="V61" s="4">
        <v>8</v>
      </c>
      <c r="W61" s="4">
        <v>686.4</v>
      </c>
      <c r="X61" s="4">
        <v>0</v>
      </c>
      <c r="Y61" s="4">
        <f>J61*Rates!$D$6</f>
        <v>49665.740000000005</v>
      </c>
      <c r="Z61" s="4">
        <f>K61*Rates!$D$7</f>
        <v>23254.159200000002</v>
      </c>
      <c r="AA61" s="4">
        <f>L61*Rates!$D$8</f>
        <v>2898.0000000000005</v>
      </c>
      <c r="AB61" s="4">
        <f>M61*Rates!$D$9</f>
        <v>810</v>
      </c>
      <c r="AC61" s="4">
        <f>O61*Rates!$D$10</f>
        <v>418.6</v>
      </c>
      <c r="AD61" s="4">
        <f>P61*Rates!$D$11</f>
        <v>1449.0000000000002</v>
      </c>
      <c r="AE61" s="4">
        <f>Q61*Rates!$D$12</f>
        <v>1513.4</v>
      </c>
      <c r="AF61" s="4">
        <f>R61*Rates!$D$13</f>
        <v>289.57499999999999</v>
      </c>
      <c r="AG61" s="4">
        <f>S61*Rates!$D$14</f>
        <v>450.45</v>
      </c>
      <c r="AH61" s="4">
        <f>T61*Rates!$D$15</f>
        <v>5.72</v>
      </c>
      <c r="AI61" s="4">
        <f>U61*Rates!$D$16</f>
        <v>1515.8000000000002</v>
      </c>
      <c r="AJ61" s="4">
        <f>V61*Rates!$D$17</f>
        <v>24</v>
      </c>
      <c r="AK61" s="4">
        <f>W61*Rates!$D$18</f>
        <v>137.28</v>
      </c>
      <c r="AL61" s="4">
        <f>X61*Rates!$D$19</f>
        <v>0</v>
      </c>
      <c r="AM61" s="4">
        <f t="shared" si="3"/>
        <v>82431.724200000011</v>
      </c>
    </row>
    <row r="62" spans="1:39" x14ac:dyDescent="0.25">
      <c r="A62" s="3">
        <v>61</v>
      </c>
      <c r="B62" s="3" t="s">
        <v>219</v>
      </c>
      <c r="C62" s="3" t="s">
        <v>137</v>
      </c>
      <c r="D62" s="3" t="s">
        <v>281</v>
      </c>
      <c r="E62" s="4">
        <v>14</v>
      </c>
      <c r="F62" s="4">
        <v>4</v>
      </c>
      <c r="G62" s="4">
        <v>2.5</v>
      </c>
      <c r="H62" s="4">
        <v>59.75</v>
      </c>
      <c r="I62" s="4">
        <v>32</v>
      </c>
      <c r="J62" s="4">
        <v>1448</v>
      </c>
      <c r="K62" s="4">
        <f t="shared" si="2"/>
        <v>173.76</v>
      </c>
      <c r="L62" s="4">
        <v>210.3</v>
      </c>
      <c r="M62" s="4">
        <v>288</v>
      </c>
      <c r="N62" s="4">
        <v>2103.1999999999998</v>
      </c>
      <c r="O62" s="4">
        <v>210.3</v>
      </c>
      <c r="P62" s="4">
        <v>105.2</v>
      </c>
      <c r="Q62" s="4">
        <v>105.2</v>
      </c>
      <c r="R62" s="4">
        <v>2103.1999999999998</v>
      </c>
      <c r="S62" s="4">
        <v>4206.3999999999996</v>
      </c>
      <c r="T62" s="4">
        <v>6.57</v>
      </c>
      <c r="U62" s="4">
        <v>131.5</v>
      </c>
      <c r="V62" s="4">
        <v>33</v>
      </c>
      <c r="W62" s="4">
        <v>2300.4</v>
      </c>
      <c r="X62" s="4">
        <v>0</v>
      </c>
      <c r="Y62" s="4">
        <f>J62*Rates!$D$6</f>
        <v>154791.20000000001</v>
      </c>
      <c r="Z62" s="4">
        <f>K62*Rates!$D$7</f>
        <v>72475.296000000002</v>
      </c>
      <c r="AA62" s="4">
        <f>L62*Rates!$D$8</f>
        <v>9463.5</v>
      </c>
      <c r="AB62" s="4">
        <f>M62*Rates!$D$9</f>
        <v>576</v>
      </c>
      <c r="AC62" s="4">
        <f>O62*Rates!$D$10</f>
        <v>1366.95</v>
      </c>
      <c r="AD62" s="4">
        <f>P62*Rates!$D$11</f>
        <v>4734</v>
      </c>
      <c r="AE62" s="4">
        <f>Q62*Rates!$D$12</f>
        <v>4944.4000000000005</v>
      </c>
      <c r="AF62" s="4">
        <f>R62*Rates!$D$13</f>
        <v>946.43999999999994</v>
      </c>
      <c r="AG62" s="4">
        <f>S62*Rates!$D$14</f>
        <v>1472.2399999999998</v>
      </c>
      <c r="AH62" s="4">
        <f>T62*Rates!$D$15</f>
        <v>26.28</v>
      </c>
      <c r="AI62" s="4">
        <f>U62*Rates!$D$16</f>
        <v>6969.5</v>
      </c>
      <c r="AJ62" s="4">
        <f>V62*Rates!$D$17</f>
        <v>99</v>
      </c>
      <c r="AK62" s="4">
        <f>W62*Rates!$D$18</f>
        <v>460.08000000000004</v>
      </c>
      <c r="AL62" s="4">
        <f>X62*Rates!$D$19</f>
        <v>0</v>
      </c>
      <c r="AM62" s="4">
        <f t="shared" si="3"/>
        <v>258324.886</v>
      </c>
    </row>
    <row r="63" spans="1:39" x14ac:dyDescent="0.25">
      <c r="A63" s="6" t="s">
        <v>19</v>
      </c>
      <c r="B63" s="6"/>
      <c r="C63" s="6"/>
      <c r="D63" s="6"/>
      <c r="E63" s="7">
        <f t="shared" ref="E63:AM63" si="4">SUM(E2:E62)</f>
        <v>1304</v>
      </c>
      <c r="F63" s="7">
        <f t="shared" si="4"/>
        <v>244</v>
      </c>
      <c r="G63" s="7">
        <f t="shared" si="4"/>
        <v>153.5</v>
      </c>
      <c r="H63" s="7">
        <f t="shared" si="4"/>
        <v>5557.25</v>
      </c>
      <c r="I63" s="7">
        <f t="shared" si="4"/>
        <v>2563</v>
      </c>
      <c r="J63" s="7">
        <f t="shared" si="4"/>
        <v>166961.30000000005</v>
      </c>
      <c r="K63" s="7">
        <f t="shared" si="4"/>
        <v>20035.356</v>
      </c>
      <c r="L63" s="7">
        <f t="shared" si="4"/>
        <v>24306.999999999996</v>
      </c>
      <c r="M63" s="7">
        <f t="shared" si="4"/>
        <v>23131</v>
      </c>
      <c r="N63" s="7">
        <f t="shared" si="4"/>
        <v>243066.30000000002</v>
      </c>
      <c r="O63" s="7">
        <f t="shared" si="4"/>
        <v>24306.999999999996</v>
      </c>
      <c r="P63" s="7">
        <f t="shared" si="4"/>
        <v>12153.4</v>
      </c>
      <c r="Q63" s="7">
        <f t="shared" si="4"/>
        <v>12153.4</v>
      </c>
      <c r="R63" s="7">
        <f t="shared" si="4"/>
        <v>243066.30000000002</v>
      </c>
      <c r="S63" s="7">
        <f t="shared" si="4"/>
        <v>486132.99999999994</v>
      </c>
      <c r="T63" s="7">
        <f t="shared" si="4"/>
        <v>611.36999999999989</v>
      </c>
      <c r="U63" s="7">
        <f t="shared" si="4"/>
        <v>12227.500000000004</v>
      </c>
      <c r="V63" s="7">
        <f t="shared" si="4"/>
        <v>3088</v>
      </c>
      <c r="W63" s="7">
        <f t="shared" si="4"/>
        <v>261405.09999999998</v>
      </c>
      <c r="X63" s="7">
        <f t="shared" si="4"/>
        <v>279737</v>
      </c>
      <c r="Y63" s="7">
        <f t="shared" si="4"/>
        <v>17848162.969999991</v>
      </c>
      <c r="Z63" s="7">
        <f t="shared" si="4"/>
        <v>8356746.9875999978</v>
      </c>
      <c r="AA63" s="7">
        <f t="shared" si="4"/>
        <v>1093815</v>
      </c>
      <c r="AB63" s="7">
        <f t="shared" si="4"/>
        <v>46262</v>
      </c>
      <c r="AC63" s="7">
        <f t="shared" si="4"/>
        <v>157995.50000000006</v>
      </c>
      <c r="AD63" s="7">
        <f t="shared" si="4"/>
        <v>546903</v>
      </c>
      <c r="AE63" s="7">
        <f t="shared" si="4"/>
        <v>571209.80000000016</v>
      </c>
      <c r="AF63" s="7">
        <f t="shared" si="4"/>
        <v>109379.83500000004</v>
      </c>
      <c r="AG63" s="7">
        <f t="shared" si="4"/>
        <v>170146.55</v>
      </c>
      <c r="AH63" s="7">
        <f t="shared" si="4"/>
        <v>2445.4799999999996</v>
      </c>
      <c r="AI63" s="7">
        <f t="shared" si="4"/>
        <v>648057.50000000012</v>
      </c>
      <c r="AJ63" s="7">
        <f t="shared" si="4"/>
        <v>9264</v>
      </c>
      <c r="AK63" s="7">
        <f t="shared" si="4"/>
        <v>52281.01999999999</v>
      </c>
      <c r="AL63" s="7">
        <f t="shared" si="4"/>
        <v>1118948</v>
      </c>
      <c r="AM63" s="7">
        <f t="shared" si="4"/>
        <v>30731617.6426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Rates</vt:lpstr>
      <vt:lpstr>Channels</vt:lpstr>
      <vt:lpstr>Dykes</vt:lpstr>
      <vt:lpstr>Culverts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Mojtaba Keivanlou</cp:lastModifiedBy>
  <dcterms:created xsi:type="dcterms:W3CDTF">2026-10-14T10:36:38Z</dcterms:created>
  <dcterms:modified xsi:type="dcterms:W3CDTF">2026-10-14T10:37:16Z</dcterms:modified>
</cp:coreProperties>
</file>