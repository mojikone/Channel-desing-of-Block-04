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Mojtaba\Renardet\2224 WS11\Batinah\Block 4\Claude Block 04\W10\tables\"/>
    </mc:Choice>
  </mc:AlternateContent>
  <xr:revisionPtr revIDLastSave="0" documentId="13_ncr:1_{C015823C-51F0-41E0-8C46-512BDB3C28F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ad me" sheetId="1" r:id="rId1"/>
    <sheet name="Reaches" sheetId="2" r:id="rId2"/>
    <sheet name="Channel sections" sheetId="3" r:id="rId3"/>
    <sheet name="Size inventory" sheetId="4" r:id="rId4"/>
    <sheet name="Outfalls" sheetId="5" r:id="rId5"/>
    <sheet name="Proposed culverts" sheetId="6" r:id="rId6"/>
    <sheet name="Dykes" sheetId="7" r:id="rId7"/>
    <sheet name="Channel quantities" sheetId="8" r:id="rId8"/>
    <sheet name="Land take by class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R39" i="8" l="1"/>
  <c r="B8" i="9" s="1"/>
  <c r="Q39" i="8"/>
  <c r="B7" i="9" s="1"/>
  <c r="P39" i="8"/>
  <c r="B6" i="9" s="1"/>
  <c r="O39" i="8"/>
  <c r="B5" i="9" s="1"/>
  <c r="N39" i="8"/>
  <c r="B4" i="9" s="1"/>
  <c r="M39" i="8"/>
  <c r="B3" i="9" s="1"/>
  <c r="L39" i="8"/>
  <c r="B2" i="9" s="1"/>
  <c r="B9" i="9" s="1"/>
  <c r="K39" i="8"/>
  <c r="J39" i="8"/>
  <c r="I39" i="8"/>
  <c r="H39" i="8"/>
  <c r="G39" i="8"/>
  <c r="F39" i="8"/>
  <c r="E39" i="8"/>
  <c r="D39" i="8"/>
  <c r="C39" i="8"/>
  <c r="S38" i="8"/>
  <c r="S37" i="8"/>
  <c r="S36" i="8"/>
  <c r="S35" i="8"/>
  <c r="S34" i="8"/>
  <c r="S33" i="8"/>
  <c r="S32" i="8"/>
  <c r="S31" i="8"/>
  <c r="S30" i="8"/>
  <c r="S29" i="8"/>
  <c r="S28" i="8"/>
  <c r="S27" i="8"/>
  <c r="S26" i="8"/>
  <c r="S25" i="8"/>
  <c r="S24" i="8"/>
  <c r="S23" i="8"/>
  <c r="S22" i="8"/>
  <c r="S21" i="8"/>
  <c r="S20" i="8"/>
  <c r="S19" i="8"/>
  <c r="S18" i="8"/>
  <c r="S17" i="8"/>
  <c r="S16" i="8"/>
  <c r="S15" i="8"/>
  <c r="S14" i="8"/>
  <c r="S13" i="8"/>
  <c r="S12" i="8"/>
  <c r="S11" i="8"/>
  <c r="S10" i="8"/>
  <c r="S9" i="8"/>
  <c r="S8" i="8"/>
  <c r="S7" i="8"/>
  <c r="S6" i="8"/>
  <c r="S5" i="8"/>
  <c r="S4" i="8"/>
  <c r="S3" i="8"/>
  <c r="S2" i="8"/>
  <c r="D38" i="7"/>
  <c r="N37" i="7"/>
  <c r="M37" i="7"/>
  <c r="K37" i="7"/>
  <c r="J37" i="7"/>
  <c r="L37" i="7" s="1"/>
  <c r="N36" i="7"/>
  <c r="J36" i="7"/>
  <c r="M36" i="7" s="1"/>
  <c r="N35" i="7"/>
  <c r="J35" i="7"/>
  <c r="M35" i="7" s="1"/>
  <c r="N34" i="7"/>
  <c r="J34" i="7"/>
  <c r="M34" i="7" s="1"/>
  <c r="N33" i="7"/>
  <c r="J33" i="7"/>
  <c r="M33" i="7" s="1"/>
  <c r="N32" i="7"/>
  <c r="K32" i="7"/>
  <c r="J32" i="7"/>
  <c r="M32" i="7" s="1"/>
  <c r="N31" i="7"/>
  <c r="J31" i="7"/>
  <c r="M31" i="7" s="1"/>
  <c r="N30" i="7"/>
  <c r="M30" i="7"/>
  <c r="J30" i="7"/>
  <c r="L30" i="7" s="1"/>
  <c r="N29" i="7"/>
  <c r="J29" i="7"/>
  <c r="M29" i="7" s="1"/>
  <c r="N28" i="7"/>
  <c r="J28" i="7"/>
  <c r="M28" i="7" s="1"/>
  <c r="N27" i="7"/>
  <c r="J27" i="7"/>
  <c r="M27" i="7" s="1"/>
  <c r="N26" i="7"/>
  <c r="J26" i="7"/>
  <c r="M26" i="7" s="1"/>
  <c r="N25" i="7"/>
  <c r="J25" i="7"/>
  <c r="M25" i="7" s="1"/>
  <c r="N24" i="7"/>
  <c r="J24" i="7"/>
  <c r="M24" i="7" s="1"/>
  <c r="N23" i="7"/>
  <c r="K23" i="7"/>
  <c r="J23" i="7"/>
  <c r="L23" i="7" s="1"/>
  <c r="N22" i="7"/>
  <c r="M22" i="7"/>
  <c r="L22" i="7"/>
  <c r="K22" i="7"/>
  <c r="J22" i="7"/>
  <c r="N21" i="7"/>
  <c r="J21" i="7"/>
  <c r="L21" i="7" s="1"/>
  <c r="N20" i="7"/>
  <c r="M20" i="7"/>
  <c r="K20" i="7"/>
  <c r="J20" i="7"/>
  <c r="L20" i="7" s="1"/>
  <c r="N19" i="7"/>
  <c r="M19" i="7"/>
  <c r="L19" i="7"/>
  <c r="J19" i="7"/>
  <c r="K19" i="7" s="1"/>
  <c r="N18" i="7"/>
  <c r="J18" i="7"/>
  <c r="L18" i="7" s="1"/>
  <c r="N17" i="7"/>
  <c r="L17" i="7"/>
  <c r="K17" i="7"/>
  <c r="J17" i="7"/>
  <c r="M17" i="7" s="1"/>
  <c r="N16" i="7"/>
  <c r="J16" i="7"/>
  <c r="M16" i="7" s="1"/>
  <c r="N15" i="7"/>
  <c r="K15" i="7"/>
  <c r="J15" i="7"/>
  <c r="M15" i="7" s="1"/>
  <c r="N14" i="7"/>
  <c r="J14" i="7"/>
  <c r="M14" i="7" s="1"/>
  <c r="N13" i="7"/>
  <c r="J13" i="7"/>
  <c r="M13" i="7" s="1"/>
  <c r="N12" i="7"/>
  <c r="J12" i="7"/>
  <c r="K12" i="7" s="1"/>
  <c r="N11" i="7"/>
  <c r="J11" i="7"/>
  <c r="K11" i="7" s="1"/>
  <c r="N10" i="7"/>
  <c r="J10" i="7"/>
  <c r="M10" i="7" s="1"/>
  <c r="N9" i="7"/>
  <c r="J9" i="7"/>
  <c r="K9" i="7" s="1"/>
  <c r="N8" i="7"/>
  <c r="M8" i="7"/>
  <c r="L8" i="7"/>
  <c r="K8" i="7"/>
  <c r="J8" i="7"/>
  <c r="N7" i="7"/>
  <c r="J7" i="7"/>
  <c r="M7" i="7" s="1"/>
  <c r="N6" i="7"/>
  <c r="J6" i="7"/>
  <c r="M6" i="7" s="1"/>
  <c r="N5" i="7"/>
  <c r="J5" i="7"/>
  <c r="L5" i="7" s="1"/>
  <c r="N4" i="7"/>
  <c r="J4" i="7"/>
  <c r="M4" i="7" s="1"/>
  <c r="N3" i="7"/>
  <c r="J3" i="7"/>
  <c r="M3" i="7" s="1"/>
  <c r="N2" i="7"/>
  <c r="L2" i="7"/>
  <c r="K2" i="7"/>
  <c r="J2" i="7"/>
  <c r="M2" i="7" s="1"/>
  <c r="I63" i="6"/>
  <c r="R62" i="6"/>
  <c r="M62" i="6"/>
  <c r="L62" i="6"/>
  <c r="R61" i="6"/>
  <c r="M61" i="6"/>
  <c r="L61" i="6"/>
  <c r="R60" i="6"/>
  <c r="M60" i="6"/>
  <c r="L60" i="6"/>
  <c r="R59" i="6"/>
  <c r="M59" i="6"/>
  <c r="L59" i="6"/>
  <c r="R58" i="6"/>
  <c r="M58" i="6"/>
  <c r="L58" i="6"/>
  <c r="R57" i="6"/>
  <c r="M57" i="6"/>
  <c r="L57" i="6"/>
  <c r="R56" i="6"/>
  <c r="M56" i="6"/>
  <c r="L56" i="6"/>
  <c r="R55" i="6"/>
  <c r="M55" i="6"/>
  <c r="L55" i="6"/>
  <c r="R54" i="6"/>
  <c r="M54" i="6"/>
  <c r="L54" i="6"/>
  <c r="R53" i="6"/>
  <c r="M53" i="6"/>
  <c r="L53" i="6"/>
  <c r="R52" i="6"/>
  <c r="M52" i="6"/>
  <c r="L52" i="6"/>
  <c r="R51" i="6"/>
  <c r="M51" i="6"/>
  <c r="L51" i="6"/>
  <c r="R50" i="6"/>
  <c r="M50" i="6"/>
  <c r="L50" i="6"/>
  <c r="R49" i="6"/>
  <c r="M49" i="6"/>
  <c r="L49" i="6"/>
  <c r="R48" i="6"/>
  <c r="M48" i="6"/>
  <c r="L48" i="6"/>
  <c r="R47" i="6"/>
  <c r="M47" i="6"/>
  <c r="L47" i="6"/>
  <c r="R46" i="6"/>
  <c r="M46" i="6"/>
  <c r="L46" i="6"/>
  <c r="R45" i="6"/>
  <c r="M45" i="6"/>
  <c r="L45" i="6"/>
  <c r="R44" i="6"/>
  <c r="M44" i="6"/>
  <c r="L44" i="6"/>
  <c r="R43" i="6"/>
  <c r="M43" i="6"/>
  <c r="L43" i="6"/>
  <c r="R42" i="6"/>
  <c r="M42" i="6"/>
  <c r="L42" i="6"/>
  <c r="R41" i="6"/>
  <c r="M41" i="6"/>
  <c r="L41" i="6"/>
  <c r="R40" i="6"/>
  <c r="M40" i="6"/>
  <c r="L40" i="6"/>
  <c r="R39" i="6"/>
  <c r="M39" i="6"/>
  <c r="L39" i="6"/>
  <c r="R38" i="6"/>
  <c r="M38" i="6"/>
  <c r="L38" i="6"/>
  <c r="R37" i="6"/>
  <c r="M37" i="6"/>
  <c r="L37" i="6"/>
  <c r="R36" i="6"/>
  <c r="M36" i="6"/>
  <c r="L36" i="6"/>
  <c r="R35" i="6"/>
  <c r="M35" i="6"/>
  <c r="L35" i="6"/>
  <c r="R34" i="6"/>
  <c r="M34" i="6"/>
  <c r="L34" i="6"/>
  <c r="R33" i="6"/>
  <c r="M33" i="6"/>
  <c r="L33" i="6"/>
  <c r="R32" i="6"/>
  <c r="M32" i="6"/>
  <c r="L32" i="6"/>
  <c r="R31" i="6"/>
  <c r="M31" i="6"/>
  <c r="L31" i="6"/>
  <c r="R30" i="6"/>
  <c r="M30" i="6"/>
  <c r="L30" i="6"/>
  <c r="R29" i="6"/>
  <c r="M29" i="6"/>
  <c r="L29" i="6"/>
  <c r="R28" i="6"/>
  <c r="M28" i="6"/>
  <c r="L28" i="6"/>
  <c r="R27" i="6"/>
  <c r="M27" i="6"/>
  <c r="L27" i="6"/>
  <c r="R26" i="6"/>
  <c r="M26" i="6"/>
  <c r="L26" i="6"/>
  <c r="R25" i="6"/>
  <c r="M25" i="6"/>
  <c r="L25" i="6"/>
  <c r="R24" i="6"/>
  <c r="M24" i="6"/>
  <c r="L24" i="6"/>
  <c r="R23" i="6"/>
  <c r="M23" i="6"/>
  <c r="L23" i="6"/>
  <c r="R22" i="6"/>
  <c r="M22" i="6"/>
  <c r="L22" i="6"/>
  <c r="R21" i="6"/>
  <c r="M21" i="6"/>
  <c r="L21" i="6"/>
  <c r="R20" i="6"/>
  <c r="M20" i="6"/>
  <c r="L20" i="6"/>
  <c r="R19" i="6"/>
  <c r="M19" i="6"/>
  <c r="L19" i="6"/>
  <c r="R18" i="6"/>
  <c r="M18" i="6"/>
  <c r="L18" i="6"/>
  <c r="R17" i="6"/>
  <c r="M17" i="6"/>
  <c r="L17" i="6"/>
  <c r="R16" i="6"/>
  <c r="M16" i="6"/>
  <c r="L16" i="6"/>
  <c r="R15" i="6"/>
  <c r="M15" i="6"/>
  <c r="L15" i="6"/>
  <c r="R14" i="6"/>
  <c r="M14" i="6"/>
  <c r="L14" i="6"/>
  <c r="R13" i="6"/>
  <c r="M13" i="6"/>
  <c r="L13" i="6"/>
  <c r="R12" i="6"/>
  <c r="M12" i="6"/>
  <c r="L12" i="6"/>
  <c r="R11" i="6"/>
  <c r="M11" i="6"/>
  <c r="L11" i="6"/>
  <c r="R10" i="6"/>
  <c r="M10" i="6"/>
  <c r="L10" i="6"/>
  <c r="R9" i="6"/>
  <c r="M9" i="6"/>
  <c r="L9" i="6"/>
  <c r="R8" i="6"/>
  <c r="M8" i="6"/>
  <c r="L8" i="6"/>
  <c r="R7" i="6"/>
  <c r="M7" i="6"/>
  <c r="L7" i="6"/>
  <c r="R6" i="6"/>
  <c r="M6" i="6"/>
  <c r="L6" i="6"/>
  <c r="R5" i="6"/>
  <c r="M5" i="6"/>
  <c r="L5" i="6"/>
  <c r="R4" i="6"/>
  <c r="M4" i="6"/>
  <c r="L4" i="6"/>
  <c r="R3" i="6"/>
  <c r="M3" i="6"/>
  <c r="L3" i="6"/>
  <c r="R2" i="6"/>
  <c r="M2" i="6"/>
  <c r="L2" i="6"/>
  <c r="H16" i="5"/>
  <c r="H15" i="5"/>
  <c r="H14" i="5"/>
  <c r="H13" i="5"/>
  <c r="H12" i="5"/>
  <c r="H11" i="5"/>
  <c r="H10" i="5"/>
  <c r="H9" i="5"/>
  <c r="H8" i="5"/>
  <c r="H7" i="5"/>
  <c r="H6" i="5"/>
  <c r="H5" i="5"/>
  <c r="H4" i="5"/>
  <c r="H3" i="5"/>
  <c r="H2" i="5"/>
  <c r="E89" i="4"/>
  <c r="D89" i="4"/>
  <c r="C89" i="4"/>
  <c r="E88" i="4"/>
  <c r="D88" i="4"/>
  <c r="C88" i="4"/>
  <c r="E87" i="4"/>
  <c r="D87" i="4"/>
  <c r="C87" i="4"/>
  <c r="E86" i="4"/>
  <c r="D86" i="4"/>
  <c r="C86" i="4"/>
  <c r="E85" i="4"/>
  <c r="D85" i="4"/>
  <c r="C85" i="4"/>
  <c r="E84" i="4"/>
  <c r="D84" i="4"/>
  <c r="C84" i="4"/>
  <c r="E83" i="4"/>
  <c r="D83" i="4"/>
  <c r="C83" i="4"/>
  <c r="E82" i="4"/>
  <c r="D82" i="4"/>
  <c r="C82" i="4"/>
  <c r="E81" i="4"/>
  <c r="D81" i="4"/>
  <c r="C81" i="4"/>
  <c r="E80" i="4"/>
  <c r="D80" i="4"/>
  <c r="C80" i="4"/>
  <c r="E79" i="4"/>
  <c r="D79" i="4"/>
  <c r="C79" i="4"/>
  <c r="E78" i="4"/>
  <c r="D78" i="4"/>
  <c r="C78" i="4"/>
  <c r="E77" i="4"/>
  <c r="D77" i="4"/>
  <c r="C77" i="4"/>
  <c r="E76" i="4"/>
  <c r="D76" i="4"/>
  <c r="C76" i="4"/>
  <c r="E75" i="4"/>
  <c r="D75" i="4"/>
  <c r="C75" i="4"/>
  <c r="E74" i="4"/>
  <c r="D74" i="4"/>
  <c r="C74" i="4"/>
  <c r="E73" i="4"/>
  <c r="D73" i="4"/>
  <c r="C73" i="4"/>
  <c r="E72" i="4"/>
  <c r="D72" i="4"/>
  <c r="C72" i="4"/>
  <c r="E71" i="4"/>
  <c r="D71" i="4"/>
  <c r="C71" i="4"/>
  <c r="E70" i="4"/>
  <c r="D70" i="4"/>
  <c r="C70" i="4"/>
  <c r="E69" i="4"/>
  <c r="D69" i="4"/>
  <c r="C69" i="4"/>
  <c r="E68" i="4"/>
  <c r="D68" i="4"/>
  <c r="C68" i="4"/>
  <c r="E67" i="4"/>
  <c r="D67" i="4"/>
  <c r="C67" i="4"/>
  <c r="E66" i="4"/>
  <c r="D66" i="4"/>
  <c r="C66" i="4"/>
  <c r="E65" i="4"/>
  <c r="D65" i="4"/>
  <c r="C65" i="4"/>
  <c r="E64" i="4"/>
  <c r="D64" i="4"/>
  <c r="C64" i="4"/>
  <c r="E63" i="4"/>
  <c r="D63" i="4"/>
  <c r="C63" i="4"/>
  <c r="E62" i="4"/>
  <c r="D62" i="4"/>
  <c r="C62" i="4"/>
  <c r="E61" i="4"/>
  <c r="D61" i="4"/>
  <c r="C61" i="4"/>
  <c r="E60" i="4"/>
  <c r="D60" i="4"/>
  <c r="C60" i="4"/>
  <c r="E59" i="4"/>
  <c r="D59" i="4"/>
  <c r="C59" i="4"/>
  <c r="E58" i="4"/>
  <c r="D58" i="4"/>
  <c r="C58" i="4"/>
  <c r="E57" i="4"/>
  <c r="D57" i="4"/>
  <c r="C57" i="4"/>
  <c r="E56" i="4"/>
  <c r="D56" i="4"/>
  <c r="C56" i="4"/>
  <c r="E55" i="4"/>
  <c r="D55" i="4"/>
  <c r="C55" i="4"/>
  <c r="E54" i="4"/>
  <c r="D54" i="4"/>
  <c r="C54" i="4"/>
  <c r="E53" i="4"/>
  <c r="D53" i="4"/>
  <c r="C53" i="4"/>
  <c r="E52" i="4"/>
  <c r="D52" i="4"/>
  <c r="C52" i="4"/>
  <c r="E51" i="4"/>
  <c r="D51" i="4"/>
  <c r="C51" i="4"/>
  <c r="E50" i="4"/>
  <c r="D50" i="4"/>
  <c r="C50" i="4"/>
  <c r="E49" i="4"/>
  <c r="D49" i="4"/>
  <c r="C49" i="4"/>
  <c r="E48" i="4"/>
  <c r="D48" i="4"/>
  <c r="C48" i="4"/>
  <c r="E47" i="4"/>
  <c r="D47" i="4"/>
  <c r="C47" i="4"/>
  <c r="E46" i="4"/>
  <c r="D46" i="4"/>
  <c r="C46" i="4"/>
  <c r="E45" i="4"/>
  <c r="D45" i="4"/>
  <c r="C45" i="4"/>
  <c r="E44" i="4"/>
  <c r="D44" i="4"/>
  <c r="C44" i="4"/>
  <c r="E43" i="4"/>
  <c r="D43" i="4"/>
  <c r="C43" i="4"/>
  <c r="E42" i="4"/>
  <c r="D42" i="4"/>
  <c r="C42" i="4"/>
  <c r="E41" i="4"/>
  <c r="D41" i="4"/>
  <c r="C41" i="4"/>
  <c r="E40" i="4"/>
  <c r="D40" i="4"/>
  <c r="C40" i="4"/>
  <c r="E39" i="4"/>
  <c r="D39" i="4"/>
  <c r="C39" i="4"/>
  <c r="E38" i="4"/>
  <c r="D38" i="4"/>
  <c r="C38" i="4"/>
  <c r="E37" i="4"/>
  <c r="D37" i="4"/>
  <c r="C37" i="4"/>
  <c r="E36" i="4"/>
  <c r="D36" i="4"/>
  <c r="C36" i="4"/>
  <c r="E35" i="4"/>
  <c r="D35" i="4"/>
  <c r="C35" i="4"/>
  <c r="E34" i="4"/>
  <c r="D34" i="4"/>
  <c r="C34" i="4"/>
  <c r="E33" i="4"/>
  <c r="D33" i="4"/>
  <c r="C33" i="4"/>
  <c r="E32" i="4"/>
  <c r="D32" i="4"/>
  <c r="C32" i="4"/>
  <c r="E31" i="4"/>
  <c r="D31" i="4"/>
  <c r="C31" i="4"/>
  <c r="E30" i="4"/>
  <c r="D30" i="4"/>
  <c r="C30" i="4"/>
  <c r="E29" i="4"/>
  <c r="D29" i="4"/>
  <c r="C29" i="4"/>
  <c r="E28" i="4"/>
  <c r="D28" i="4"/>
  <c r="C28" i="4"/>
  <c r="E27" i="4"/>
  <c r="D27" i="4"/>
  <c r="C27" i="4"/>
  <c r="E26" i="4"/>
  <c r="D26" i="4"/>
  <c r="C26" i="4"/>
  <c r="E25" i="4"/>
  <c r="D25" i="4"/>
  <c r="C25" i="4"/>
  <c r="E24" i="4"/>
  <c r="D24" i="4"/>
  <c r="C24" i="4"/>
  <c r="E23" i="4"/>
  <c r="D23" i="4"/>
  <c r="C23" i="4"/>
  <c r="E22" i="4"/>
  <c r="D22" i="4"/>
  <c r="C22" i="4"/>
  <c r="E21" i="4"/>
  <c r="D21" i="4"/>
  <c r="C21" i="4"/>
  <c r="E20" i="4"/>
  <c r="D20" i="4"/>
  <c r="C20" i="4"/>
  <c r="E19" i="4"/>
  <c r="D19" i="4"/>
  <c r="C19" i="4"/>
  <c r="E18" i="4"/>
  <c r="D18" i="4"/>
  <c r="C18" i="4"/>
  <c r="E17" i="4"/>
  <c r="D17" i="4"/>
  <c r="C17" i="4"/>
  <c r="E16" i="4"/>
  <c r="D16" i="4"/>
  <c r="C16" i="4"/>
  <c r="E15" i="4"/>
  <c r="D15" i="4"/>
  <c r="C15" i="4"/>
  <c r="E14" i="4"/>
  <c r="D14" i="4"/>
  <c r="C14" i="4"/>
  <c r="E13" i="4"/>
  <c r="D13" i="4"/>
  <c r="C13" i="4"/>
  <c r="E12" i="4"/>
  <c r="D12" i="4"/>
  <c r="C12" i="4"/>
  <c r="E11" i="4"/>
  <c r="D11" i="4"/>
  <c r="C11" i="4"/>
  <c r="E10" i="4"/>
  <c r="D10" i="4"/>
  <c r="C10" i="4"/>
  <c r="E9" i="4"/>
  <c r="D9" i="4"/>
  <c r="C9" i="4"/>
  <c r="E8" i="4"/>
  <c r="D8" i="4"/>
  <c r="C8" i="4"/>
  <c r="E7" i="4"/>
  <c r="D7" i="4"/>
  <c r="C7" i="4"/>
  <c r="E6" i="4"/>
  <c r="D6" i="4"/>
  <c r="C6" i="4"/>
  <c r="E5" i="4"/>
  <c r="D5" i="4"/>
  <c r="C5" i="4"/>
  <c r="E4" i="4"/>
  <c r="D4" i="4"/>
  <c r="C4" i="4"/>
  <c r="E3" i="4"/>
  <c r="D3" i="4"/>
  <c r="C3" i="4"/>
  <c r="E2" i="4"/>
  <c r="D2" i="4"/>
  <c r="C2" i="4"/>
  <c r="K38" i="3"/>
  <c r="J38" i="3"/>
  <c r="H38" i="3"/>
  <c r="G38" i="3"/>
  <c r="F38" i="3"/>
  <c r="E38" i="3"/>
  <c r="D38" i="3"/>
  <c r="C38" i="3"/>
  <c r="K37" i="3"/>
  <c r="J37" i="3"/>
  <c r="H37" i="3"/>
  <c r="G37" i="3"/>
  <c r="F37" i="3"/>
  <c r="E37" i="3"/>
  <c r="D37" i="3"/>
  <c r="C37" i="3"/>
  <c r="K36" i="3"/>
  <c r="J36" i="3"/>
  <c r="H36" i="3"/>
  <c r="G36" i="3"/>
  <c r="F36" i="3"/>
  <c r="E36" i="3"/>
  <c r="D36" i="3"/>
  <c r="C36" i="3"/>
  <c r="K35" i="3"/>
  <c r="J35" i="3"/>
  <c r="H35" i="3"/>
  <c r="G35" i="3"/>
  <c r="F35" i="3"/>
  <c r="E35" i="3"/>
  <c r="D35" i="3"/>
  <c r="C35" i="3"/>
  <c r="K34" i="3"/>
  <c r="J34" i="3"/>
  <c r="H34" i="3"/>
  <c r="G34" i="3"/>
  <c r="F34" i="3"/>
  <c r="E34" i="3"/>
  <c r="D34" i="3"/>
  <c r="C34" i="3"/>
  <c r="K33" i="3"/>
  <c r="J33" i="3"/>
  <c r="H33" i="3"/>
  <c r="G33" i="3"/>
  <c r="F33" i="3"/>
  <c r="E33" i="3"/>
  <c r="D33" i="3"/>
  <c r="C33" i="3"/>
  <c r="K32" i="3"/>
  <c r="J32" i="3"/>
  <c r="H32" i="3"/>
  <c r="G32" i="3"/>
  <c r="F32" i="3"/>
  <c r="E32" i="3"/>
  <c r="D32" i="3"/>
  <c r="C32" i="3"/>
  <c r="K31" i="3"/>
  <c r="J31" i="3"/>
  <c r="H31" i="3"/>
  <c r="G31" i="3"/>
  <c r="F31" i="3"/>
  <c r="E31" i="3"/>
  <c r="D31" i="3"/>
  <c r="C31" i="3"/>
  <c r="K30" i="3"/>
  <c r="J30" i="3"/>
  <c r="H30" i="3"/>
  <c r="G30" i="3"/>
  <c r="F30" i="3"/>
  <c r="E30" i="3"/>
  <c r="D30" i="3"/>
  <c r="C30" i="3"/>
  <c r="K29" i="3"/>
  <c r="J29" i="3"/>
  <c r="H29" i="3"/>
  <c r="G29" i="3"/>
  <c r="F29" i="3"/>
  <c r="E29" i="3"/>
  <c r="D29" i="3"/>
  <c r="C29" i="3"/>
  <c r="K28" i="3"/>
  <c r="J28" i="3"/>
  <c r="H28" i="3"/>
  <c r="G28" i="3"/>
  <c r="F28" i="3"/>
  <c r="E28" i="3"/>
  <c r="D28" i="3"/>
  <c r="C28" i="3"/>
  <c r="K27" i="3"/>
  <c r="J27" i="3"/>
  <c r="H27" i="3"/>
  <c r="G27" i="3"/>
  <c r="F27" i="3"/>
  <c r="E27" i="3"/>
  <c r="D27" i="3"/>
  <c r="C27" i="3"/>
  <c r="K26" i="3"/>
  <c r="J26" i="3"/>
  <c r="H26" i="3"/>
  <c r="G26" i="3"/>
  <c r="F26" i="3"/>
  <c r="E26" i="3"/>
  <c r="D26" i="3"/>
  <c r="C26" i="3"/>
  <c r="K25" i="3"/>
  <c r="J25" i="3"/>
  <c r="H25" i="3"/>
  <c r="G25" i="3"/>
  <c r="F25" i="3"/>
  <c r="E25" i="3"/>
  <c r="D25" i="3"/>
  <c r="C25" i="3"/>
  <c r="K24" i="3"/>
  <c r="J24" i="3"/>
  <c r="H24" i="3"/>
  <c r="G24" i="3"/>
  <c r="F24" i="3"/>
  <c r="E24" i="3"/>
  <c r="D24" i="3"/>
  <c r="C24" i="3"/>
  <c r="K23" i="3"/>
  <c r="J23" i="3"/>
  <c r="H23" i="3"/>
  <c r="G23" i="3"/>
  <c r="F23" i="3"/>
  <c r="E23" i="3"/>
  <c r="D23" i="3"/>
  <c r="C23" i="3"/>
  <c r="K22" i="3"/>
  <c r="J22" i="3"/>
  <c r="H22" i="3"/>
  <c r="G22" i="3"/>
  <c r="F22" i="3"/>
  <c r="E22" i="3"/>
  <c r="D22" i="3"/>
  <c r="C22" i="3"/>
  <c r="K21" i="3"/>
  <c r="J21" i="3"/>
  <c r="H21" i="3"/>
  <c r="G21" i="3"/>
  <c r="F21" i="3"/>
  <c r="E21" i="3"/>
  <c r="D21" i="3"/>
  <c r="C21" i="3"/>
  <c r="K20" i="3"/>
  <c r="J20" i="3"/>
  <c r="H20" i="3"/>
  <c r="G20" i="3"/>
  <c r="F20" i="3"/>
  <c r="E20" i="3"/>
  <c r="D20" i="3"/>
  <c r="C20" i="3"/>
  <c r="K19" i="3"/>
  <c r="J19" i="3"/>
  <c r="H19" i="3"/>
  <c r="G19" i="3"/>
  <c r="F19" i="3"/>
  <c r="E19" i="3"/>
  <c r="D19" i="3"/>
  <c r="C19" i="3"/>
  <c r="K18" i="3"/>
  <c r="J18" i="3"/>
  <c r="H18" i="3"/>
  <c r="G18" i="3"/>
  <c r="F18" i="3"/>
  <c r="E18" i="3"/>
  <c r="D18" i="3"/>
  <c r="C18" i="3"/>
  <c r="K17" i="3"/>
  <c r="J17" i="3"/>
  <c r="H17" i="3"/>
  <c r="G17" i="3"/>
  <c r="F17" i="3"/>
  <c r="E17" i="3"/>
  <c r="D17" i="3"/>
  <c r="C17" i="3"/>
  <c r="K16" i="3"/>
  <c r="J16" i="3"/>
  <c r="H16" i="3"/>
  <c r="G16" i="3"/>
  <c r="F16" i="3"/>
  <c r="E16" i="3"/>
  <c r="D16" i="3"/>
  <c r="C16" i="3"/>
  <c r="K15" i="3"/>
  <c r="J15" i="3"/>
  <c r="H15" i="3"/>
  <c r="G15" i="3"/>
  <c r="F15" i="3"/>
  <c r="E15" i="3"/>
  <c r="D15" i="3"/>
  <c r="C15" i="3"/>
  <c r="K14" i="3"/>
  <c r="J14" i="3"/>
  <c r="H14" i="3"/>
  <c r="G14" i="3"/>
  <c r="F14" i="3"/>
  <c r="E14" i="3"/>
  <c r="D14" i="3"/>
  <c r="C14" i="3"/>
  <c r="K13" i="3"/>
  <c r="J13" i="3"/>
  <c r="H13" i="3"/>
  <c r="G13" i="3"/>
  <c r="F13" i="3"/>
  <c r="E13" i="3"/>
  <c r="D13" i="3"/>
  <c r="C13" i="3"/>
  <c r="K12" i="3"/>
  <c r="J12" i="3"/>
  <c r="H12" i="3"/>
  <c r="G12" i="3"/>
  <c r="F12" i="3"/>
  <c r="E12" i="3"/>
  <c r="D12" i="3"/>
  <c r="C12" i="3"/>
  <c r="K11" i="3"/>
  <c r="J11" i="3"/>
  <c r="H11" i="3"/>
  <c r="G11" i="3"/>
  <c r="F11" i="3"/>
  <c r="E11" i="3"/>
  <c r="D11" i="3"/>
  <c r="C11" i="3"/>
  <c r="K10" i="3"/>
  <c r="J10" i="3"/>
  <c r="H10" i="3"/>
  <c r="G10" i="3"/>
  <c r="F10" i="3"/>
  <c r="E10" i="3"/>
  <c r="D10" i="3"/>
  <c r="C10" i="3"/>
  <c r="K9" i="3"/>
  <c r="J9" i="3"/>
  <c r="H9" i="3"/>
  <c r="G9" i="3"/>
  <c r="F9" i="3"/>
  <c r="E9" i="3"/>
  <c r="D9" i="3"/>
  <c r="C9" i="3"/>
  <c r="K8" i="3"/>
  <c r="J8" i="3"/>
  <c r="H8" i="3"/>
  <c r="G8" i="3"/>
  <c r="F8" i="3"/>
  <c r="E8" i="3"/>
  <c r="D8" i="3"/>
  <c r="C8" i="3"/>
  <c r="K7" i="3"/>
  <c r="J7" i="3"/>
  <c r="H7" i="3"/>
  <c r="G7" i="3"/>
  <c r="F7" i="3"/>
  <c r="E7" i="3"/>
  <c r="D7" i="3"/>
  <c r="C7" i="3"/>
  <c r="K6" i="3"/>
  <c r="J6" i="3"/>
  <c r="H6" i="3"/>
  <c r="G6" i="3"/>
  <c r="F6" i="3"/>
  <c r="E6" i="3"/>
  <c r="D6" i="3"/>
  <c r="C6" i="3"/>
  <c r="K5" i="3"/>
  <c r="J5" i="3"/>
  <c r="H5" i="3"/>
  <c r="G5" i="3"/>
  <c r="F5" i="3"/>
  <c r="E5" i="3"/>
  <c r="D5" i="3"/>
  <c r="C5" i="3"/>
  <c r="K4" i="3"/>
  <c r="J4" i="3"/>
  <c r="H4" i="3"/>
  <c r="G4" i="3"/>
  <c r="F4" i="3"/>
  <c r="E4" i="3"/>
  <c r="D4" i="3"/>
  <c r="C4" i="3"/>
  <c r="K3" i="3"/>
  <c r="J3" i="3"/>
  <c r="H3" i="3"/>
  <c r="G3" i="3"/>
  <c r="F3" i="3"/>
  <c r="E3" i="3"/>
  <c r="D3" i="3"/>
  <c r="C3" i="3"/>
  <c r="K2" i="3"/>
  <c r="J2" i="3"/>
  <c r="H2" i="3"/>
  <c r="G2" i="3"/>
  <c r="F2" i="3"/>
  <c r="E2" i="3"/>
  <c r="D2" i="3"/>
  <c r="C2" i="3"/>
  <c r="M213" i="2"/>
  <c r="M212" i="2"/>
  <c r="M211" i="2"/>
  <c r="M210" i="2"/>
  <c r="M209" i="2"/>
  <c r="M208" i="2"/>
  <c r="M207" i="2"/>
  <c r="M206" i="2"/>
  <c r="M205" i="2"/>
  <c r="M204" i="2"/>
  <c r="M203" i="2"/>
  <c r="M202" i="2"/>
  <c r="M201" i="2"/>
  <c r="M200" i="2"/>
  <c r="M199" i="2"/>
  <c r="M198" i="2"/>
  <c r="M197" i="2"/>
  <c r="M196" i="2"/>
  <c r="M195" i="2"/>
  <c r="M194" i="2"/>
  <c r="M193" i="2"/>
  <c r="M192" i="2"/>
  <c r="M191" i="2"/>
  <c r="M190" i="2"/>
  <c r="M189" i="2"/>
  <c r="M188" i="2"/>
  <c r="M187" i="2"/>
  <c r="M186" i="2"/>
  <c r="M185" i="2"/>
  <c r="M184" i="2"/>
  <c r="M183" i="2"/>
  <c r="M182" i="2"/>
  <c r="M181" i="2"/>
  <c r="M180" i="2"/>
  <c r="M179" i="2"/>
  <c r="M178" i="2"/>
  <c r="M177" i="2"/>
  <c r="M176" i="2"/>
  <c r="M175" i="2"/>
  <c r="M174" i="2"/>
  <c r="M173" i="2"/>
  <c r="M172" i="2"/>
  <c r="M171" i="2"/>
  <c r="M170" i="2"/>
  <c r="M169" i="2"/>
  <c r="M168" i="2"/>
  <c r="M167" i="2"/>
  <c r="M166" i="2"/>
  <c r="M165" i="2"/>
  <c r="M164" i="2"/>
  <c r="M163" i="2"/>
  <c r="M162" i="2"/>
  <c r="M161" i="2"/>
  <c r="M160" i="2"/>
  <c r="M159" i="2"/>
  <c r="M158" i="2"/>
  <c r="M157" i="2"/>
  <c r="M156" i="2"/>
  <c r="M155" i="2"/>
  <c r="M154" i="2"/>
  <c r="M153" i="2"/>
  <c r="M152" i="2"/>
  <c r="M151" i="2"/>
  <c r="M150" i="2"/>
  <c r="M149" i="2"/>
  <c r="M148" i="2"/>
  <c r="M147" i="2"/>
  <c r="M146" i="2"/>
  <c r="M145" i="2"/>
  <c r="M144" i="2"/>
  <c r="M143" i="2"/>
  <c r="M142" i="2"/>
  <c r="M141" i="2"/>
  <c r="M140" i="2"/>
  <c r="M139" i="2"/>
  <c r="M138" i="2"/>
  <c r="M137" i="2"/>
  <c r="M136" i="2"/>
  <c r="M135" i="2"/>
  <c r="M134" i="2"/>
  <c r="M133" i="2"/>
  <c r="M132" i="2"/>
  <c r="M131" i="2"/>
  <c r="M130" i="2"/>
  <c r="M129" i="2"/>
  <c r="M128" i="2"/>
  <c r="M127" i="2"/>
  <c r="M126" i="2"/>
  <c r="M125" i="2"/>
  <c r="M124" i="2"/>
  <c r="M123" i="2"/>
  <c r="M122" i="2"/>
  <c r="M121" i="2"/>
  <c r="M120" i="2"/>
  <c r="M119" i="2"/>
  <c r="M118" i="2"/>
  <c r="M117" i="2"/>
  <c r="M116" i="2"/>
  <c r="M115" i="2"/>
  <c r="M114" i="2"/>
  <c r="M113" i="2"/>
  <c r="M112" i="2"/>
  <c r="M111" i="2"/>
  <c r="M110" i="2"/>
  <c r="M109" i="2"/>
  <c r="M108" i="2"/>
  <c r="M107" i="2"/>
  <c r="M106" i="2"/>
  <c r="M105" i="2"/>
  <c r="M104" i="2"/>
  <c r="M103" i="2"/>
  <c r="M102" i="2"/>
  <c r="M101" i="2"/>
  <c r="M100" i="2"/>
  <c r="M99" i="2"/>
  <c r="M98" i="2"/>
  <c r="M97" i="2"/>
  <c r="M96" i="2"/>
  <c r="M95" i="2"/>
  <c r="M94" i="2"/>
  <c r="M93" i="2"/>
  <c r="M92" i="2"/>
  <c r="M91" i="2"/>
  <c r="M90" i="2"/>
  <c r="M89" i="2"/>
  <c r="M88" i="2"/>
  <c r="M87" i="2"/>
  <c r="M86" i="2"/>
  <c r="M85" i="2"/>
  <c r="M84" i="2"/>
  <c r="M83" i="2"/>
  <c r="M82" i="2"/>
  <c r="M81" i="2"/>
  <c r="M80" i="2"/>
  <c r="M79" i="2"/>
  <c r="M78" i="2"/>
  <c r="M77" i="2"/>
  <c r="M76" i="2"/>
  <c r="M75" i="2"/>
  <c r="M74" i="2"/>
  <c r="M73" i="2"/>
  <c r="M72" i="2"/>
  <c r="M71" i="2"/>
  <c r="M70" i="2"/>
  <c r="M69" i="2"/>
  <c r="M68" i="2"/>
  <c r="M67" i="2"/>
  <c r="M66" i="2"/>
  <c r="M65" i="2"/>
  <c r="M64" i="2"/>
  <c r="M63" i="2"/>
  <c r="M62" i="2"/>
  <c r="M61" i="2"/>
  <c r="M60" i="2"/>
  <c r="M59" i="2"/>
  <c r="M58" i="2"/>
  <c r="M57" i="2"/>
  <c r="M56" i="2"/>
  <c r="M55" i="2"/>
  <c r="M54" i="2"/>
  <c r="M53" i="2"/>
  <c r="M52" i="2"/>
  <c r="M51" i="2"/>
  <c r="M50" i="2"/>
  <c r="M49" i="2"/>
  <c r="M48" i="2"/>
  <c r="M47" i="2"/>
  <c r="M46" i="2"/>
  <c r="M45" i="2"/>
  <c r="M44" i="2"/>
  <c r="M43" i="2"/>
  <c r="M42" i="2"/>
  <c r="M41" i="2"/>
  <c r="M40" i="2"/>
  <c r="M39" i="2"/>
  <c r="M38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M4" i="2"/>
  <c r="M3" i="2"/>
  <c r="M2" i="2"/>
  <c r="K26" i="7" l="1"/>
  <c r="L36" i="7"/>
  <c r="L26" i="7"/>
  <c r="L9" i="7"/>
  <c r="M9" i="7"/>
  <c r="S39" i="8"/>
  <c r="L11" i="7"/>
  <c r="M11" i="7"/>
  <c r="L4" i="7"/>
  <c r="K13" i="7"/>
  <c r="M21" i="7"/>
  <c r="K31" i="7"/>
  <c r="K5" i="7"/>
  <c r="L13" i="7"/>
  <c r="L31" i="7"/>
  <c r="C39" i="3"/>
  <c r="M5" i="7"/>
  <c r="N38" i="7"/>
  <c r="K6" i="7"/>
  <c r="K14" i="7"/>
  <c r="L32" i="7"/>
  <c r="L6" i="7"/>
  <c r="K39" i="3"/>
  <c r="D90" i="4"/>
  <c r="M23" i="7"/>
  <c r="L33" i="7"/>
  <c r="E90" i="4"/>
  <c r="K7" i="7"/>
  <c r="L7" i="7"/>
  <c r="K16" i="7"/>
  <c r="L16" i="7"/>
  <c r="K24" i="7"/>
  <c r="K34" i="7"/>
  <c r="L24" i="7"/>
  <c r="L34" i="7"/>
  <c r="K33" i="7"/>
  <c r="L14" i="7"/>
  <c r="K27" i="7"/>
  <c r="L27" i="7"/>
  <c r="K21" i="7"/>
  <c r="L15" i="7"/>
  <c r="K28" i="7"/>
  <c r="L28" i="7"/>
  <c r="K3" i="7"/>
  <c r="K35" i="7"/>
  <c r="L3" i="7"/>
  <c r="L35" i="7"/>
  <c r="K29" i="7"/>
  <c r="K10" i="7"/>
  <c r="L29" i="7"/>
  <c r="L10" i="7"/>
  <c r="K4" i="7"/>
  <c r="K36" i="7"/>
  <c r="K30" i="7"/>
  <c r="K18" i="7"/>
  <c r="M18" i="7"/>
  <c r="L12" i="7"/>
  <c r="K25" i="7"/>
  <c r="M12" i="7"/>
  <c r="M38" i="7" s="1"/>
  <c r="L25" i="7"/>
  <c r="L38" i="7" l="1"/>
  <c r="K38" i="7"/>
</calcChain>
</file>

<file path=xl/sharedStrings.xml><?xml version="1.0" encoding="utf-8"?>
<sst xmlns="http://schemas.openxmlformats.org/spreadsheetml/2006/main" count="1411" uniqueCount="421">
  <si>
    <t>Block 04 - channel design tables (200-year design) - Flood Protection Scheme in North and South Al Batinah</t>
  </si>
  <si>
    <t>Reaches: every reach of the hydraulic model (200-year design, dams in place): length, slope, velocity, percent full, section depth and bed width, design flow; the size text is a formula.</t>
  </si>
  <si>
    <t>Channel sections: per channel, aggregated from the Reaches sheet by formula (length, largest reach flow, first / last / min / max bed width, max velocity, number of reaches).</t>
  </si>
  <si>
    <t>Size inventory: the sections used, counted and measured on the Reaches sheet by formula.</t>
  </si>
  <si>
    <t>Outfalls: the channel ends at the sea: design flow, bed width, invert, existing ground; the 200-year flow depth at the outfall (hydraulic result) and the invert above MHHW by formula (MHHW in the blue cell under the table).</t>
  </si>
  <si>
    <t>Proposed culverts: the design data of the road crossings (cells of 4 m clear width, the full channel depth as clear height); the size text, the overall width and the headwater ratio by formula; the headwater check (inlet and outlet control) as values. Quantities and costs: the BOQ workbook.</t>
  </si>
  <si>
    <t>Dykes: the 200-year flood depth along each dyke, the adopted height, and the quantities of the typical fill section by formula (footprint 4 + 3H + 3 m, a 0.4 m strip, the fill, riprap on both faces). Costs: the BOQ workbook.</t>
  </si>
  <si>
    <t>Channel quantities: cut, fill, clearing and riprap area measured on the designed sections against the 0.5 m terrain model, the corridor area and the land take by land use of the cadastre. Costs: the BOQ workbook.</t>
  </si>
  <si>
    <t>Land take by class: the land-use totals of the corridors by formula.</t>
  </si>
  <si>
    <t>Every derived number in this workbook is a live formula; measured and modelled values (terrain quantities, hydraulic results, flood depths) are values. Every cost is in 'Block 04 - BOQ and cost estimate.xlsx', a formula on a quantity and a rate.</t>
  </si>
  <si>
    <t>Reach</t>
  </si>
  <si>
    <t>Channel</t>
  </si>
  <si>
    <t>Class</t>
  </si>
  <si>
    <t>Length (m)</t>
  </si>
  <si>
    <t>Slope (m/m)</t>
  </si>
  <si>
    <t>Velocity (m/s)</t>
  </si>
  <si>
    <t>Percent full (%)</t>
  </si>
  <si>
    <t>Depth / rise</t>
  </si>
  <si>
    <t>Depth of section (m)</t>
  </si>
  <si>
    <t>Bed width (m)</t>
  </si>
  <si>
    <t>Flow 200-year (m³/s)</t>
  </si>
  <si>
    <t>Manning n</t>
  </si>
  <si>
    <t>Size (depth x width, m)</t>
  </si>
  <si>
    <t>HAWCH1-C1</t>
  </si>
  <si>
    <t>HAW-CH1-FP</t>
  </si>
  <si>
    <t>FP</t>
  </si>
  <si>
    <t>HAWCH1-C2</t>
  </si>
  <si>
    <t>HAWCH1-C3</t>
  </si>
  <si>
    <t>HAWCH1-C4</t>
  </si>
  <si>
    <t>HAWCH1-C5</t>
  </si>
  <si>
    <t>HAWCH1-C6</t>
  </si>
  <si>
    <t>HAWCH1-C7</t>
  </si>
  <si>
    <t>HAWCH2-C1</t>
  </si>
  <si>
    <t>HAW-CH2-SS</t>
  </si>
  <si>
    <t>SS</t>
  </si>
  <si>
    <t>HAWCH2-C2</t>
  </si>
  <si>
    <t>HAWCH2-C3</t>
  </si>
  <si>
    <t>HAWCH2-C4</t>
  </si>
  <si>
    <t>HAWCH2-C5</t>
  </si>
  <si>
    <t>HAWCH2-C6</t>
  </si>
  <si>
    <t>HAWCH2-C7</t>
  </si>
  <si>
    <t>HAWCH2-C8</t>
  </si>
  <si>
    <t>HAWCH3-C1</t>
  </si>
  <si>
    <t>HAW-CH3-SS</t>
  </si>
  <si>
    <t>HAWCH4-C1</t>
  </si>
  <si>
    <t>HAW-CH4-SS</t>
  </si>
  <si>
    <t>HAWCH4-C2</t>
  </si>
  <si>
    <t>HAWCH5-C1</t>
  </si>
  <si>
    <t>HAW-CH5-SS</t>
  </si>
  <si>
    <t>HAWCH5-C2</t>
  </si>
  <si>
    <t>HAWCH5-C3</t>
  </si>
  <si>
    <t>HAWCH5-C4</t>
  </si>
  <si>
    <t>HAWCH5-C5</t>
  </si>
  <si>
    <t>HAWCH5-C6</t>
  </si>
  <si>
    <t>HAWCH5-C7</t>
  </si>
  <si>
    <t>HAWCH6-C1</t>
  </si>
  <si>
    <t>HAW-CH6-SS</t>
  </si>
  <si>
    <t>HAWCH7-C1</t>
  </si>
  <si>
    <t>HAW-CH7-SS</t>
  </si>
  <si>
    <t>HAWCH7-C2</t>
  </si>
  <si>
    <t>HAWCH7-C3</t>
  </si>
  <si>
    <t>HAWCH7-C4</t>
  </si>
  <si>
    <t>HAWCH7-C5</t>
  </si>
  <si>
    <t>HAWCH7-C6</t>
  </si>
  <si>
    <t>SHACH1-C1</t>
  </si>
  <si>
    <t>SHA-CH1-FP</t>
  </si>
  <si>
    <t>SHACH1-C2</t>
  </si>
  <si>
    <t>SHACH1-C3</t>
  </si>
  <si>
    <t>SHACH1-C4</t>
  </si>
  <si>
    <t>SHACH1-C5</t>
  </si>
  <si>
    <t>SHACH1-C6</t>
  </si>
  <si>
    <t>SHACH1-C7</t>
  </si>
  <si>
    <t>SHACH1-C8</t>
  </si>
  <si>
    <t>SHACH1-C9</t>
  </si>
  <si>
    <t>SHACH1-C10</t>
  </si>
  <si>
    <t>SHACH1-C11</t>
  </si>
  <si>
    <t>SHACH1-C12</t>
  </si>
  <si>
    <t>SHACH2-C1</t>
  </si>
  <si>
    <t>SHA-CH2-SM</t>
  </si>
  <si>
    <t>SM</t>
  </si>
  <si>
    <t>SHACH2-C2</t>
  </si>
  <si>
    <t>SHACH2-C3</t>
  </si>
  <si>
    <t>SHACH2-C4</t>
  </si>
  <si>
    <t>SHACH2-C5</t>
  </si>
  <si>
    <t>SHACH2-C6</t>
  </si>
  <si>
    <t>SHACH2-C7</t>
  </si>
  <si>
    <t>SHACH2-C8</t>
  </si>
  <si>
    <t>SHACH3-C1</t>
  </si>
  <si>
    <t>SHA-CH3-SM</t>
  </si>
  <si>
    <t>SHACH3-C2</t>
  </si>
  <si>
    <t>SHACH3-C3</t>
  </si>
  <si>
    <t>SHACH3-C4</t>
  </si>
  <si>
    <t>SHACH3-C5</t>
  </si>
  <si>
    <t>SHACH3-C6</t>
  </si>
  <si>
    <t>SHACH3-C7</t>
  </si>
  <si>
    <t>SHACH3-C8</t>
  </si>
  <si>
    <t>SHACH3-C9</t>
  </si>
  <si>
    <t>SHACH3-C10</t>
  </si>
  <si>
    <t>SHACH3-C11</t>
  </si>
  <si>
    <t>SHACH3-C12</t>
  </si>
  <si>
    <t>SHACH3-C13</t>
  </si>
  <si>
    <t>SHACH3-C14</t>
  </si>
  <si>
    <t>SHACH3-C15</t>
  </si>
  <si>
    <t>SHACH3-C16</t>
  </si>
  <si>
    <t>SHACH4-C1</t>
  </si>
  <si>
    <t>SHA-CH4-SM</t>
  </si>
  <si>
    <t>SHACH4-C2</t>
  </si>
  <si>
    <t>SHACH4-C3</t>
  </si>
  <si>
    <t>SHACH4-C4</t>
  </si>
  <si>
    <t>SHACH4-C5</t>
  </si>
  <si>
    <t>SHACH4-C6</t>
  </si>
  <si>
    <t>SHACH4-C7</t>
  </si>
  <si>
    <t>SHACH4-C8</t>
  </si>
  <si>
    <t>SHACH4-C9</t>
  </si>
  <si>
    <t>SHACH4-C10</t>
  </si>
  <si>
    <t>SHACH5-C1</t>
  </si>
  <si>
    <t>SHA-CH5-SM</t>
  </si>
  <si>
    <t>SHACH5-C2</t>
  </si>
  <si>
    <t>SHACH5-C3</t>
  </si>
  <si>
    <t>SHACH5-C4</t>
  </si>
  <si>
    <t>SHACH5-C5</t>
  </si>
  <si>
    <t>SHACH5-C6</t>
  </si>
  <si>
    <t>SHACH6-C1</t>
  </si>
  <si>
    <t>SHA-CH6-SM</t>
  </si>
  <si>
    <t>SHACH6-C2</t>
  </si>
  <si>
    <t>SHACH6-C3</t>
  </si>
  <si>
    <t>SHACH6-C4</t>
  </si>
  <si>
    <t>SHACH6-C5</t>
  </si>
  <si>
    <t>SHACH6-C6</t>
  </si>
  <si>
    <t>SHACH7-C1</t>
  </si>
  <si>
    <t>SHA-CH7-SM</t>
  </si>
  <si>
    <t>SHACH7-C2</t>
  </si>
  <si>
    <t>SHACH7-C3</t>
  </si>
  <si>
    <t>SHACH7-C4</t>
  </si>
  <si>
    <t>SHACH7-C5</t>
  </si>
  <si>
    <t>SHACH7-C6</t>
  </si>
  <si>
    <t>SHACH7-C7</t>
  </si>
  <si>
    <t>SHACH7-C8</t>
  </si>
  <si>
    <t>SHACH7-C9</t>
  </si>
  <si>
    <t>SHACH8-C1</t>
  </si>
  <si>
    <t>SHA-CH8-SS</t>
  </si>
  <si>
    <t>SHACH8-C2</t>
  </si>
  <si>
    <t>SHACH8-C3</t>
  </si>
  <si>
    <t>SHACH8-C4</t>
  </si>
  <si>
    <t>SHACH8-C5</t>
  </si>
  <si>
    <t>SHACH9-C1</t>
  </si>
  <si>
    <t>SHA-CH9-SS</t>
  </si>
  <si>
    <t>SHACH9-C2</t>
  </si>
  <si>
    <t>SHACH9-C3</t>
  </si>
  <si>
    <t>SHACH9-C4</t>
  </si>
  <si>
    <t>SHACH9-C5</t>
  </si>
  <si>
    <t>SHACH9-C6</t>
  </si>
  <si>
    <t>SHACH10-C1</t>
  </si>
  <si>
    <t>SHA-CH10-SS</t>
  </si>
  <si>
    <t>SHACH10-C2</t>
  </si>
  <si>
    <t>SHACH10-C3</t>
  </si>
  <si>
    <t>SHACH10-C4</t>
  </si>
  <si>
    <t>SHACH10-C5</t>
  </si>
  <si>
    <t>SHACH11-C1</t>
  </si>
  <si>
    <t>SHA-CH11-SS</t>
  </si>
  <si>
    <t>SHACH11-C2</t>
  </si>
  <si>
    <t>SHACH12-C1</t>
  </si>
  <si>
    <t>SHA-CH12-SS</t>
  </si>
  <si>
    <t>SHACH12-C2</t>
  </si>
  <si>
    <t>SHACH12-C3</t>
  </si>
  <si>
    <t>SHACH12-C4</t>
  </si>
  <si>
    <t>SHACH12-C5</t>
  </si>
  <si>
    <t>SHACH13-C1</t>
  </si>
  <si>
    <t>SHA-CH13-SS</t>
  </si>
  <si>
    <t>SHACH14-C1</t>
  </si>
  <si>
    <t>SHA-CH14-SS</t>
  </si>
  <si>
    <t>SHACH14-C2</t>
  </si>
  <si>
    <t>SHACH14-C3</t>
  </si>
  <si>
    <t>SHACH14-C4</t>
  </si>
  <si>
    <t>SHACH15-C1</t>
  </si>
  <si>
    <t>SHA-CH15-SS</t>
  </si>
  <si>
    <t>SHACH15-C2</t>
  </si>
  <si>
    <t>SHACH15-C3</t>
  </si>
  <si>
    <t>SHACH15-C4</t>
  </si>
  <si>
    <t>SHACH15-C5</t>
  </si>
  <si>
    <t>SHACH15-C6</t>
  </si>
  <si>
    <t>SHACH15-C7</t>
  </si>
  <si>
    <t>SHACH15-C8</t>
  </si>
  <si>
    <t>SHACH16-C1</t>
  </si>
  <si>
    <t>SHA-CH16-SS</t>
  </si>
  <si>
    <t>SHACH16-C2</t>
  </si>
  <si>
    <t>SHACH16-C3</t>
  </si>
  <si>
    <t>SHACH16-C4</t>
  </si>
  <si>
    <t>SHACH16-C5</t>
  </si>
  <si>
    <t>SHACH16-C6</t>
  </si>
  <si>
    <t>SHACH16-C7</t>
  </si>
  <si>
    <t>SHACH17-C1</t>
  </si>
  <si>
    <t>SHA-CH17-SS</t>
  </si>
  <si>
    <t>SHACH17-C2</t>
  </si>
  <si>
    <t>SHACH17-C3</t>
  </si>
  <si>
    <t>SHACH17-C4</t>
  </si>
  <si>
    <t>SHACH17-C5</t>
  </si>
  <si>
    <t>SHACH18-C1</t>
  </si>
  <si>
    <t>SHA-CH18-SS</t>
  </si>
  <si>
    <t>SHACH18-C2</t>
  </si>
  <si>
    <t>SHACH18-C3</t>
  </si>
  <si>
    <t>SHACH18-C4</t>
  </si>
  <si>
    <t>SHACH19-C1</t>
  </si>
  <si>
    <t>SHA-CH19-SS</t>
  </si>
  <si>
    <t>SHACH20-C1</t>
  </si>
  <si>
    <t>SHA-CH20-SS</t>
  </si>
  <si>
    <t>SHACH20-C2</t>
  </si>
  <si>
    <t>SHACH20-C3</t>
  </si>
  <si>
    <t>SHACH20-C4</t>
  </si>
  <si>
    <t>SHACH21-C1</t>
  </si>
  <si>
    <t>SHA-CH21-SS</t>
  </si>
  <si>
    <t>SARCH1-C1</t>
  </si>
  <si>
    <t>SAR-CH1-FP</t>
  </si>
  <si>
    <t>SARCH1-C2</t>
  </si>
  <si>
    <t>SARCH1-C3</t>
  </si>
  <si>
    <t>SARCH1-C4</t>
  </si>
  <si>
    <t>SARCH1-C5</t>
  </si>
  <si>
    <t>SARCH1-C6</t>
  </si>
  <si>
    <t>SARCH1-C7</t>
  </si>
  <si>
    <t>SARCH1-C8</t>
  </si>
  <si>
    <t>SARCH1-C9</t>
  </si>
  <si>
    <t>SARCH1-C10</t>
  </si>
  <si>
    <t>SARCH1-C11</t>
  </si>
  <si>
    <t>SARCH1-C12</t>
  </si>
  <si>
    <t>SARCH1-C13</t>
  </si>
  <si>
    <t>SARCH1-C14</t>
  </si>
  <si>
    <t>SARCH2-C1</t>
  </si>
  <si>
    <t>SAR-CH2-SM</t>
  </si>
  <si>
    <t>SARCH2-C2</t>
  </si>
  <si>
    <t>SARCH2-C3</t>
  </si>
  <si>
    <t>SARCH2-C4</t>
  </si>
  <si>
    <t>SARCH2-C5</t>
  </si>
  <si>
    <t>SARCH2-C6</t>
  </si>
  <si>
    <t>SARCH3-C1</t>
  </si>
  <si>
    <t>SAR-CH3-SS</t>
  </si>
  <si>
    <t>SARCH3-C2</t>
  </si>
  <si>
    <t>SARCH3-C3</t>
  </si>
  <si>
    <t>SARCH3-C4</t>
  </si>
  <si>
    <t>SARCH4-C1</t>
  </si>
  <si>
    <t>SAR-CH4-SS</t>
  </si>
  <si>
    <t>SARCH4-C2</t>
  </si>
  <si>
    <t>SAKCH1-C1</t>
  </si>
  <si>
    <t>SAK-CH1-FP</t>
  </si>
  <si>
    <t>SAKCH1-C2</t>
  </si>
  <si>
    <t>SAKCH1-C3</t>
  </si>
  <si>
    <t>SAKCH1-C4</t>
  </si>
  <si>
    <t>SAKCH1-C5</t>
  </si>
  <si>
    <t>SAKCH1-C6</t>
  </si>
  <si>
    <t>SAKCH1-C7</t>
  </si>
  <si>
    <t>SAKCH1-C8</t>
  </si>
  <si>
    <t>SAKCH1-C9</t>
  </si>
  <si>
    <t>SAKCH1-C10</t>
  </si>
  <si>
    <t>SAKCH1-C11</t>
  </si>
  <si>
    <t>SAKCH1-C12</t>
  </si>
  <si>
    <t>SAKCH2-C1</t>
  </si>
  <si>
    <t>SAK-CH2-FP</t>
  </si>
  <si>
    <t>SAKCH2-C2</t>
  </si>
  <si>
    <t>SAKCH2-C3</t>
  </si>
  <si>
    <t>SAKCH2-C4</t>
  </si>
  <si>
    <t>SAKCH2-C5</t>
  </si>
  <si>
    <t>SAKCH2-C6</t>
  </si>
  <si>
    <t>SAKCH2-C7</t>
  </si>
  <si>
    <t>SAKCH3-C1</t>
  </si>
  <si>
    <t>SAK-CH3-SM</t>
  </si>
  <si>
    <t>SAKCH3-C2</t>
  </si>
  <si>
    <t>SAKCH3-C3</t>
  </si>
  <si>
    <t>SAKCH3-C4</t>
  </si>
  <si>
    <t>SAKCH3-C5</t>
  </si>
  <si>
    <t>SAKCH3-C6</t>
  </si>
  <si>
    <t>SAKCH4-C1</t>
  </si>
  <si>
    <t>SAK-CH4-SS</t>
  </si>
  <si>
    <t>SAKCH4-C2</t>
  </si>
  <si>
    <t>SAKCH5-C1</t>
  </si>
  <si>
    <t>SAK-CH5-SS</t>
  </si>
  <si>
    <t>SAKCH5-C2</t>
  </si>
  <si>
    <t>Length (km)</t>
  </si>
  <si>
    <t>Design flow 200-year (m³/s)</t>
  </si>
  <si>
    <t>Bed width, first reach (m)</t>
  </si>
  <si>
    <t>Bed width, last reach (m)</t>
  </si>
  <si>
    <t>Bed width, min (m)</t>
  </si>
  <si>
    <t>Bed width, max (m)</t>
  </si>
  <si>
    <t>Depths used (m)</t>
  </si>
  <si>
    <t>Velocity, max (m/s)</t>
  </si>
  <si>
    <t>Reaches</t>
  </si>
  <si>
    <t>2.5, 3.0</t>
  </si>
  <si>
    <t>2.5</t>
  </si>
  <si>
    <t>Total</t>
  </si>
  <si>
    <t>Outfall</t>
  </si>
  <si>
    <t>Invert (m)</t>
  </si>
  <si>
    <t>Existing ground (m)</t>
  </si>
  <si>
    <t>Flow depth 200-year (m)</t>
  </si>
  <si>
    <t>Invert above MHHW (m)</t>
  </si>
  <si>
    <t>HAWCH1-O13</t>
  </si>
  <si>
    <t>HAWCH7-O14</t>
  </si>
  <si>
    <t>SAKCH2-O1</t>
  </si>
  <si>
    <t>SAKCH3-O2</t>
  </si>
  <si>
    <t>SAKCH5-O3</t>
  </si>
  <si>
    <t>SARCH1-O5</t>
  </si>
  <si>
    <t>SARCH2-O4</t>
  </si>
  <si>
    <t>SHACH1-O11</t>
  </si>
  <si>
    <t>SHACH13-O15</t>
  </si>
  <si>
    <t>SHACH16-O8</t>
  </si>
  <si>
    <t>SHACH19-O10</t>
  </si>
  <si>
    <t>SHACH3-O7</t>
  </si>
  <si>
    <t>SHACH4-O6</t>
  </si>
  <si>
    <t>SHACH6-O9</t>
  </si>
  <si>
    <t>SHACH7-O12</t>
  </si>
  <si>
    <t>MHHW (m)</t>
  </si>
  <si>
    <t>ID</t>
  </si>
  <si>
    <t>Road</t>
  </si>
  <si>
    <t>Station (m)</t>
  </si>
  <si>
    <t>Channel bed width (m)</t>
  </si>
  <si>
    <t>Channel depth (m)</t>
  </si>
  <si>
    <t>Cells</t>
  </si>
  <si>
    <t>Cell width (m)</t>
  </si>
  <si>
    <t>Cell height (m)</t>
  </si>
  <si>
    <t>Cells x width x height (m)</t>
  </si>
  <si>
    <t>Overall width (m)</t>
  </si>
  <si>
    <t>Length across the road (m)</t>
  </si>
  <si>
    <t>Skew (deg)</t>
  </si>
  <si>
    <t>Headwater (m)</t>
  </si>
  <si>
    <t>Headwater / height</t>
  </si>
  <si>
    <t>Control</t>
  </si>
  <si>
    <t>Tailwater (m)</t>
  </si>
  <si>
    <t>Existing structure</t>
  </si>
  <si>
    <t>Existing size (cells x W x H, m)</t>
  </si>
  <si>
    <t>Existing barrels</t>
  </si>
  <si>
    <t>Existing structures (no.)</t>
  </si>
  <si>
    <t>Existing waterway width (m)</t>
  </si>
  <si>
    <t>Existing clear height (m)</t>
  </si>
  <si>
    <t>Batinah Coastal Road</t>
  </si>
  <si>
    <t>outlet</t>
  </si>
  <si>
    <t>None</t>
  </si>
  <si>
    <t>–</t>
  </si>
  <si>
    <t>Batinah Highway</t>
  </si>
  <si>
    <t>Culvert</t>
  </si>
  <si>
    <t>1x2x2</t>
  </si>
  <si>
    <t>North Batinah Bypass</t>
  </si>
  <si>
    <t>inlet</t>
  </si>
  <si>
    <t>11x2x1</t>
  </si>
  <si>
    <t>18x4x1</t>
  </si>
  <si>
    <t>2x2x1</t>
  </si>
  <si>
    <t>4x2x1.5</t>
  </si>
  <si>
    <t>3x2x1</t>
  </si>
  <si>
    <t>3x1.5x1</t>
  </si>
  <si>
    <t>4x0.9x1</t>
  </si>
  <si>
    <t>1x2x1</t>
  </si>
  <si>
    <t>9x2x1</t>
  </si>
  <si>
    <t>4x3x2</t>
  </si>
  <si>
    <t>24x2x1</t>
  </si>
  <si>
    <t>14x2x1</t>
  </si>
  <si>
    <t>Dyke</t>
  </si>
  <si>
    <t>Wet length (%)</t>
  </si>
  <si>
    <t>200-year depth, mean (m)</t>
  </si>
  <si>
    <t>Depth, 90 % (m)</t>
  </si>
  <si>
    <t>Depth, max (m)</t>
  </si>
  <si>
    <t>Height (m)</t>
  </si>
  <si>
    <t>Footprint width (m)</t>
  </si>
  <si>
    <t>Clearing (m²)</t>
  </si>
  <si>
    <t>Excavation, 0.4 m strip (m³)</t>
  </si>
  <si>
    <t>Fill (m³)</t>
  </si>
  <si>
    <t>Riprap (m³)</t>
  </si>
  <si>
    <t>HAW-D1-FP</t>
  </si>
  <si>
    <t>FP D</t>
  </si>
  <si>
    <t>HAW-D2-FP</t>
  </si>
  <si>
    <t>HAW-D3-FP</t>
  </si>
  <si>
    <t>SHA-D1-FP</t>
  </si>
  <si>
    <t>SHA-D2-FP</t>
  </si>
  <si>
    <t>SHA-D3-FP</t>
  </si>
  <si>
    <t>SHA-D4-FP</t>
  </si>
  <si>
    <t>SHA-D5-FP</t>
  </si>
  <si>
    <t>SHA-D6-FP</t>
  </si>
  <si>
    <t>SHA-D7-FP</t>
  </si>
  <si>
    <t>SHA-D8-FP</t>
  </si>
  <si>
    <t>SHA-D9-FP</t>
  </si>
  <si>
    <t>SHA-D10-SM</t>
  </si>
  <si>
    <t>Sw M D</t>
  </si>
  <si>
    <t>SHA-D11-SM</t>
  </si>
  <si>
    <t>SHA-D12-SM</t>
  </si>
  <si>
    <t>SHA-D13-SM</t>
  </si>
  <si>
    <t>SHA-D14-SM</t>
  </si>
  <si>
    <t>SHA-D15-SS</t>
  </si>
  <si>
    <t>Sw S D</t>
  </si>
  <si>
    <t>SHA-D16-SS</t>
  </si>
  <si>
    <t>SHA-D17-SS</t>
  </si>
  <si>
    <t>SHA-D18-SS</t>
  </si>
  <si>
    <t>SHA-D19-SS</t>
  </si>
  <si>
    <t>SHA-D20-SS</t>
  </si>
  <si>
    <t>SHA-D21-SS</t>
  </si>
  <si>
    <t>SHA-D22-SS</t>
  </si>
  <si>
    <t>SHA-D23-SS</t>
  </si>
  <si>
    <t>SAR-D1-FP</t>
  </si>
  <si>
    <t>SAR-D2-FP</t>
  </si>
  <si>
    <t>SAR-D3-SM</t>
  </si>
  <si>
    <t>SAR-D4-SM</t>
  </si>
  <si>
    <t>SAK-D1-FP</t>
  </si>
  <si>
    <t>SAK-D2-FP</t>
  </si>
  <si>
    <t>SAK-D3-FP</t>
  </si>
  <si>
    <t>SAK-D4-FP</t>
  </si>
  <si>
    <t>SAK-D5-FP</t>
  </si>
  <si>
    <t>SAK-D6-FP</t>
  </si>
  <si>
    <t>Cut (m³)</t>
  </si>
  <si>
    <t>Riprap area (m²)</t>
  </si>
  <si>
    <t>Corridor (ha)</t>
  </si>
  <si>
    <t>Agricultural (ha)</t>
  </si>
  <si>
    <t>Commercial (ha)</t>
  </si>
  <si>
    <t>Government (ha)</t>
  </si>
  <si>
    <t>Not Classified (ha)</t>
  </si>
  <si>
    <t>Other (ha)</t>
  </si>
  <si>
    <t>Residential (ha)</t>
  </si>
  <si>
    <t>Residential Commercial (ha)</t>
  </si>
  <si>
    <t>Land in cadastral parcels (ha)</t>
  </si>
  <si>
    <t>Land use (cadastre)</t>
  </si>
  <si>
    <t>Area in the corridors (ha)</t>
  </si>
  <si>
    <t>Agricultural</t>
  </si>
  <si>
    <t>Commercial</t>
  </si>
  <si>
    <t>Government</t>
  </si>
  <si>
    <t>Not Classified</t>
  </si>
  <si>
    <t>Other</t>
  </si>
  <si>
    <t>Residential</t>
  </si>
  <si>
    <t>Residential Commercial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</si>
</sst>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b/>
      <sz val="10"/>
      <name val="Arial"/>
    </font>
    <font>
      <sz val="10"/>
      <color rgb="FF0000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F5F8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3" fillId="0" borderId="0" xfId="0" applyFont="1"/>
    <xf numFmtId="0" fontId="2" fillId="0" borderId="0" xfId="0" applyFont="1"/>
    <xf numFmtId="0" fontId="1" fillId="2" borderId="0" xfId="0" applyFont="1" applyFill="1" applyAlignment="1">
      <alignment horizontal="center" vertical="center"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2"/>
  <sheetViews>
    <sheetView tabSelected="1" workbookViewId="0"/>
  </sheetViews>
  <sheetFormatPr defaultRowHeight="15" x14ac:dyDescent="0.25"/>
  <cols>
    <col min="1" max="1" width="150" customWidth="1"/>
  </cols>
  <sheetData>
    <row r="1" spans="1:1" x14ac:dyDescent="0.25">
      <c r="A1" s="1" t="s">
        <v>0</v>
      </c>
    </row>
    <row r="2" spans="1:1" x14ac:dyDescent="0.25">
      <c r="A2" s="2"/>
    </row>
    <row r="3" spans="1:1" x14ac:dyDescent="0.25">
      <c r="A3" s="2" t="s">
        <v>1</v>
      </c>
    </row>
    <row r="4" spans="1:1" x14ac:dyDescent="0.25">
      <c r="A4" s="2" t="s">
        <v>2</v>
      </c>
    </row>
    <row r="5" spans="1:1" x14ac:dyDescent="0.25">
      <c r="A5" s="2" t="s">
        <v>3</v>
      </c>
    </row>
    <row r="6" spans="1:1" x14ac:dyDescent="0.25">
      <c r="A6" s="2" t="s">
        <v>4</v>
      </c>
    </row>
    <row r="7" spans="1:1" x14ac:dyDescent="0.25">
      <c r="A7" s="2" t="s">
        <v>5</v>
      </c>
    </row>
    <row r="8" spans="1:1" x14ac:dyDescent="0.25">
      <c r="A8" s="2" t="s">
        <v>6</v>
      </c>
    </row>
    <row r="9" spans="1:1" x14ac:dyDescent="0.25">
      <c r="A9" s="2" t="s">
        <v>7</v>
      </c>
    </row>
    <row r="10" spans="1:1" x14ac:dyDescent="0.25">
      <c r="A10" s="2" t="s">
        <v>8</v>
      </c>
    </row>
    <row r="11" spans="1:1" x14ac:dyDescent="0.25">
      <c r="A11" s="2"/>
    </row>
    <row r="12" spans="1:1" x14ac:dyDescent="0.25">
      <c r="A12" s="2" t="s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13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4" customWidth="1"/>
    <col min="2" max="2" width="13" customWidth="1"/>
    <col min="3" max="3" width="7" customWidth="1"/>
    <col min="4" max="8" width="10" customWidth="1"/>
    <col min="9" max="10" width="11" customWidth="1"/>
    <col min="11" max="11" width="12" customWidth="1"/>
    <col min="12" max="12" width="9" customWidth="1"/>
    <col min="13" max="13" width="16" customWidth="1"/>
  </cols>
  <sheetData>
    <row r="1" spans="1:13" ht="42" customHeight="1" x14ac:dyDescent="0.25">
      <c r="A1" s="3" t="s">
        <v>10</v>
      </c>
      <c r="B1" s="3" t="s">
        <v>11</v>
      </c>
      <c r="C1" s="3" t="s">
        <v>12</v>
      </c>
      <c r="D1" s="3" t="s">
        <v>13</v>
      </c>
      <c r="E1" s="3" t="s">
        <v>14</v>
      </c>
      <c r="F1" s="3" t="s">
        <v>15</v>
      </c>
      <c r="G1" s="3" t="s">
        <v>16</v>
      </c>
      <c r="H1" s="3" t="s">
        <v>17</v>
      </c>
      <c r="I1" s="3" t="s">
        <v>18</v>
      </c>
      <c r="J1" s="3" t="s">
        <v>19</v>
      </c>
      <c r="K1" s="3" t="s">
        <v>20</v>
      </c>
      <c r="L1" s="3" t="s">
        <v>21</v>
      </c>
      <c r="M1" s="3" t="s">
        <v>22</v>
      </c>
    </row>
    <row r="2" spans="1:13" x14ac:dyDescent="0.25">
      <c r="A2" s="2" t="s">
        <v>23</v>
      </c>
      <c r="B2" s="2" t="s">
        <v>24</v>
      </c>
      <c r="C2" s="2" t="s">
        <v>25</v>
      </c>
      <c r="D2" s="2">
        <v>1044.18</v>
      </c>
      <c r="E2" s="2">
        <v>4.7070653865484997E-3</v>
      </c>
      <c r="F2" s="2">
        <v>3.2019251927343921</v>
      </c>
      <c r="G2" s="2"/>
      <c r="H2" s="2"/>
      <c r="I2" s="2">
        <v>2.5</v>
      </c>
      <c r="J2" s="2">
        <v>29</v>
      </c>
      <c r="K2" s="2">
        <v>173.6739938058173</v>
      </c>
      <c r="L2" s="2">
        <v>0.03</v>
      </c>
      <c r="M2" s="2" t="str">
        <f t="shared" ref="M2:M65" si="0">TEXT(I2,"0.0")&amp;" x "&amp;IF(J2=INT(J2),TEXT(J2,"0"),TEXT(J2,"0.0"))</f>
        <v>2.5 x 29</v>
      </c>
    </row>
    <row r="3" spans="1:13" x14ac:dyDescent="0.25">
      <c r="A3" s="2" t="s">
        <v>26</v>
      </c>
      <c r="B3" s="2" t="s">
        <v>24</v>
      </c>
      <c r="C3" s="2" t="s">
        <v>25</v>
      </c>
      <c r="D3" s="2">
        <v>2089.9299999999998</v>
      </c>
      <c r="E3" s="2">
        <v>5.8154946519833996E-3</v>
      </c>
      <c r="F3" s="2">
        <v>3.421697533556344</v>
      </c>
      <c r="G3" s="2"/>
      <c r="H3" s="2"/>
      <c r="I3" s="2">
        <v>2.5</v>
      </c>
      <c r="J3" s="2">
        <v>29</v>
      </c>
      <c r="K3" s="2">
        <v>173.6739938058173</v>
      </c>
      <c r="L3" s="2">
        <v>0.03</v>
      </c>
      <c r="M3" s="2" t="str">
        <f t="shared" si="0"/>
        <v>2.5 x 29</v>
      </c>
    </row>
    <row r="4" spans="1:13" x14ac:dyDescent="0.25">
      <c r="A4" s="2" t="s">
        <v>27</v>
      </c>
      <c r="B4" s="2" t="s">
        <v>24</v>
      </c>
      <c r="C4" s="2" t="s">
        <v>25</v>
      </c>
      <c r="D4" s="2">
        <v>496.78</v>
      </c>
      <c r="E4" s="2">
        <v>1.20334714894622E-2</v>
      </c>
      <c r="F4" s="2">
        <v>4.2936286128584502</v>
      </c>
      <c r="G4" s="2"/>
      <c r="H4" s="2"/>
      <c r="I4" s="2">
        <v>2.5</v>
      </c>
      <c r="J4" s="2">
        <v>29</v>
      </c>
      <c r="K4" s="2">
        <v>173.6739938058173</v>
      </c>
      <c r="L4" s="2">
        <v>0.03</v>
      </c>
      <c r="M4" s="2" t="str">
        <f t="shared" si="0"/>
        <v>2.5 x 29</v>
      </c>
    </row>
    <row r="5" spans="1:13" x14ac:dyDescent="0.25">
      <c r="A5" s="2" t="s">
        <v>28</v>
      </c>
      <c r="B5" s="2" t="s">
        <v>24</v>
      </c>
      <c r="C5" s="2" t="s">
        <v>25</v>
      </c>
      <c r="D5" s="2">
        <v>2727.18</v>
      </c>
      <c r="E5" s="2">
        <v>5.6101886893458004E-3</v>
      </c>
      <c r="F5" s="2">
        <v>3.383425741774917</v>
      </c>
      <c r="G5" s="2"/>
      <c r="H5" s="2"/>
      <c r="I5" s="2">
        <v>2.5</v>
      </c>
      <c r="J5" s="2">
        <v>29</v>
      </c>
      <c r="K5" s="2">
        <v>173.6739938058173</v>
      </c>
      <c r="L5" s="2">
        <v>0.03</v>
      </c>
      <c r="M5" s="2" t="str">
        <f t="shared" si="0"/>
        <v>2.5 x 29</v>
      </c>
    </row>
    <row r="6" spans="1:13" x14ac:dyDescent="0.25">
      <c r="A6" s="2" t="s">
        <v>29</v>
      </c>
      <c r="B6" s="2" t="s">
        <v>24</v>
      </c>
      <c r="C6" s="2" t="s">
        <v>25</v>
      </c>
      <c r="D6" s="2">
        <v>264.26</v>
      </c>
      <c r="E6" s="2">
        <v>1E-3</v>
      </c>
      <c r="F6" s="2">
        <v>1.536412757445536</v>
      </c>
      <c r="G6" s="2"/>
      <c r="H6" s="2"/>
      <c r="I6" s="2">
        <v>2.5</v>
      </c>
      <c r="J6" s="2">
        <v>60.5</v>
      </c>
      <c r="K6" s="2">
        <v>173.6739938058173</v>
      </c>
      <c r="L6" s="2">
        <v>0.03</v>
      </c>
      <c r="M6" s="2" t="str">
        <f t="shared" si="0"/>
        <v>2.5 x 60.5</v>
      </c>
    </row>
    <row r="7" spans="1:13" x14ac:dyDescent="0.25">
      <c r="A7" s="2" t="s">
        <v>30</v>
      </c>
      <c r="B7" s="2" t="s">
        <v>24</v>
      </c>
      <c r="C7" s="2" t="s">
        <v>25</v>
      </c>
      <c r="D7" s="2">
        <v>415.31</v>
      </c>
      <c r="E7" s="2">
        <v>2.0316177267316999E-3</v>
      </c>
      <c r="F7" s="2">
        <v>2.2217342972363672</v>
      </c>
      <c r="G7" s="2"/>
      <c r="H7" s="2"/>
      <c r="I7" s="2">
        <v>2.5</v>
      </c>
      <c r="J7" s="2">
        <v>89.5</v>
      </c>
      <c r="K7" s="2">
        <v>372.53300183320431</v>
      </c>
      <c r="L7" s="2">
        <v>0.03</v>
      </c>
      <c r="M7" s="2" t="str">
        <f t="shared" si="0"/>
        <v>2.5 x 89.5</v>
      </c>
    </row>
    <row r="8" spans="1:13" x14ac:dyDescent="0.25">
      <c r="A8" s="2" t="s">
        <v>31</v>
      </c>
      <c r="B8" s="2" t="s">
        <v>24</v>
      </c>
      <c r="C8" s="2" t="s">
        <v>25</v>
      </c>
      <c r="D8" s="2">
        <v>1166.26</v>
      </c>
      <c r="E8" s="2">
        <v>2.3339654259539998E-3</v>
      </c>
      <c r="F8" s="2">
        <v>2.127826075943561</v>
      </c>
      <c r="G8" s="2"/>
      <c r="H8" s="2"/>
      <c r="I8" s="2">
        <v>3</v>
      </c>
      <c r="J8" s="2">
        <v>89.5</v>
      </c>
      <c r="K8" s="2">
        <v>299.41298673083912</v>
      </c>
      <c r="L8" s="2">
        <v>0.03</v>
      </c>
      <c r="M8" s="2" t="str">
        <f t="shared" si="0"/>
        <v>3.0 x 89.5</v>
      </c>
    </row>
    <row r="9" spans="1:13" x14ac:dyDescent="0.25">
      <c r="A9" s="2" t="s">
        <v>32</v>
      </c>
      <c r="B9" s="2" t="s">
        <v>33</v>
      </c>
      <c r="C9" s="2" t="s">
        <v>34</v>
      </c>
      <c r="D9" s="2">
        <v>1507.8</v>
      </c>
      <c r="E9" s="2">
        <v>6.5844276429236001E-3</v>
      </c>
      <c r="F9" s="2">
        <v>0</v>
      </c>
      <c r="G9" s="2"/>
      <c r="H9" s="2"/>
      <c r="I9" s="2">
        <v>2.5</v>
      </c>
      <c r="J9" s="2">
        <v>10</v>
      </c>
      <c r="K9" s="2">
        <v>0</v>
      </c>
      <c r="L9" s="2">
        <v>0.03</v>
      </c>
      <c r="M9" s="2" t="str">
        <f t="shared" si="0"/>
        <v>2.5 x 10</v>
      </c>
    </row>
    <row r="10" spans="1:13" x14ac:dyDescent="0.25">
      <c r="A10" s="2" t="s">
        <v>35</v>
      </c>
      <c r="B10" s="2" t="s">
        <v>33</v>
      </c>
      <c r="C10" s="2" t="s">
        <v>34</v>
      </c>
      <c r="D10" s="2">
        <v>1084.7</v>
      </c>
      <c r="E10" s="2">
        <v>5.9140885297104999E-3</v>
      </c>
      <c r="F10" s="2">
        <v>3.4659768074758559</v>
      </c>
      <c r="G10" s="2"/>
      <c r="H10" s="2"/>
      <c r="I10" s="2">
        <v>2.5</v>
      </c>
      <c r="J10" s="2">
        <v>20.5</v>
      </c>
      <c r="K10" s="2">
        <v>131.94599587332931</v>
      </c>
      <c r="L10" s="2">
        <v>0.03</v>
      </c>
      <c r="M10" s="2" t="str">
        <f t="shared" si="0"/>
        <v>2.5 x 20.5</v>
      </c>
    </row>
    <row r="11" spans="1:13" x14ac:dyDescent="0.25">
      <c r="A11" s="2" t="s">
        <v>36</v>
      </c>
      <c r="B11" s="2" t="s">
        <v>33</v>
      </c>
      <c r="C11" s="2" t="s">
        <v>34</v>
      </c>
      <c r="D11" s="2">
        <v>902.25</v>
      </c>
      <c r="E11" s="2">
        <v>2.4195148335211E-3</v>
      </c>
      <c r="F11" s="2">
        <v>2.3075028990957449</v>
      </c>
      <c r="G11" s="2"/>
      <c r="H11" s="2"/>
      <c r="I11" s="2">
        <v>2.5</v>
      </c>
      <c r="J11" s="2">
        <v>30.5</v>
      </c>
      <c r="K11" s="2">
        <v>131.94599587332931</v>
      </c>
      <c r="L11" s="2">
        <v>0.03</v>
      </c>
      <c r="M11" s="2" t="str">
        <f t="shared" si="0"/>
        <v>2.5 x 30.5</v>
      </c>
    </row>
    <row r="12" spans="1:13" x14ac:dyDescent="0.25">
      <c r="A12" s="2" t="s">
        <v>37</v>
      </c>
      <c r="B12" s="2" t="s">
        <v>33</v>
      </c>
      <c r="C12" s="2" t="s">
        <v>34</v>
      </c>
      <c r="D12" s="2">
        <v>500</v>
      </c>
      <c r="E12" s="2">
        <v>9.9860998610012998E-3</v>
      </c>
      <c r="F12" s="2">
        <v>3.587265624887932</v>
      </c>
      <c r="G12" s="2"/>
      <c r="H12" s="2"/>
      <c r="I12" s="2">
        <v>2.5</v>
      </c>
      <c r="J12" s="2">
        <v>30.5</v>
      </c>
      <c r="K12" s="2">
        <v>131.94599587332931</v>
      </c>
      <c r="L12" s="2">
        <v>0.03</v>
      </c>
      <c r="M12" s="2" t="str">
        <f t="shared" si="0"/>
        <v>2.5 x 30.5</v>
      </c>
    </row>
    <row r="13" spans="1:13" x14ac:dyDescent="0.25">
      <c r="A13" s="2" t="s">
        <v>38</v>
      </c>
      <c r="B13" s="2" t="s">
        <v>33</v>
      </c>
      <c r="C13" s="2" t="s">
        <v>34</v>
      </c>
      <c r="D13" s="2">
        <v>2045.67</v>
      </c>
      <c r="E13" s="2">
        <v>3.7977703192198999E-3</v>
      </c>
      <c r="F13" s="2">
        <v>2.6570686254168221</v>
      </c>
      <c r="G13" s="2"/>
      <c r="H13" s="2"/>
      <c r="I13" s="2">
        <v>2.5</v>
      </c>
      <c r="J13" s="2">
        <v>30.5</v>
      </c>
      <c r="K13" s="2">
        <v>131.94599587332931</v>
      </c>
      <c r="L13" s="2">
        <v>0.03</v>
      </c>
      <c r="M13" s="2" t="str">
        <f t="shared" si="0"/>
        <v>2.5 x 30.5</v>
      </c>
    </row>
    <row r="14" spans="1:13" x14ac:dyDescent="0.25">
      <c r="A14" s="2" t="s">
        <v>39</v>
      </c>
      <c r="B14" s="2" t="s">
        <v>33</v>
      </c>
      <c r="C14" s="2" t="s">
        <v>34</v>
      </c>
      <c r="D14" s="2">
        <v>739.87</v>
      </c>
      <c r="E14" s="2">
        <v>5.2279737141599E-3</v>
      </c>
      <c r="F14" s="2">
        <v>3.366720075448991</v>
      </c>
      <c r="G14" s="2"/>
      <c r="H14" s="2"/>
      <c r="I14" s="2">
        <v>2.5</v>
      </c>
      <c r="J14" s="2">
        <v>30.5</v>
      </c>
      <c r="K14" s="2">
        <v>190.11200608234529</v>
      </c>
      <c r="L14" s="2">
        <v>0.03</v>
      </c>
      <c r="M14" s="2" t="str">
        <f t="shared" si="0"/>
        <v>2.5 x 30.5</v>
      </c>
    </row>
    <row r="15" spans="1:13" x14ac:dyDescent="0.25">
      <c r="A15" s="2" t="s">
        <v>40</v>
      </c>
      <c r="B15" s="2" t="s">
        <v>33</v>
      </c>
      <c r="C15" s="2" t="s">
        <v>34</v>
      </c>
      <c r="D15" s="2">
        <v>363.53</v>
      </c>
      <c r="E15" s="2">
        <v>1.9448081599420001E-3</v>
      </c>
      <c r="F15" s="2">
        <v>2.1332571397780788</v>
      </c>
      <c r="G15" s="2"/>
      <c r="H15" s="2"/>
      <c r="I15" s="2">
        <v>2.5</v>
      </c>
      <c r="J15" s="2">
        <v>54</v>
      </c>
      <c r="K15" s="2">
        <v>215.32600082637049</v>
      </c>
      <c r="L15" s="2">
        <v>0.03</v>
      </c>
      <c r="M15" s="2" t="str">
        <f t="shared" si="0"/>
        <v>2.5 x 54</v>
      </c>
    </row>
    <row r="16" spans="1:13" x14ac:dyDescent="0.25">
      <c r="A16" s="2" t="s">
        <v>41</v>
      </c>
      <c r="B16" s="2" t="s">
        <v>33</v>
      </c>
      <c r="C16" s="2" t="s">
        <v>34</v>
      </c>
      <c r="D16" s="2">
        <v>577.9</v>
      </c>
      <c r="E16" s="2">
        <v>3.4850497290238001E-3</v>
      </c>
      <c r="F16" s="2">
        <v>2.5521043929408691</v>
      </c>
      <c r="G16" s="2"/>
      <c r="H16" s="2"/>
      <c r="I16" s="2">
        <v>2.5</v>
      </c>
      <c r="J16" s="2">
        <v>54</v>
      </c>
      <c r="K16" s="2">
        <v>215.32600082637049</v>
      </c>
      <c r="L16" s="2">
        <v>0.03</v>
      </c>
      <c r="M16" s="2" t="str">
        <f t="shared" si="0"/>
        <v>2.5 x 54</v>
      </c>
    </row>
    <row r="17" spans="1:13" x14ac:dyDescent="0.25">
      <c r="A17" s="2" t="s">
        <v>42</v>
      </c>
      <c r="B17" s="2" t="s">
        <v>43</v>
      </c>
      <c r="C17" s="2" t="s">
        <v>34</v>
      </c>
      <c r="D17" s="2">
        <v>1440.39</v>
      </c>
      <c r="E17" s="2">
        <v>8.1755583993752007E-3</v>
      </c>
      <c r="F17" s="2">
        <v>0</v>
      </c>
      <c r="G17" s="2"/>
      <c r="H17" s="2"/>
      <c r="I17" s="2">
        <v>2.5</v>
      </c>
      <c r="J17" s="2">
        <v>10</v>
      </c>
      <c r="K17" s="2">
        <v>0</v>
      </c>
      <c r="L17" s="2">
        <v>0.03</v>
      </c>
      <c r="M17" s="2" t="str">
        <f t="shared" si="0"/>
        <v>2.5 x 10</v>
      </c>
    </row>
    <row r="18" spans="1:13" x14ac:dyDescent="0.25">
      <c r="A18" s="2" t="s">
        <v>44</v>
      </c>
      <c r="B18" s="2" t="s">
        <v>45</v>
      </c>
      <c r="C18" s="2" t="s">
        <v>34</v>
      </c>
      <c r="D18" s="2">
        <v>801.06</v>
      </c>
      <c r="E18" s="2">
        <v>7.8671055867419008E-3</v>
      </c>
      <c r="F18" s="2">
        <v>0</v>
      </c>
      <c r="G18" s="2"/>
      <c r="H18" s="2"/>
      <c r="I18" s="2">
        <v>2.5</v>
      </c>
      <c r="J18" s="2">
        <v>10</v>
      </c>
      <c r="K18" s="2">
        <v>0</v>
      </c>
      <c r="L18" s="2">
        <v>0.03</v>
      </c>
      <c r="M18" s="2" t="str">
        <f t="shared" si="0"/>
        <v>2.5 x 10</v>
      </c>
    </row>
    <row r="19" spans="1:13" x14ac:dyDescent="0.25">
      <c r="A19" s="2" t="s">
        <v>46</v>
      </c>
      <c r="B19" s="2" t="s">
        <v>45</v>
      </c>
      <c r="C19" s="2" t="s">
        <v>34</v>
      </c>
      <c r="D19" s="2">
        <v>584.23</v>
      </c>
      <c r="E19" s="2">
        <v>5.8829767897515001E-3</v>
      </c>
      <c r="F19" s="2">
        <v>0</v>
      </c>
      <c r="G19" s="2"/>
      <c r="H19" s="2"/>
      <c r="I19" s="2">
        <v>2.5</v>
      </c>
      <c r="J19" s="2">
        <v>10</v>
      </c>
      <c r="K19" s="2">
        <v>0</v>
      </c>
      <c r="L19" s="2">
        <v>0.03</v>
      </c>
      <c r="M19" s="2" t="str">
        <f t="shared" si="0"/>
        <v>2.5 x 10</v>
      </c>
    </row>
    <row r="20" spans="1:13" x14ac:dyDescent="0.25">
      <c r="A20" s="2" t="s">
        <v>47</v>
      </c>
      <c r="B20" s="2" t="s">
        <v>48</v>
      </c>
      <c r="C20" s="2" t="s">
        <v>34</v>
      </c>
      <c r="D20" s="2">
        <v>1213.96</v>
      </c>
      <c r="E20" s="2">
        <v>6.7959405581710999E-3</v>
      </c>
      <c r="F20" s="2">
        <v>0</v>
      </c>
      <c r="G20" s="2"/>
      <c r="H20" s="2"/>
      <c r="I20" s="2">
        <v>2.5</v>
      </c>
      <c r="J20" s="2">
        <v>10</v>
      </c>
      <c r="K20" s="2">
        <v>0</v>
      </c>
      <c r="L20" s="2">
        <v>0.03</v>
      </c>
      <c r="M20" s="2" t="str">
        <f t="shared" si="0"/>
        <v>2.5 x 10</v>
      </c>
    </row>
    <row r="21" spans="1:13" x14ac:dyDescent="0.25">
      <c r="A21" s="2" t="s">
        <v>49</v>
      </c>
      <c r="B21" s="2" t="s">
        <v>48</v>
      </c>
      <c r="C21" s="2" t="s">
        <v>34</v>
      </c>
      <c r="D21" s="2">
        <v>868.48</v>
      </c>
      <c r="E21" s="2">
        <v>5.2804900515863E-3</v>
      </c>
      <c r="F21" s="2">
        <v>3.250143470401579</v>
      </c>
      <c r="G21" s="2"/>
      <c r="H21" s="2"/>
      <c r="I21" s="2">
        <v>2.5</v>
      </c>
      <c r="J21" s="2">
        <v>19</v>
      </c>
      <c r="K21" s="2">
        <v>114.7559971107401</v>
      </c>
      <c r="L21" s="2">
        <v>0.03</v>
      </c>
      <c r="M21" s="2" t="str">
        <f t="shared" si="0"/>
        <v>2.5 x 19</v>
      </c>
    </row>
    <row r="22" spans="1:13" x14ac:dyDescent="0.25">
      <c r="A22" s="2" t="s">
        <v>50</v>
      </c>
      <c r="B22" s="2" t="s">
        <v>48</v>
      </c>
      <c r="C22" s="2" t="s">
        <v>34</v>
      </c>
      <c r="D22" s="2">
        <v>1011.89</v>
      </c>
      <c r="E22" s="2">
        <v>4.5331059039078999E-3</v>
      </c>
      <c r="F22" s="2">
        <v>3.0272091132880461</v>
      </c>
      <c r="G22" s="2"/>
      <c r="H22" s="2"/>
      <c r="I22" s="2">
        <v>2.5</v>
      </c>
      <c r="J22" s="2">
        <v>20.5</v>
      </c>
      <c r="K22" s="2">
        <v>114.7559971107401</v>
      </c>
      <c r="L22" s="2">
        <v>0.03</v>
      </c>
      <c r="M22" s="2" t="str">
        <f t="shared" si="0"/>
        <v>2.5 x 20.5</v>
      </c>
    </row>
    <row r="23" spans="1:13" x14ac:dyDescent="0.25">
      <c r="A23" s="2" t="s">
        <v>51</v>
      </c>
      <c r="B23" s="2" t="s">
        <v>48</v>
      </c>
      <c r="C23" s="2" t="s">
        <v>34</v>
      </c>
      <c r="D23" s="2">
        <v>500</v>
      </c>
      <c r="E23" s="2">
        <v>9.9759800480353003E-3</v>
      </c>
      <c r="F23" s="2">
        <v>3.888474855234537</v>
      </c>
      <c r="G23" s="2"/>
      <c r="H23" s="2"/>
      <c r="I23" s="2">
        <v>2.5</v>
      </c>
      <c r="J23" s="2">
        <v>20.5</v>
      </c>
      <c r="K23" s="2">
        <v>114.7559971107401</v>
      </c>
      <c r="L23" s="2">
        <v>0.03</v>
      </c>
      <c r="M23" s="2" t="str">
        <f t="shared" si="0"/>
        <v>2.5 x 20.5</v>
      </c>
    </row>
    <row r="24" spans="1:13" x14ac:dyDescent="0.25">
      <c r="A24" s="2" t="s">
        <v>52</v>
      </c>
      <c r="B24" s="2" t="s">
        <v>48</v>
      </c>
      <c r="C24" s="2" t="s">
        <v>34</v>
      </c>
      <c r="D24" s="2">
        <v>1813.11</v>
      </c>
      <c r="E24" s="2">
        <v>5.9968782919959003E-3</v>
      </c>
      <c r="F24" s="2">
        <v>3.3096439082383839</v>
      </c>
      <c r="G24" s="2"/>
      <c r="H24" s="2"/>
      <c r="I24" s="2">
        <v>2.5</v>
      </c>
      <c r="J24" s="2">
        <v>20.5</v>
      </c>
      <c r="K24" s="2">
        <v>114.7559971107401</v>
      </c>
      <c r="L24" s="2">
        <v>0.03</v>
      </c>
      <c r="M24" s="2" t="str">
        <f t="shared" si="0"/>
        <v>2.5 x 20.5</v>
      </c>
    </row>
    <row r="25" spans="1:13" x14ac:dyDescent="0.25">
      <c r="A25" s="2" t="s">
        <v>53</v>
      </c>
      <c r="B25" s="2" t="s">
        <v>48</v>
      </c>
      <c r="C25" s="2" t="s">
        <v>34</v>
      </c>
      <c r="D25" s="2">
        <v>1325.01</v>
      </c>
      <c r="E25" s="2">
        <v>2.8497833606163001E-3</v>
      </c>
      <c r="F25" s="2">
        <v>2.544128135628775</v>
      </c>
      <c r="G25" s="2"/>
      <c r="H25" s="2"/>
      <c r="I25" s="2">
        <v>2.5</v>
      </c>
      <c r="J25" s="2">
        <v>42</v>
      </c>
      <c r="K25" s="2">
        <v>198.8589942008019</v>
      </c>
      <c r="L25" s="2">
        <v>0.03</v>
      </c>
      <c r="M25" s="2" t="str">
        <f t="shared" si="0"/>
        <v>2.5 x 42</v>
      </c>
    </row>
    <row r="26" spans="1:13" x14ac:dyDescent="0.25">
      <c r="A26" s="2" t="s">
        <v>54</v>
      </c>
      <c r="B26" s="2" t="s">
        <v>48</v>
      </c>
      <c r="C26" s="2" t="s">
        <v>34</v>
      </c>
      <c r="D26" s="2">
        <v>333.4</v>
      </c>
      <c r="E26" s="2">
        <v>3.6420080900779E-3</v>
      </c>
      <c r="F26" s="2">
        <v>2.6896340794688851</v>
      </c>
      <c r="G26" s="2"/>
      <c r="H26" s="2"/>
      <c r="I26" s="2">
        <v>2.5</v>
      </c>
      <c r="J26" s="2">
        <v>44.5</v>
      </c>
      <c r="K26" s="2">
        <v>198.8589942008019</v>
      </c>
      <c r="L26" s="2">
        <v>0.03</v>
      </c>
      <c r="M26" s="2" t="str">
        <f t="shared" si="0"/>
        <v>2.5 x 44.5</v>
      </c>
    </row>
    <row r="27" spans="1:13" x14ac:dyDescent="0.25">
      <c r="A27" s="2" t="s">
        <v>55</v>
      </c>
      <c r="B27" s="2" t="s">
        <v>56</v>
      </c>
      <c r="C27" s="2" t="s">
        <v>34</v>
      </c>
      <c r="D27" s="2">
        <v>1270.25</v>
      </c>
      <c r="E27" s="2">
        <v>3.4473428601591001E-3</v>
      </c>
      <c r="F27" s="2">
        <v>1.9777696831204989</v>
      </c>
      <c r="G27" s="2"/>
      <c r="H27" s="2"/>
      <c r="I27" s="2">
        <v>2.5</v>
      </c>
      <c r="J27" s="2">
        <v>10</v>
      </c>
      <c r="K27" s="2">
        <v>25.213999928994621</v>
      </c>
      <c r="L27" s="2">
        <v>0.03</v>
      </c>
      <c r="M27" s="2" t="str">
        <f t="shared" si="0"/>
        <v>2.5 x 10</v>
      </c>
    </row>
    <row r="28" spans="1:13" x14ac:dyDescent="0.25">
      <c r="A28" s="2" t="s">
        <v>57</v>
      </c>
      <c r="B28" s="2" t="s">
        <v>58</v>
      </c>
      <c r="C28" s="2" t="s">
        <v>34</v>
      </c>
      <c r="D28" s="2">
        <v>1237.73</v>
      </c>
      <c r="E28" s="2">
        <v>4.4533137275492001E-3</v>
      </c>
      <c r="F28" s="2">
        <v>2.8296909373187429</v>
      </c>
      <c r="G28" s="2"/>
      <c r="H28" s="2"/>
      <c r="I28" s="2">
        <v>2.5</v>
      </c>
      <c r="J28" s="2">
        <v>12.5</v>
      </c>
      <c r="K28" s="2">
        <v>65.869996790657126</v>
      </c>
      <c r="L28" s="2">
        <v>0.03</v>
      </c>
      <c r="M28" s="2" t="str">
        <f t="shared" si="0"/>
        <v>2.5 x 12.5</v>
      </c>
    </row>
    <row r="29" spans="1:13" x14ac:dyDescent="0.25">
      <c r="A29" s="2" t="s">
        <v>59</v>
      </c>
      <c r="B29" s="2" t="s">
        <v>58</v>
      </c>
      <c r="C29" s="2" t="s">
        <v>34</v>
      </c>
      <c r="D29" s="2">
        <v>500</v>
      </c>
      <c r="E29" s="2">
        <v>1.1024000000007301E-2</v>
      </c>
      <c r="F29" s="2">
        <v>3.8051223849632838</v>
      </c>
      <c r="G29" s="2"/>
      <c r="H29" s="2"/>
      <c r="I29" s="2">
        <v>2.5</v>
      </c>
      <c r="J29" s="2">
        <v>12.5</v>
      </c>
      <c r="K29" s="2">
        <v>65.869996790657126</v>
      </c>
      <c r="L29" s="2">
        <v>0.03</v>
      </c>
      <c r="M29" s="2" t="str">
        <f t="shared" si="0"/>
        <v>2.5 x 12.5</v>
      </c>
    </row>
    <row r="30" spans="1:13" x14ac:dyDescent="0.25">
      <c r="A30" s="2" t="s">
        <v>60</v>
      </c>
      <c r="B30" s="2" t="s">
        <v>58</v>
      </c>
      <c r="C30" s="2" t="s">
        <v>34</v>
      </c>
      <c r="D30" s="2">
        <v>1259.6099999999999</v>
      </c>
      <c r="E30" s="2">
        <v>4.0298283512228998E-3</v>
      </c>
      <c r="F30" s="2">
        <v>2.7122138058444758</v>
      </c>
      <c r="G30" s="2"/>
      <c r="H30" s="2"/>
      <c r="I30" s="2">
        <v>2.5</v>
      </c>
      <c r="J30" s="2">
        <v>13</v>
      </c>
      <c r="K30" s="2">
        <v>65.869996790657126</v>
      </c>
      <c r="L30" s="2">
        <v>0.03</v>
      </c>
      <c r="M30" s="2" t="str">
        <f t="shared" si="0"/>
        <v>2.5 x 13</v>
      </c>
    </row>
    <row r="31" spans="1:13" x14ac:dyDescent="0.25">
      <c r="A31" s="2" t="s">
        <v>61</v>
      </c>
      <c r="B31" s="2" t="s">
        <v>58</v>
      </c>
      <c r="C31" s="2" t="s">
        <v>34</v>
      </c>
      <c r="D31" s="2">
        <v>1538.15</v>
      </c>
      <c r="E31" s="2">
        <v>2.4477456684979001E-3</v>
      </c>
      <c r="F31" s="2">
        <v>2.214400878592119</v>
      </c>
      <c r="G31" s="2"/>
      <c r="H31" s="2"/>
      <c r="I31" s="2">
        <v>2.5</v>
      </c>
      <c r="J31" s="2">
        <v>19.5</v>
      </c>
      <c r="K31" s="2">
        <v>79.944001759417702</v>
      </c>
      <c r="L31" s="2">
        <v>0.03</v>
      </c>
      <c r="M31" s="2" t="str">
        <f t="shared" si="0"/>
        <v>2.5 x 19.5</v>
      </c>
    </row>
    <row r="32" spans="1:13" x14ac:dyDescent="0.25">
      <c r="A32" s="2" t="s">
        <v>62</v>
      </c>
      <c r="B32" s="2" t="s">
        <v>58</v>
      </c>
      <c r="C32" s="2" t="s">
        <v>34</v>
      </c>
      <c r="D32" s="2">
        <v>687.73</v>
      </c>
      <c r="E32" s="2">
        <v>7.0260233318646002E-3</v>
      </c>
      <c r="F32" s="2">
        <v>3.0953770453133371</v>
      </c>
      <c r="G32" s="2"/>
      <c r="H32" s="2"/>
      <c r="I32" s="2">
        <v>2.5</v>
      </c>
      <c r="J32" s="2">
        <v>19.5</v>
      </c>
      <c r="K32" s="2">
        <v>79.944001759417702</v>
      </c>
      <c r="L32" s="2">
        <v>0.03</v>
      </c>
      <c r="M32" s="2" t="str">
        <f t="shared" si="0"/>
        <v>2.5 x 19.5</v>
      </c>
    </row>
    <row r="33" spans="1:13" x14ac:dyDescent="0.25">
      <c r="A33" s="2" t="s">
        <v>63</v>
      </c>
      <c r="B33" s="2" t="s">
        <v>58</v>
      </c>
      <c r="C33" s="2" t="s">
        <v>34</v>
      </c>
      <c r="D33" s="2">
        <v>1284.33</v>
      </c>
      <c r="E33" s="2">
        <v>9.9999999999990006E-4</v>
      </c>
      <c r="F33" s="2">
        <v>1.475105453156399</v>
      </c>
      <c r="G33" s="2"/>
      <c r="H33" s="2"/>
      <c r="I33" s="2">
        <v>2.5</v>
      </c>
      <c r="J33" s="2">
        <v>29</v>
      </c>
      <c r="K33" s="2">
        <v>79.944001759417702</v>
      </c>
      <c r="L33" s="2">
        <v>0.03</v>
      </c>
      <c r="M33" s="2" t="str">
        <f t="shared" si="0"/>
        <v>2.5 x 29</v>
      </c>
    </row>
    <row r="34" spans="1:13" x14ac:dyDescent="0.25">
      <c r="A34" s="2" t="s">
        <v>64</v>
      </c>
      <c r="B34" s="2" t="s">
        <v>65</v>
      </c>
      <c r="C34" s="2" t="s">
        <v>25</v>
      </c>
      <c r="D34" s="2">
        <v>719.99</v>
      </c>
      <c r="E34" s="2">
        <v>3.9389381256179998E-3</v>
      </c>
      <c r="F34" s="2">
        <v>3.1284142728937359</v>
      </c>
      <c r="G34" s="2"/>
      <c r="H34" s="2"/>
      <c r="I34" s="2">
        <v>2.5</v>
      </c>
      <c r="J34" s="2">
        <v>156.5</v>
      </c>
      <c r="K34" s="2">
        <v>916.72997148394461</v>
      </c>
      <c r="L34" s="2">
        <v>0.03</v>
      </c>
      <c r="M34" s="2" t="str">
        <f t="shared" si="0"/>
        <v>2.5 x 156.5</v>
      </c>
    </row>
    <row r="35" spans="1:13" x14ac:dyDescent="0.25">
      <c r="A35" s="2" t="s">
        <v>66</v>
      </c>
      <c r="B35" s="2" t="s">
        <v>65</v>
      </c>
      <c r="C35" s="2" t="s">
        <v>25</v>
      </c>
      <c r="D35" s="2">
        <v>575.4</v>
      </c>
      <c r="E35" s="2">
        <v>5.0069690892180002E-3</v>
      </c>
      <c r="F35" s="2">
        <v>3.3640929102308168</v>
      </c>
      <c r="G35" s="2"/>
      <c r="H35" s="2"/>
      <c r="I35" s="2">
        <v>2.5</v>
      </c>
      <c r="J35" s="2">
        <v>156.5</v>
      </c>
      <c r="K35" s="2">
        <v>916.72997148394461</v>
      </c>
      <c r="L35" s="2">
        <v>0.03</v>
      </c>
      <c r="M35" s="2" t="str">
        <f t="shared" si="0"/>
        <v>2.5 x 156.5</v>
      </c>
    </row>
    <row r="36" spans="1:13" x14ac:dyDescent="0.25">
      <c r="A36" s="2" t="s">
        <v>67</v>
      </c>
      <c r="B36" s="2" t="s">
        <v>65</v>
      </c>
      <c r="C36" s="2" t="s">
        <v>25</v>
      </c>
      <c r="D36" s="2">
        <v>615.02</v>
      </c>
      <c r="E36" s="2">
        <v>5.6859847062138997E-3</v>
      </c>
      <c r="F36" s="2">
        <v>3.496064215114449</v>
      </c>
      <c r="G36" s="2"/>
      <c r="H36" s="2"/>
      <c r="I36" s="2">
        <v>2.5</v>
      </c>
      <c r="J36" s="2">
        <v>156.5</v>
      </c>
      <c r="K36" s="2">
        <v>916.72997148394461</v>
      </c>
      <c r="L36" s="2">
        <v>0.03</v>
      </c>
      <c r="M36" s="2" t="str">
        <f t="shared" si="0"/>
        <v>2.5 x 156.5</v>
      </c>
    </row>
    <row r="37" spans="1:13" x14ac:dyDescent="0.25">
      <c r="A37" s="2" t="s">
        <v>68</v>
      </c>
      <c r="B37" s="2" t="s">
        <v>65</v>
      </c>
      <c r="C37" s="2" t="s">
        <v>25</v>
      </c>
      <c r="D37" s="2">
        <v>1091.42</v>
      </c>
      <c r="E37" s="2">
        <v>2.9823532645546001E-3</v>
      </c>
      <c r="F37" s="2">
        <v>2.7275904835249611</v>
      </c>
      <c r="G37" s="2"/>
      <c r="H37" s="2"/>
      <c r="I37" s="2">
        <v>2.5</v>
      </c>
      <c r="J37" s="2">
        <v>179.5</v>
      </c>
      <c r="K37" s="2">
        <v>916.72997148394461</v>
      </c>
      <c r="L37" s="2">
        <v>0.03</v>
      </c>
      <c r="M37" s="2" t="str">
        <f t="shared" si="0"/>
        <v>2.5 x 179.5</v>
      </c>
    </row>
    <row r="38" spans="1:13" x14ac:dyDescent="0.25">
      <c r="A38" s="2" t="s">
        <v>69</v>
      </c>
      <c r="B38" s="2" t="s">
        <v>65</v>
      </c>
      <c r="C38" s="2" t="s">
        <v>25</v>
      </c>
      <c r="D38" s="2">
        <v>500</v>
      </c>
      <c r="E38" s="2">
        <v>9.6660000000027002E-3</v>
      </c>
      <c r="F38" s="2">
        <v>3.8908988351808049</v>
      </c>
      <c r="G38" s="2"/>
      <c r="H38" s="2"/>
      <c r="I38" s="2">
        <v>2.5</v>
      </c>
      <c r="J38" s="2">
        <v>179.5</v>
      </c>
      <c r="K38" s="2">
        <v>916.72997148394461</v>
      </c>
      <c r="L38" s="2">
        <v>0.03</v>
      </c>
      <c r="M38" s="2" t="str">
        <f t="shared" si="0"/>
        <v>2.5 x 179.5</v>
      </c>
    </row>
    <row r="39" spans="1:13" x14ac:dyDescent="0.25">
      <c r="A39" s="2" t="s">
        <v>70</v>
      </c>
      <c r="B39" s="2" t="s">
        <v>65</v>
      </c>
      <c r="C39" s="2" t="s">
        <v>25</v>
      </c>
      <c r="D39" s="2">
        <v>987.37</v>
      </c>
      <c r="E39" s="2">
        <v>4.6648990149629E-3</v>
      </c>
      <c r="F39" s="2">
        <v>3.122580908034438</v>
      </c>
      <c r="G39" s="2"/>
      <c r="H39" s="2"/>
      <c r="I39" s="2">
        <v>2.5</v>
      </c>
      <c r="J39" s="2">
        <v>179.5</v>
      </c>
      <c r="K39" s="2">
        <v>916.72997148394461</v>
      </c>
      <c r="L39" s="2">
        <v>0.03</v>
      </c>
      <c r="M39" s="2" t="str">
        <f t="shared" si="0"/>
        <v>2.5 x 179.5</v>
      </c>
    </row>
    <row r="40" spans="1:13" x14ac:dyDescent="0.25">
      <c r="A40" s="2" t="s">
        <v>71</v>
      </c>
      <c r="B40" s="2" t="s">
        <v>65</v>
      </c>
      <c r="C40" s="2" t="s">
        <v>25</v>
      </c>
      <c r="D40" s="2">
        <v>380.95</v>
      </c>
      <c r="E40" s="2">
        <v>5.4312159728681997E-3</v>
      </c>
      <c r="F40" s="2">
        <v>3.2694120616808839</v>
      </c>
      <c r="G40" s="2"/>
      <c r="H40" s="2"/>
      <c r="I40" s="2">
        <v>2.5</v>
      </c>
      <c r="J40" s="2">
        <v>179.5</v>
      </c>
      <c r="K40" s="2">
        <v>916.72997148394461</v>
      </c>
      <c r="L40" s="2">
        <v>0.03</v>
      </c>
      <c r="M40" s="2" t="str">
        <f t="shared" si="0"/>
        <v>2.5 x 179.5</v>
      </c>
    </row>
    <row r="41" spans="1:13" x14ac:dyDescent="0.25">
      <c r="A41" s="2" t="s">
        <v>72</v>
      </c>
      <c r="B41" s="2" t="s">
        <v>65</v>
      </c>
      <c r="C41" s="2" t="s">
        <v>25</v>
      </c>
      <c r="D41" s="2">
        <v>353.02</v>
      </c>
      <c r="E41" s="2">
        <v>5.5690895699937997E-3</v>
      </c>
      <c r="F41" s="2">
        <v>3.3500870791058661</v>
      </c>
      <c r="G41" s="2"/>
      <c r="H41" s="2"/>
      <c r="I41" s="2">
        <v>2.5</v>
      </c>
      <c r="J41" s="2">
        <v>179.5</v>
      </c>
      <c r="K41" s="2">
        <v>956.47095086582556</v>
      </c>
      <c r="L41" s="2">
        <v>0.03</v>
      </c>
      <c r="M41" s="2" t="str">
        <f t="shared" si="0"/>
        <v>2.5 x 179.5</v>
      </c>
    </row>
    <row r="42" spans="1:13" x14ac:dyDescent="0.25">
      <c r="A42" s="2" t="s">
        <v>73</v>
      </c>
      <c r="B42" s="2" t="s">
        <v>65</v>
      </c>
      <c r="C42" s="2" t="s">
        <v>25</v>
      </c>
      <c r="D42" s="2">
        <v>393.14</v>
      </c>
      <c r="E42" s="2">
        <v>5.1432190650114E-3</v>
      </c>
      <c r="F42" s="2">
        <v>3.2902660213049479</v>
      </c>
      <c r="G42" s="2"/>
      <c r="H42" s="2"/>
      <c r="I42" s="2">
        <v>2.5</v>
      </c>
      <c r="J42" s="2">
        <v>179.5</v>
      </c>
      <c r="K42" s="2">
        <v>971.0800101130784</v>
      </c>
      <c r="L42" s="2">
        <v>0.03</v>
      </c>
      <c r="M42" s="2" t="str">
        <f t="shared" si="0"/>
        <v>2.5 x 179.5</v>
      </c>
    </row>
    <row r="43" spans="1:13" x14ac:dyDescent="0.25">
      <c r="A43" s="2" t="s">
        <v>74</v>
      </c>
      <c r="B43" s="2" t="s">
        <v>65</v>
      </c>
      <c r="C43" s="2" t="s">
        <v>25</v>
      </c>
      <c r="D43" s="2">
        <v>1008.71</v>
      </c>
      <c r="E43" s="2">
        <v>2.8105175813486001E-3</v>
      </c>
      <c r="F43" s="2">
        <v>2.6516067495095972</v>
      </c>
      <c r="G43" s="2"/>
      <c r="H43" s="2"/>
      <c r="I43" s="2">
        <v>2.5</v>
      </c>
      <c r="J43" s="2">
        <v>195.5</v>
      </c>
      <c r="K43" s="2">
        <v>971.0800101130784</v>
      </c>
      <c r="L43" s="2">
        <v>0.03</v>
      </c>
      <c r="M43" s="2" t="str">
        <f t="shared" si="0"/>
        <v>2.5 x 195.5</v>
      </c>
    </row>
    <row r="44" spans="1:13" x14ac:dyDescent="0.25">
      <c r="A44" s="2" t="s">
        <v>75</v>
      </c>
      <c r="B44" s="2" t="s">
        <v>65</v>
      </c>
      <c r="C44" s="2" t="s">
        <v>25</v>
      </c>
      <c r="D44" s="2">
        <v>498.97</v>
      </c>
      <c r="E44" s="2">
        <v>2.3608586470970998E-3</v>
      </c>
      <c r="F44" s="2">
        <v>2.433440560647484</v>
      </c>
      <c r="G44" s="2"/>
      <c r="H44" s="2"/>
      <c r="I44" s="2">
        <v>2.5</v>
      </c>
      <c r="J44" s="2">
        <v>218.5</v>
      </c>
      <c r="K44" s="2">
        <v>996.01398885482922</v>
      </c>
      <c r="L44" s="2">
        <v>0.03</v>
      </c>
      <c r="M44" s="2" t="str">
        <f t="shared" si="0"/>
        <v>2.5 x 218.5</v>
      </c>
    </row>
    <row r="45" spans="1:13" x14ac:dyDescent="0.25">
      <c r="A45" s="2" t="s">
        <v>76</v>
      </c>
      <c r="B45" s="2" t="s">
        <v>65</v>
      </c>
      <c r="C45" s="2" t="s">
        <v>25</v>
      </c>
      <c r="D45" s="2">
        <v>920.2</v>
      </c>
      <c r="E45" s="2">
        <v>3.1634312982127002E-3</v>
      </c>
      <c r="F45" s="2">
        <v>2.6582548902160439</v>
      </c>
      <c r="G45" s="2"/>
      <c r="H45" s="2"/>
      <c r="I45" s="2">
        <v>3</v>
      </c>
      <c r="J45" s="2">
        <v>218.5</v>
      </c>
      <c r="K45" s="2">
        <v>996.01398885482922</v>
      </c>
      <c r="L45" s="2">
        <v>0.03</v>
      </c>
      <c r="M45" s="2" t="str">
        <f t="shared" si="0"/>
        <v>3.0 x 218.5</v>
      </c>
    </row>
    <row r="46" spans="1:13" x14ac:dyDescent="0.25">
      <c r="A46" s="2" t="s">
        <v>77</v>
      </c>
      <c r="B46" s="2" t="s">
        <v>78</v>
      </c>
      <c r="C46" s="2" t="s">
        <v>79</v>
      </c>
      <c r="D46" s="2">
        <v>1648.82</v>
      </c>
      <c r="E46" s="2">
        <v>6.8661432604633001E-3</v>
      </c>
      <c r="F46" s="2">
        <v>4.0749056265881256</v>
      </c>
      <c r="G46" s="2"/>
      <c r="H46" s="2"/>
      <c r="I46" s="2">
        <v>2.5</v>
      </c>
      <c r="J46" s="2">
        <v>83.5</v>
      </c>
      <c r="K46" s="2">
        <v>637.05797464761599</v>
      </c>
      <c r="L46" s="2">
        <v>0.03</v>
      </c>
      <c r="M46" s="2" t="str">
        <f t="shared" si="0"/>
        <v>2.5 x 83.5</v>
      </c>
    </row>
    <row r="47" spans="1:13" x14ac:dyDescent="0.25">
      <c r="A47" s="2" t="s">
        <v>80</v>
      </c>
      <c r="B47" s="2" t="s">
        <v>78</v>
      </c>
      <c r="C47" s="2" t="s">
        <v>79</v>
      </c>
      <c r="D47" s="2">
        <v>1309.6500000000001</v>
      </c>
      <c r="E47" s="2">
        <v>6.4169669370430001E-3</v>
      </c>
      <c r="F47" s="2">
        <v>3.939494124718756</v>
      </c>
      <c r="G47" s="2"/>
      <c r="H47" s="2"/>
      <c r="I47" s="2">
        <v>2.5</v>
      </c>
      <c r="J47" s="2">
        <v>86.5</v>
      </c>
      <c r="K47" s="2">
        <v>637.05797464761599</v>
      </c>
      <c r="L47" s="2">
        <v>0.03</v>
      </c>
      <c r="M47" s="2" t="str">
        <f t="shared" si="0"/>
        <v>2.5 x 86.5</v>
      </c>
    </row>
    <row r="48" spans="1:13" x14ac:dyDescent="0.25">
      <c r="A48" s="2" t="s">
        <v>81</v>
      </c>
      <c r="B48" s="2" t="s">
        <v>78</v>
      </c>
      <c r="C48" s="2" t="s">
        <v>79</v>
      </c>
      <c r="D48" s="2">
        <v>964.7</v>
      </c>
      <c r="E48" s="2">
        <v>7.6697577894832003E-3</v>
      </c>
      <c r="F48" s="2">
        <v>4.159782713098517</v>
      </c>
      <c r="G48" s="2"/>
      <c r="H48" s="2"/>
      <c r="I48" s="2">
        <v>2.5</v>
      </c>
      <c r="J48" s="2">
        <v>86.5</v>
      </c>
      <c r="K48" s="2">
        <v>637.05797464761599</v>
      </c>
      <c r="L48" s="2">
        <v>0.03</v>
      </c>
      <c r="M48" s="2" t="str">
        <f t="shared" si="0"/>
        <v>2.5 x 86.5</v>
      </c>
    </row>
    <row r="49" spans="1:13" x14ac:dyDescent="0.25">
      <c r="A49" s="2" t="s">
        <v>82</v>
      </c>
      <c r="B49" s="2" t="s">
        <v>78</v>
      </c>
      <c r="C49" s="2" t="s">
        <v>79</v>
      </c>
      <c r="D49" s="2">
        <v>2264.3000000000002</v>
      </c>
      <c r="E49" s="2">
        <v>7.4897253104921997E-3</v>
      </c>
      <c r="F49" s="2">
        <v>4.1296453085117566</v>
      </c>
      <c r="G49" s="2"/>
      <c r="H49" s="2"/>
      <c r="I49" s="2">
        <v>2.5</v>
      </c>
      <c r="J49" s="2">
        <v>86.5</v>
      </c>
      <c r="K49" s="2">
        <v>637.05797464761599</v>
      </c>
      <c r="L49" s="2">
        <v>0.03</v>
      </c>
      <c r="M49" s="2" t="str">
        <f t="shared" si="0"/>
        <v>2.5 x 86.5</v>
      </c>
    </row>
    <row r="50" spans="1:13" x14ac:dyDescent="0.25">
      <c r="A50" s="2" t="s">
        <v>83</v>
      </c>
      <c r="B50" s="2" t="s">
        <v>78</v>
      </c>
      <c r="C50" s="2" t="s">
        <v>79</v>
      </c>
      <c r="D50" s="2">
        <v>2783.21</v>
      </c>
      <c r="E50" s="2">
        <v>4.7484721783588998E-3</v>
      </c>
      <c r="F50" s="2">
        <v>3.4039381524798231</v>
      </c>
      <c r="G50" s="2"/>
      <c r="H50" s="2"/>
      <c r="I50" s="2">
        <v>2.5</v>
      </c>
      <c r="J50" s="2">
        <v>100</v>
      </c>
      <c r="K50" s="2">
        <v>637.05797464761599</v>
      </c>
      <c r="L50" s="2">
        <v>0.03</v>
      </c>
      <c r="M50" s="2" t="str">
        <f t="shared" si="0"/>
        <v>2.5 x 100</v>
      </c>
    </row>
    <row r="51" spans="1:13" x14ac:dyDescent="0.25">
      <c r="A51" s="2" t="s">
        <v>84</v>
      </c>
      <c r="B51" s="2" t="s">
        <v>78</v>
      </c>
      <c r="C51" s="2" t="s">
        <v>79</v>
      </c>
      <c r="D51" s="2">
        <v>500.17</v>
      </c>
      <c r="E51" s="2">
        <v>1.15500498829318E-2</v>
      </c>
      <c r="F51" s="2">
        <v>4.4594432007716964</v>
      </c>
      <c r="G51" s="2"/>
      <c r="H51" s="2"/>
      <c r="I51" s="2">
        <v>2.5</v>
      </c>
      <c r="J51" s="2">
        <v>100</v>
      </c>
      <c r="K51" s="2">
        <v>637.05797464761599</v>
      </c>
      <c r="L51" s="2">
        <v>0.03</v>
      </c>
      <c r="M51" s="2" t="str">
        <f t="shared" si="0"/>
        <v>2.5 x 100</v>
      </c>
    </row>
    <row r="52" spans="1:13" x14ac:dyDescent="0.25">
      <c r="A52" s="2" t="s">
        <v>85</v>
      </c>
      <c r="B52" s="2" t="s">
        <v>78</v>
      </c>
      <c r="C52" s="2" t="s">
        <v>79</v>
      </c>
      <c r="D52" s="2">
        <v>713.62</v>
      </c>
      <c r="E52" s="2">
        <v>4.0876211082123996E-3</v>
      </c>
      <c r="F52" s="2">
        <v>3.164665548473399</v>
      </c>
      <c r="G52" s="2"/>
      <c r="H52" s="2"/>
      <c r="I52" s="2">
        <v>2.5</v>
      </c>
      <c r="J52" s="2">
        <v>107.5</v>
      </c>
      <c r="K52" s="2">
        <v>637.05797464761599</v>
      </c>
      <c r="L52" s="2">
        <v>0.03</v>
      </c>
      <c r="M52" s="2" t="str">
        <f t="shared" si="0"/>
        <v>2.5 x 107.5</v>
      </c>
    </row>
    <row r="53" spans="1:13" x14ac:dyDescent="0.25">
      <c r="A53" s="2" t="s">
        <v>86</v>
      </c>
      <c r="B53" s="2" t="s">
        <v>78</v>
      </c>
      <c r="C53" s="2" t="s">
        <v>79</v>
      </c>
      <c r="D53" s="2">
        <v>1251.55</v>
      </c>
      <c r="E53" s="2">
        <v>5.9126618193838E-3</v>
      </c>
      <c r="F53" s="2">
        <v>3.5403237227986391</v>
      </c>
      <c r="G53" s="2"/>
      <c r="H53" s="2"/>
      <c r="I53" s="2">
        <v>2.5</v>
      </c>
      <c r="J53" s="2">
        <v>107.5</v>
      </c>
      <c r="K53" s="2">
        <v>637.05797464761599</v>
      </c>
      <c r="L53" s="2">
        <v>0.03</v>
      </c>
      <c r="M53" s="2" t="str">
        <f t="shared" si="0"/>
        <v>2.5 x 107.5</v>
      </c>
    </row>
    <row r="54" spans="1:13" x14ac:dyDescent="0.25">
      <c r="A54" s="2" t="s">
        <v>87</v>
      </c>
      <c r="B54" s="2" t="s">
        <v>88</v>
      </c>
      <c r="C54" s="2" t="s">
        <v>79</v>
      </c>
      <c r="D54" s="2">
        <v>863.13</v>
      </c>
      <c r="E54" s="2">
        <v>6.6328593590531002E-3</v>
      </c>
      <c r="F54" s="2">
        <v>0</v>
      </c>
      <c r="G54" s="2"/>
      <c r="H54" s="2"/>
      <c r="I54" s="2">
        <v>2.5</v>
      </c>
      <c r="J54" s="2">
        <v>10</v>
      </c>
      <c r="K54" s="2">
        <v>0</v>
      </c>
      <c r="L54" s="2">
        <v>0.03</v>
      </c>
      <c r="M54" s="2" t="str">
        <f t="shared" si="0"/>
        <v>2.5 x 10</v>
      </c>
    </row>
    <row r="55" spans="1:13" x14ac:dyDescent="0.25">
      <c r="A55" s="2" t="s">
        <v>89</v>
      </c>
      <c r="B55" s="2" t="s">
        <v>88</v>
      </c>
      <c r="C55" s="2" t="s">
        <v>79</v>
      </c>
      <c r="D55" s="2">
        <v>830</v>
      </c>
      <c r="E55" s="2">
        <v>7.0795180722894001E-3</v>
      </c>
      <c r="F55" s="2">
        <v>0</v>
      </c>
      <c r="G55" s="2"/>
      <c r="H55" s="2"/>
      <c r="I55" s="2">
        <v>2.5</v>
      </c>
      <c r="J55" s="2">
        <v>10</v>
      </c>
      <c r="K55" s="2">
        <v>0</v>
      </c>
      <c r="L55" s="2">
        <v>0.03</v>
      </c>
      <c r="M55" s="2" t="str">
        <f t="shared" si="0"/>
        <v>2.5 x 10</v>
      </c>
    </row>
    <row r="56" spans="1:13" x14ac:dyDescent="0.25">
      <c r="A56" s="2" t="s">
        <v>90</v>
      </c>
      <c r="B56" s="2" t="s">
        <v>88</v>
      </c>
      <c r="C56" s="2" t="s">
        <v>79</v>
      </c>
      <c r="D56" s="2">
        <v>546</v>
      </c>
      <c r="E56" s="2">
        <v>4.6904761904760003E-3</v>
      </c>
      <c r="F56" s="2">
        <v>0</v>
      </c>
      <c r="G56" s="2"/>
      <c r="H56" s="2"/>
      <c r="I56" s="2">
        <v>2.5</v>
      </c>
      <c r="J56" s="2">
        <v>10</v>
      </c>
      <c r="K56" s="2">
        <v>0</v>
      </c>
      <c r="L56" s="2">
        <v>0.03</v>
      </c>
      <c r="M56" s="2" t="str">
        <f t="shared" si="0"/>
        <v>2.5 x 10</v>
      </c>
    </row>
    <row r="57" spans="1:13" x14ac:dyDescent="0.25">
      <c r="A57" s="2" t="s">
        <v>91</v>
      </c>
      <c r="B57" s="2" t="s">
        <v>88</v>
      </c>
      <c r="C57" s="2" t="s">
        <v>79</v>
      </c>
      <c r="D57" s="2">
        <v>2030.22</v>
      </c>
      <c r="E57" s="2">
        <v>6.3909204107525999E-3</v>
      </c>
      <c r="F57" s="2">
        <v>0</v>
      </c>
      <c r="G57" s="2"/>
      <c r="H57" s="2"/>
      <c r="I57" s="2">
        <v>2.5</v>
      </c>
      <c r="J57" s="2">
        <v>10</v>
      </c>
      <c r="K57" s="2">
        <v>0</v>
      </c>
      <c r="L57" s="2">
        <v>0.03</v>
      </c>
      <c r="M57" s="2" t="str">
        <f t="shared" si="0"/>
        <v>2.5 x 10</v>
      </c>
    </row>
    <row r="58" spans="1:13" x14ac:dyDescent="0.25">
      <c r="A58" s="2" t="s">
        <v>92</v>
      </c>
      <c r="B58" s="2" t="s">
        <v>88</v>
      </c>
      <c r="C58" s="2" t="s">
        <v>79</v>
      </c>
      <c r="D58" s="2">
        <v>1667.26</v>
      </c>
      <c r="E58" s="2">
        <v>8.4257953613749992E-3</v>
      </c>
      <c r="F58" s="2">
        <v>4.3759529482130537</v>
      </c>
      <c r="G58" s="2"/>
      <c r="H58" s="2"/>
      <c r="I58" s="2">
        <v>2.5</v>
      </c>
      <c r="J58" s="2">
        <v>40</v>
      </c>
      <c r="K58" s="2">
        <v>327.37001004780808</v>
      </c>
      <c r="L58" s="2">
        <v>0.03</v>
      </c>
      <c r="M58" s="2" t="str">
        <f t="shared" si="0"/>
        <v>2.5 x 40</v>
      </c>
    </row>
    <row r="59" spans="1:13" x14ac:dyDescent="0.25">
      <c r="A59" s="2" t="s">
        <v>93</v>
      </c>
      <c r="B59" s="2" t="s">
        <v>88</v>
      </c>
      <c r="C59" s="2" t="s">
        <v>79</v>
      </c>
      <c r="D59" s="2">
        <v>2103.69</v>
      </c>
      <c r="E59" s="2">
        <v>6.8204030255434997E-3</v>
      </c>
      <c r="F59" s="2">
        <v>3.949819366554868</v>
      </c>
      <c r="G59" s="2"/>
      <c r="H59" s="2"/>
      <c r="I59" s="2">
        <v>2.5</v>
      </c>
      <c r="J59" s="2">
        <v>44.5</v>
      </c>
      <c r="K59" s="2">
        <v>327.37001004780808</v>
      </c>
      <c r="L59" s="2">
        <v>0.03</v>
      </c>
      <c r="M59" s="2" t="str">
        <f t="shared" si="0"/>
        <v>2.5 x 44.5</v>
      </c>
    </row>
    <row r="60" spans="1:13" x14ac:dyDescent="0.25">
      <c r="A60" s="2" t="s">
        <v>94</v>
      </c>
      <c r="B60" s="2" t="s">
        <v>88</v>
      </c>
      <c r="C60" s="2" t="s">
        <v>79</v>
      </c>
      <c r="D60" s="2">
        <v>454.03</v>
      </c>
      <c r="E60" s="2">
        <v>3.0570465142404999E-3</v>
      </c>
      <c r="F60" s="2">
        <v>2.694347745233205</v>
      </c>
      <c r="G60" s="2"/>
      <c r="H60" s="2"/>
      <c r="I60" s="2">
        <v>2.5</v>
      </c>
      <c r="J60" s="2">
        <v>65</v>
      </c>
      <c r="K60" s="2">
        <v>327.37001004780808</v>
      </c>
      <c r="L60" s="2">
        <v>0.03</v>
      </c>
      <c r="M60" s="2" t="str">
        <f t="shared" si="0"/>
        <v>2.5 x 65</v>
      </c>
    </row>
    <row r="61" spans="1:13" x14ac:dyDescent="0.25">
      <c r="A61" s="2" t="s">
        <v>95</v>
      </c>
      <c r="B61" s="2" t="s">
        <v>88</v>
      </c>
      <c r="C61" s="2" t="s">
        <v>79</v>
      </c>
      <c r="D61" s="2">
        <v>500</v>
      </c>
      <c r="E61" s="2">
        <v>8.1940491642960994E-3</v>
      </c>
      <c r="F61" s="2">
        <v>3.642412258715241</v>
      </c>
      <c r="G61" s="2"/>
      <c r="H61" s="2"/>
      <c r="I61" s="2">
        <v>2.5</v>
      </c>
      <c r="J61" s="2">
        <v>65</v>
      </c>
      <c r="K61" s="2">
        <v>327.37001004780808</v>
      </c>
      <c r="L61" s="2">
        <v>0.03</v>
      </c>
      <c r="M61" s="2" t="str">
        <f t="shared" si="0"/>
        <v>2.5 x 65</v>
      </c>
    </row>
    <row r="62" spans="1:13" x14ac:dyDescent="0.25">
      <c r="A62" s="2" t="s">
        <v>96</v>
      </c>
      <c r="B62" s="2" t="s">
        <v>88</v>
      </c>
      <c r="C62" s="2" t="s">
        <v>79</v>
      </c>
      <c r="D62" s="2">
        <v>1305.8</v>
      </c>
      <c r="E62" s="2">
        <v>5.2787684456284999E-3</v>
      </c>
      <c r="F62" s="2">
        <v>3.1848105397452691</v>
      </c>
      <c r="G62" s="2"/>
      <c r="H62" s="2"/>
      <c r="I62" s="2">
        <v>2.5</v>
      </c>
      <c r="J62" s="2">
        <v>65</v>
      </c>
      <c r="K62" s="2">
        <v>327.37001004780808</v>
      </c>
      <c r="L62" s="2">
        <v>0.03</v>
      </c>
      <c r="M62" s="2" t="str">
        <f t="shared" si="0"/>
        <v>2.5 x 65</v>
      </c>
    </row>
    <row r="63" spans="1:13" x14ac:dyDescent="0.25">
      <c r="A63" s="2" t="s">
        <v>97</v>
      </c>
      <c r="B63" s="2" t="s">
        <v>88</v>
      </c>
      <c r="C63" s="2" t="s">
        <v>79</v>
      </c>
      <c r="D63" s="2">
        <v>502.99</v>
      </c>
      <c r="E63" s="2">
        <v>4.1193498107358001E-3</v>
      </c>
      <c r="F63" s="2">
        <v>3.0219951873621338</v>
      </c>
      <c r="G63" s="2"/>
      <c r="H63" s="2"/>
      <c r="I63" s="2">
        <v>2.5</v>
      </c>
      <c r="J63" s="2">
        <v>65</v>
      </c>
      <c r="K63" s="2">
        <v>347.70601320727451</v>
      </c>
      <c r="L63" s="2">
        <v>0.03</v>
      </c>
      <c r="M63" s="2" t="str">
        <f t="shared" si="0"/>
        <v>2.5 x 65</v>
      </c>
    </row>
    <row r="64" spans="1:13" x14ac:dyDescent="0.25">
      <c r="A64" s="2" t="s">
        <v>98</v>
      </c>
      <c r="B64" s="2" t="s">
        <v>88</v>
      </c>
      <c r="C64" s="2" t="s">
        <v>79</v>
      </c>
      <c r="D64" s="2">
        <v>484.43</v>
      </c>
      <c r="E64" s="2">
        <v>4.4010668252033999E-3</v>
      </c>
      <c r="F64" s="2">
        <v>3.0837693236207762</v>
      </c>
      <c r="G64" s="2"/>
      <c r="H64" s="2"/>
      <c r="I64" s="2">
        <v>2.5</v>
      </c>
      <c r="J64" s="2">
        <v>65</v>
      </c>
      <c r="K64" s="2">
        <v>347.70601320727451</v>
      </c>
      <c r="L64" s="2">
        <v>0.03</v>
      </c>
      <c r="M64" s="2" t="str">
        <f t="shared" si="0"/>
        <v>2.5 x 65</v>
      </c>
    </row>
    <row r="65" spans="1:13" x14ac:dyDescent="0.25">
      <c r="A65" s="2" t="s">
        <v>99</v>
      </c>
      <c r="B65" s="2" t="s">
        <v>88</v>
      </c>
      <c r="C65" s="2" t="s">
        <v>79</v>
      </c>
      <c r="D65" s="2">
        <v>890.77</v>
      </c>
      <c r="E65" s="2">
        <v>3.7843535895232001E-3</v>
      </c>
      <c r="F65" s="2">
        <v>2.9443880059310241</v>
      </c>
      <c r="G65" s="2"/>
      <c r="H65" s="2"/>
      <c r="I65" s="2">
        <v>2.5</v>
      </c>
      <c r="J65" s="2">
        <v>65</v>
      </c>
      <c r="K65" s="2">
        <v>347.70601320727451</v>
      </c>
      <c r="L65" s="2">
        <v>0.03</v>
      </c>
      <c r="M65" s="2" t="str">
        <f t="shared" si="0"/>
        <v>2.5 x 65</v>
      </c>
    </row>
    <row r="66" spans="1:13" x14ac:dyDescent="0.25">
      <c r="A66" s="2" t="s">
        <v>100</v>
      </c>
      <c r="B66" s="2" t="s">
        <v>88</v>
      </c>
      <c r="C66" s="2" t="s">
        <v>79</v>
      </c>
      <c r="D66" s="2">
        <v>443.43</v>
      </c>
      <c r="E66" s="2">
        <v>2.1987637309974998E-3</v>
      </c>
      <c r="F66" s="2">
        <v>2.316333174045702</v>
      </c>
      <c r="G66" s="2"/>
      <c r="H66" s="2"/>
      <c r="I66" s="2">
        <v>2.5</v>
      </c>
      <c r="J66" s="2">
        <v>97</v>
      </c>
      <c r="K66" s="2">
        <v>421.00201308531382</v>
      </c>
      <c r="L66" s="2">
        <v>0.03</v>
      </c>
      <c r="M66" s="2" t="str">
        <f t="shared" ref="M66:M129" si="1">TEXT(I66,"0.0")&amp;" x "&amp;IF(J66=INT(J66),TEXT(J66,"0"),TEXT(J66,"0.0"))</f>
        <v>2.5 x 97</v>
      </c>
    </row>
    <row r="67" spans="1:13" x14ac:dyDescent="0.25">
      <c r="A67" s="2" t="s">
        <v>101</v>
      </c>
      <c r="B67" s="2" t="s">
        <v>88</v>
      </c>
      <c r="C67" s="2" t="s">
        <v>79</v>
      </c>
      <c r="D67" s="2">
        <v>441.99</v>
      </c>
      <c r="E67" s="2">
        <v>4.1607370319198004E-3</v>
      </c>
      <c r="F67" s="2">
        <v>2.812169041746011</v>
      </c>
      <c r="G67" s="2"/>
      <c r="H67" s="2"/>
      <c r="I67" s="2">
        <v>2.5</v>
      </c>
      <c r="J67" s="2">
        <v>97</v>
      </c>
      <c r="K67" s="2">
        <v>421.00201308531382</v>
      </c>
      <c r="L67" s="2">
        <v>0.03</v>
      </c>
      <c r="M67" s="2" t="str">
        <f t="shared" si="1"/>
        <v>2.5 x 97</v>
      </c>
    </row>
    <row r="68" spans="1:13" x14ac:dyDescent="0.25">
      <c r="A68" s="2" t="s">
        <v>102</v>
      </c>
      <c r="B68" s="2" t="s">
        <v>88</v>
      </c>
      <c r="C68" s="2" t="s">
        <v>79</v>
      </c>
      <c r="D68" s="2">
        <v>728.95</v>
      </c>
      <c r="E68" s="2">
        <v>3.0646820769589999E-3</v>
      </c>
      <c r="F68" s="2">
        <v>2.7491240528281682</v>
      </c>
      <c r="G68" s="2"/>
      <c r="H68" s="2"/>
      <c r="I68" s="2">
        <v>2.5</v>
      </c>
      <c r="J68" s="2">
        <v>124.5</v>
      </c>
      <c r="K68" s="2">
        <v>641.09500567073167</v>
      </c>
      <c r="L68" s="2">
        <v>0.03</v>
      </c>
      <c r="M68" s="2" t="str">
        <f t="shared" si="1"/>
        <v>2.5 x 124.5</v>
      </c>
    </row>
    <row r="69" spans="1:13" x14ac:dyDescent="0.25">
      <c r="A69" s="2" t="s">
        <v>103</v>
      </c>
      <c r="B69" s="2" t="s">
        <v>88</v>
      </c>
      <c r="C69" s="2" t="s">
        <v>79</v>
      </c>
      <c r="D69" s="2">
        <v>85.73</v>
      </c>
      <c r="E69" s="2">
        <v>9.9999999999990006E-4</v>
      </c>
      <c r="F69" s="2">
        <v>1.5877555536931789</v>
      </c>
      <c r="G69" s="2"/>
      <c r="H69" s="2"/>
      <c r="I69" s="2">
        <v>2.5</v>
      </c>
      <c r="J69" s="2">
        <v>267</v>
      </c>
      <c r="K69" s="2">
        <v>794.70797944236597</v>
      </c>
      <c r="L69" s="2">
        <v>0.03</v>
      </c>
      <c r="M69" s="2" t="str">
        <f t="shared" si="1"/>
        <v>2.5 x 267</v>
      </c>
    </row>
    <row r="70" spans="1:13" x14ac:dyDescent="0.25">
      <c r="A70" s="2" t="s">
        <v>104</v>
      </c>
      <c r="B70" s="2" t="s">
        <v>105</v>
      </c>
      <c r="C70" s="2" t="s">
        <v>79</v>
      </c>
      <c r="D70" s="2">
        <v>780.5</v>
      </c>
      <c r="E70" s="2">
        <v>4.0358589268713E-3</v>
      </c>
      <c r="F70" s="2">
        <v>3.1341889204069311</v>
      </c>
      <c r="G70" s="2"/>
      <c r="H70" s="2"/>
      <c r="I70" s="2">
        <v>2.5</v>
      </c>
      <c r="J70" s="2">
        <v>94.5</v>
      </c>
      <c r="K70" s="2">
        <v>554.43102082769178</v>
      </c>
      <c r="L70" s="2">
        <v>0.03</v>
      </c>
      <c r="M70" s="2" t="str">
        <f t="shared" si="1"/>
        <v>2.5 x 94.5</v>
      </c>
    </row>
    <row r="71" spans="1:13" x14ac:dyDescent="0.25">
      <c r="A71" s="2" t="s">
        <v>106</v>
      </c>
      <c r="B71" s="2" t="s">
        <v>105</v>
      </c>
      <c r="C71" s="2" t="s">
        <v>79</v>
      </c>
      <c r="D71" s="2">
        <v>1188.9100000000001</v>
      </c>
      <c r="E71" s="2">
        <v>5.2602892738529998E-3</v>
      </c>
      <c r="F71" s="2">
        <v>3.3975199395989528</v>
      </c>
      <c r="G71" s="2"/>
      <c r="H71" s="2"/>
      <c r="I71" s="2">
        <v>2.5</v>
      </c>
      <c r="J71" s="2">
        <v>94.5</v>
      </c>
      <c r="K71" s="2">
        <v>554.43102082769178</v>
      </c>
      <c r="L71" s="2">
        <v>0.03</v>
      </c>
      <c r="M71" s="2" t="str">
        <f t="shared" si="1"/>
        <v>2.5 x 94.5</v>
      </c>
    </row>
    <row r="72" spans="1:13" x14ac:dyDescent="0.25">
      <c r="A72" s="2" t="s">
        <v>107</v>
      </c>
      <c r="B72" s="2" t="s">
        <v>105</v>
      </c>
      <c r="C72" s="2" t="s">
        <v>79</v>
      </c>
      <c r="D72" s="2">
        <v>961.75</v>
      </c>
      <c r="E72" s="2">
        <v>2.6451863119934002E-3</v>
      </c>
      <c r="F72" s="2">
        <v>2.55092132562089</v>
      </c>
      <c r="G72" s="2"/>
      <c r="H72" s="2"/>
      <c r="I72" s="2">
        <v>2.5</v>
      </c>
      <c r="J72" s="2">
        <v>116</v>
      </c>
      <c r="K72" s="2">
        <v>554.43102082769178</v>
      </c>
      <c r="L72" s="2">
        <v>0.03</v>
      </c>
      <c r="M72" s="2" t="str">
        <f t="shared" si="1"/>
        <v>2.5 x 116</v>
      </c>
    </row>
    <row r="73" spans="1:13" x14ac:dyDescent="0.25">
      <c r="A73" s="2" t="s">
        <v>108</v>
      </c>
      <c r="B73" s="2" t="s">
        <v>105</v>
      </c>
      <c r="C73" s="2" t="s">
        <v>79</v>
      </c>
      <c r="D73" s="2">
        <v>871.1</v>
      </c>
      <c r="E73" s="2">
        <v>7.5743660859427997E-3</v>
      </c>
      <c r="F73" s="2">
        <v>3.5095814132750558</v>
      </c>
      <c r="G73" s="2"/>
      <c r="H73" s="2"/>
      <c r="I73" s="2">
        <v>2.5</v>
      </c>
      <c r="J73" s="2">
        <v>116</v>
      </c>
      <c r="K73" s="2">
        <v>554.43102082769178</v>
      </c>
      <c r="L73" s="2">
        <v>0.03</v>
      </c>
      <c r="M73" s="2" t="str">
        <f t="shared" si="1"/>
        <v>2.5 x 116</v>
      </c>
    </row>
    <row r="74" spans="1:13" x14ac:dyDescent="0.25">
      <c r="A74" s="2" t="s">
        <v>109</v>
      </c>
      <c r="B74" s="2" t="s">
        <v>105</v>
      </c>
      <c r="C74" s="2" t="s">
        <v>79</v>
      </c>
      <c r="D74" s="2">
        <v>1578.81</v>
      </c>
      <c r="E74" s="2">
        <v>3.6768291987737001E-3</v>
      </c>
      <c r="F74" s="2">
        <v>2.8298220339677131</v>
      </c>
      <c r="G74" s="2"/>
      <c r="H74" s="2"/>
      <c r="I74" s="2">
        <v>2.5</v>
      </c>
      <c r="J74" s="2">
        <v>116</v>
      </c>
      <c r="K74" s="2">
        <v>559.77997355532193</v>
      </c>
      <c r="L74" s="2">
        <v>0.03</v>
      </c>
      <c r="M74" s="2" t="str">
        <f t="shared" si="1"/>
        <v>2.5 x 116</v>
      </c>
    </row>
    <row r="75" spans="1:13" x14ac:dyDescent="0.25">
      <c r="A75" s="2" t="s">
        <v>110</v>
      </c>
      <c r="B75" s="2" t="s">
        <v>105</v>
      </c>
      <c r="C75" s="2" t="s">
        <v>79</v>
      </c>
      <c r="D75" s="2">
        <v>500</v>
      </c>
      <c r="E75" s="2">
        <v>6.6380000000003997E-3</v>
      </c>
      <c r="F75" s="2">
        <v>3.3848875711489161</v>
      </c>
      <c r="G75" s="2"/>
      <c r="H75" s="2"/>
      <c r="I75" s="2">
        <v>2.5</v>
      </c>
      <c r="J75" s="2">
        <v>116</v>
      </c>
      <c r="K75" s="2">
        <v>559.77997355532193</v>
      </c>
      <c r="L75" s="2">
        <v>0.03</v>
      </c>
      <c r="M75" s="2" t="str">
        <f t="shared" si="1"/>
        <v>2.5 x 116</v>
      </c>
    </row>
    <row r="76" spans="1:13" x14ac:dyDescent="0.25">
      <c r="A76" s="2" t="s">
        <v>111</v>
      </c>
      <c r="B76" s="2" t="s">
        <v>105</v>
      </c>
      <c r="C76" s="2" t="s">
        <v>79</v>
      </c>
      <c r="D76" s="2">
        <v>837.19</v>
      </c>
      <c r="E76" s="2">
        <v>3.5941490263907E-3</v>
      </c>
      <c r="F76" s="2">
        <v>2.810367988892303</v>
      </c>
      <c r="G76" s="2"/>
      <c r="H76" s="2"/>
      <c r="I76" s="2">
        <v>2.5</v>
      </c>
      <c r="J76" s="2">
        <v>116</v>
      </c>
      <c r="K76" s="2">
        <v>559.77997355532193</v>
      </c>
      <c r="L76" s="2">
        <v>0.03</v>
      </c>
      <c r="M76" s="2" t="str">
        <f t="shared" si="1"/>
        <v>2.5 x 116</v>
      </c>
    </row>
    <row r="77" spans="1:13" x14ac:dyDescent="0.25">
      <c r="A77" s="2" t="s">
        <v>112</v>
      </c>
      <c r="B77" s="2" t="s">
        <v>105</v>
      </c>
      <c r="C77" s="2" t="s">
        <v>79</v>
      </c>
      <c r="D77" s="2">
        <v>588.9</v>
      </c>
      <c r="E77" s="2">
        <v>5.4083517856885E-3</v>
      </c>
      <c r="F77" s="2">
        <v>3.1860697652072232</v>
      </c>
      <c r="G77" s="2"/>
      <c r="H77" s="2"/>
      <c r="I77" s="2">
        <v>2.5</v>
      </c>
      <c r="J77" s="2">
        <v>116</v>
      </c>
      <c r="K77" s="2">
        <v>561.92497466774921</v>
      </c>
      <c r="L77" s="2">
        <v>0.03</v>
      </c>
      <c r="M77" s="2" t="str">
        <f t="shared" si="1"/>
        <v>2.5 x 116</v>
      </c>
    </row>
    <row r="78" spans="1:13" x14ac:dyDescent="0.25">
      <c r="A78" s="2" t="s">
        <v>113</v>
      </c>
      <c r="B78" s="2" t="s">
        <v>105</v>
      </c>
      <c r="C78" s="2" t="s">
        <v>79</v>
      </c>
      <c r="D78" s="2">
        <v>860.73</v>
      </c>
      <c r="E78" s="2">
        <v>2.6314811114274E-3</v>
      </c>
      <c r="F78" s="2">
        <v>2.543781354470855</v>
      </c>
      <c r="G78" s="2"/>
      <c r="H78" s="2"/>
      <c r="I78" s="2">
        <v>2.5</v>
      </c>
      <c r="J78" s="2">
        <v>118</v>
      </c>
      <c r="K78" s="2">
        <v>561.92497466774921</v>
      </c>
      <c r="L78" s="2">
        <v>0.03</v>
      </c>
      <c r="M78" s="2" t="str">
        <f t="shared" si="1"/>
        <v>2.5 x 118</v>
      </c>
    </row>
    <row r="79" spans="1:13" x14ac:dyDescent="0.25">
      <c r="A79" s="2" t="s">
        <v>114</v>
      </c>
      <c r="B79" s="2" t="s">
        <v>105</v>
      </c>
      <c r="C79" s="2" t="s">
        <v>79</v>
      </c>
      <c r="D79" s="2">
        <v>108.94</v>
      </c>
      <c r="E79" s="2">
        <v>9.9999999999990006E-4</v>
      </c>
      <c r="F79" s="2">
        <v>1.5868266859730329</v>
      </c>
      <c r="G79" s="2"/>
      <c r="H79" s="2"/>
      <c r="I79" s="2">
        <v>2.5</v>
      </c>
      <c r="J79" s="2">
        <v>253</v>
      </c>
      <c r="K79" s="2">
        <v>752.51200690919711</v>
      </c>
      <c r="L79" s="2">
        <v>0.03</v>
      </c>
      <c r="M79" s="2" t="str">
        <f t="shared" si="1"/>
        <v>2.5 x 253</v>
      </c>
    </row>
    <row r="80" spans="1:13" x14ac:dyDescent="0.25">
      <c r="A80" s="2" t="s">
        <v>115</v>
      </c>
      <c r="B80" s="2" t="s">
        <v>116</v>
      </c>
      <c r="C80" s="2" t="s">
        <v>79</v>
      </c>
      <c r="D80" s="2">
        <v>4767.5600000000004</v>
      </c>
      <c r="E80" s="2">
        <v>5.5395212645459003E-3</v>
      </c>
      <c r="F80" s="2">
        <v>3.348003194679102</v>
      </c>
      <c r="G80" s="2"/>
      <c r="H80" s="2"/>
      <c r="I80" s="2">
        <v>2.5</v>
      </c>
      <c r="J80" s="2">
        <v>20.5</v>
      </c>
      <c r="K80" s="2">
        <v>127.02299875413659</v>
      </c>
      <c r="L80" s="2">
        <v>0.03</v>
      </c>
      <c r="M80" s="2" t="str">
        <f t="shared" si="1"/>
        <v>2.5 x 20.5</v>
      </c>
    </row>
    <row r="81" spans="1:13" x14ac:dyDescent="0.25">
      <c r="A81" s="2" t="s">
        <v>117</v>
      </c>
      <c r="B81" s="2" t="s">
        <v>116</v>
      </c>
      <c r="C81" s="2" t="s">
        <v>79</v>
      </c>
      <c r="D81" s="2">
        <v>1017.2</v>
      </c>
      <c r="E81" s="2">
        <v>8.0751081399932003E-3</v>
      </c>
      <c r="F81" s="2">
        <v>3.7748777194819119</v>
      </c>
      <c r="G81" s="2"/>
      <c r="H81" s="2"/>
      <c r="I81" s="2">
        <v>2.5</v>
      </c>
      <c r="J81" s="2">
        <v>20.5</v>
      </c>
      <c r="K81" s="2">
        <v>127.02299875413659</v>
      </c>
      <c r="L81" s="2">
        <v>0.03</v>
      </c>
      <c r="M81" s="2" t="str">
        <f t="shared" si="1"/>
        <v>2.5 x 20.5</v>
      </c>
    </row>
    <row r="82" spans="1:13" x14ac:dyDescent="0.25">
      <c r="A82" s="2" t="s">
        <v>118</v>
      </c>
      <c r="B82" s="2" t="s">
        <v>116</v>
      </c>
      <c r="C82" s="2" t="s">
        <v>79</v>
      </c>
      <c r="D82" s="2">
        <v>1397.81</v>
      </c>
      <c r="E82" s="2">
        <v>3.3530927576913001E-3</v>
      </c>
      <c r="F82" s="2">
        <v>2.7817956050551178</v>
      </c>
      <c r="G82" s="2"/>
      <c r="H82" s="2"/>
      <c r="I82" s="2">
        <v>2.5</v>
      </c>
      <c r="J82" s="2">
        <v>46</v>
      </c>
      <c r="K82" s="2">
        <v>239.40400333521481</v>
      </c>
      <c r="L82" s="2">
        <v>0.03</v>
      </c>
      <c r="M82" s="2" t="str">
        <f t="shared" si="1"/>
        <v>2.5 x 46</v>
      </c>
    </row>
    <row r="83" spans="1:13" x14ac:dyDescent="0.25">
      <c r="A83" s="2" t="s">
        <v>119</v>
      </c>
      <c r="B83" s="2" t="s">
        <v>116</v>
      </c>
      <c r="C83" s="2" t="s">
        <v>79</v>
      </c>
      <c r="D83" s="2">
        <v>500</v>
      </c>
      <c r="E83" s="2">
        <v>6.5780526244193002E-3</v>
      </c>
      <c r="F83" s="2">
        <v>3.4245845666330101</v>
      </c>
      <c r="G83" s="2"/>
      <c r="H83" s="2"/>
      <c r="I83" s="2">
        <v>2.5</v>
      </c>
      <c r="J83" s="2">
        <v>46</v>
      </c>
      <c r="K83" s="2">
        <v>239.40400333521481</v>
      </c>
      <c r="L83" s="2">
        <v>0.03</v>
      </c>
      <c r="M83" s="2" t="str">
        <f t="shared" si="1"/>
        <v>2.5 x 46</v>
      </c>
    </row>
    <row r="84" spans="1:13" x14ac:dyDescent="0.25">
      <c r="A84" s="2" t="s">
        <v>120</v>
      </c>
      <c r="B84" s="2" t="s">
        <v>116</v>
      </c>
      <c r="C84" s="2" t="s">
        <v>79</v>
      </c>
      <c r="D84" s="2">
        <v>549.67999999999995</v>
      </c>
      <c r="E84" s="2">
        <v>3.9623197581126002E-3</v>
      </c>
      <c r="F84" s="2">
        <v>2.9291028924288671</v>
      </c>
      <c r="G84" s="2"/>
      <c r="H84" s="2"/>
      <c r="I84" s="2">
        <v>2.5</v>
      </c>
      <c r="J84" s="2">
        <v>46</v>
      </c>
      <c r="K84" s="2">
        <v>239.40400333521481</v>
      </c>
      <c r="L84" s="2">
        <v>0.03</v>
      </c>
      <c r="M84" s="2" t="str">
        <f t="shared" si="1"/>
        <v>2.5 x 46</v>
      </c>
    </row>
    <row r="85" spans="1:13" x14ac:dyDescent="0.25">
      <c r="A85" s="2" t="s">
        <v>121</v>
      </c>
      <c r="B85" s="2" t="s">
        <v>116</v>
      </c>
      <c r="C85" s="2" t="s">
        <v>79</v>
      </c>
      <c r="D85" s="2">
        <v>1684.49</v>
      </c>
      <c r="E85" s="2">
        <v>3.0519699635437E-3</v>
      </c>
      <c r="F85" s="2">
        <v>2.6634327718304882</v>
      </c>
      <c r="G85" s="2"/>
      <c r="H85" s="2"/>
      <c r="I85" s="2">
        <v>2.5</v>
      </c>
      <c r="J85" s="2">
        <v>50</v>
      </c>
      <c r="K85" s="2">
        <v>248.96599951480499</v>
      </c>
      <c r="L85" s="2">
        <v>0.03</v>
      </c>
      <c r="M85" s="2" t="str">
        <f t="shared" si="1"/>
        <v>2.5 x 50</v>
      </c>
    </row>
    <row r="86" spans="1:13" x14ac:dyDescent="0.25">
      <c r="A86" s="2" t="s">
        <v>122</v>
      </c>
      <c r="B86" s="2" t="s">
        <v>123</v>
      </c>
      <c r="C86" s="2" t="s">
        <v>79</v>
      </c>
      <c r="D86" s="2">
        <v>1717</v>
      </c>
      <c r="E86" s="2">
        <v>4.0297029702964999E-3</v>
      </c>
      <c r="F86" s="2">
        <v>2.7572587307027661</v>
      </c>
      <c r="G86" s="2"/>
      <c r="H86" s="2"/>
      <c r="I86" s="2">
        <v>2.5</v>
      </c>
      <c r="J86" s="2">
        <v>14.5</v>
      </c>
      <c r="K86" s="2">
        <v>74.818998231315618</v>
      </c>
      <c r="L86" s="2">
        <v>0.03</v>
      </c>
      <c r="M86" s="2" t="str">
        <f t="shared" si="1"/>
        <v>2.5 x 14.5</v>
      </c>
    </row>
    <row r="87" spans="1:13" x14ac:dyDescent="0.25">
      <c r="A87" s="2" t="s">
        <v>124</v>
      </c>
      <c r="B87" s="2" t="s">
        <v>123</v>
      </c>
      <c r="C87" s="2" t="s">
        <v>79</v>
      </c>
      <c r="D87" s="2">
        <v>1306.3900000000001</v>
      </c>
      <c r="E87" s="2">
        <v>1.3770772893243999E-3</v>
      </c>
      <c r="F87" s="2">
        <v>1.7834975299428919</v>
      </c>
      <c r="G87" s="2"/>
      <c r="H87" s="2"/>
      <c r="I87" s="2">
        <v>2.5</v>
      </c>
      <c r="J87" s="2">
        <v>46</v>
      </c>
      <c r="K87" s="2">
        <v>153.59899509405679</v>
      </c>
      <c r="L87" s="2">
        <v>0.03</v>
      </c>
      <c r="M87" s="2" t="str">
        <f t="shared" si="1"/>
        <v>2.5 x 46</v>
      </c>
    </row>
    <row r="88" spans="1:13" x14ac:dyDescent="0.25">
      <c r="A88" s="2" t="s">
        <v>125</v>
      </c>
      <c r="B88" s="2" t="s">
        <v>123</v>
      </c>
      <c r="C88" s="2" t="s">
        <v>79</v>
      </c>
      <c r="D88" s="2">
        <v>500</v>
      </c>
      <c r="E88" s="2">
        <v>7.9599999999913993E-3</v>
      </c>
      <c r="F88" s="2">
        <v>3.0577023101105931</v>
      </c>
      <c r="G88" s="2"/>
      <c r="H88" s="2"/>
      <c r="I88" s="2">
        <v>2.5</v>
      </c>
      <c r="J88" s="2">
        <v>46</v>
      </c>
      <c r="K88" s="2">
        <v>153.59899509405679</v>
      </c>
      <c r="L88" s="2">
        <v>0.03</v>
      </c>
      <c r="M88" s="2" t="str">
        <f t="shared" si="1"/>
        <v>2.5 x 46</v>
      </c>
    </row>
    <row r="89" spans="1:13" x14ac:dyDescent="0.25">
      <c r="A89" s="2" t="s">
        <v>126</v>
      </c>
      <c r="B89" s="2" t="s">
        <v>123</v>
      </c>
      <c r="C89" s="2" t="s">
        <v>79</v>
      </c>
      <c r="D89" s="2">
        <v>882.61</v>
      </c>
      <c r="E89" s="2">
        <v>2.9616704999946E-3</v>
      </c>
      <c r="F89" s="2">
        <v>2.2584890304568672</v>
      </c>
      <c r="G89" s="2"/>
      <c r="H89" s="2"/>
      <c r="I89" s="2">
        <v>2.5</v>
      </c>
      <c r="J89" s="2">
        <v>46</v>
      </c>
      <c r="K89" s="2">
        <v>153.59899509405679</v>
      </c>
      <c r="L89" s="2">
        <v>0.03</v>
      </c>
      <c r="M89" s="2" t="str">
        <f t="shared" si="1"/>
        <v>2.5 x 46</v>
      </c>
    </row>
    <row r="90" spans="1:13" x14ac:dyDescent="0.25">
      <c r="A90" s="2" t="s">
        <v>127</v>
      </c>
      <c r="B90" s="2" t="s">
        <v>123</v>
      </c>
      <c r="C90" s="2" t="s">
        <v>79</v>
      </c>
      <c r="D90" s="2">
        <v>351</v>
      </c>
      <c r="E90" s="2">
        <v>6.0227920227956004E-3</v>
      </c>
      <c r="F90" s="2">
        <v>2.8077739611862849</v>
      </c>
      <c r="G90" s="2"/>
      <c r="H90" s="2"/>
      <c r="I90" s="2">
        <v>2.5</v>
      </c>
      <c r="J90" s="2">
        <v>46</v>
      </c>
      <c r="K90" s="2">
        <v>153.59899509405679</v>
      </c>
      <c r="L90" s="2">
        <v>0.03</v>
      </c>
      <c r="M90" s="2" t="str">
        <f t="shared" si="1"/>
        <v>2.5 x 46</v>
      </c>
    </row>
    <row r="91" spans="1:13" x14ac:dyDescent="0.25">
      <c r="A91" s="2" t="s">
        <v>128</v>
      </c>
      <c r="B91" s="2" t="s">
        <v>123</v>
      </c>
      <c r="C91" s="2" t="s">
        <v>79</v>
      </c>
      <c r="D91" s="2">
        <v>402.08</v>
      </c>
      <c r="E91" s="2">
        <v>8.2496333611393E-3</v>
      </c>
      <c r="F91" s="2">
        <v>3.091272063324948</v>
      </c>
      <c r="G91" s="2"/>
      <c r="H91" s="2"/>
      <c r="I91" s="2">
        <v>2.5</v>
      </c>
      <c r="J91" s="2">
        <v>46</v>
      </c>
      <c r="K91" s="2">
        <v>153.59899509405679</v>
      </c>
      <c r="L91" s="2">
        <v>0.03</v>
      </c>
      <c r="M91" s="2" t="str">
        <f t="shared" si="1"/>
        <v>2.5 x 46</v>
      </c>
    </row>
    <row r="92" spans="1:13" x14ac:dyDescent="0.25">
      <c r="A92" s="2" t="s">
        <v>129</v>
      </c>
      <c r="B92" s="2" t="s">
        <v>130</v>
      </c>
      <c r="C92" s="2" t="s">
        <v>79</v>
      </c>
      <c r="D92" s="2">
        <v>698.1</v>
      </c>
      <c r="E92" s="2">
        <v>6.9989972783281998E-3</v>
      </c>
      <c r="F92" s="2">
        <v>3.6125108862326161</v>
      </c>
      <c r="G92" s="2"/>
      <c r="H92" s="2"/>
      <c r="I92" s="2">
        <v>2.5</v>
      </c>
      <c r="J92" s="2">
        <v>15</v>
      </c>
      <c r="K92" s="2">
        <v>99.444001188213804</v>
      </c>
      <c r="L92" s="2">
        <v>0.03</v>
      </c>
      <c r="M92" s="2" t="str">
        <f t="shared" si="1"/>
        <v>2.5 x 15</v>
      </c>
    </row>
    <row r="93" spans="1:13" x14ac:dyDescent="0.25">
      <c r="A93" s="2" t="s">
        <v>131</v>
      </c>
      <c r="B93" s="2" t="s">
        <v>130</v>
      </c>
      <c r="C93" s="2" t="s">
        <v>79</v>
      </c>
      <c r="D93" s="2">
        <v>1169.75</v>
      </c>
      <c r="E93" s="2">
        <v>4.2068674268258997E-3</v>
      </c>
      <c r="F93" s="2">
        <v>3.026241439797086</v>
      </c>
      <c r="G93" s="2"/>
      <c r="H93" s="2"/>
      <c r="I93" s="2">
        <v>2.5</v>
      </c>
      <c r="J93" s="2">
        <v>29.5</v>
      </c>
      <c r="K93" s="2">
        <v>166.537996428474</v>
      </c>
      <c r="L93" s="2">
        <v>0.03</v>
      </c>
      <c r="M93" s="2" t="str">
        <f t="shared" si="1"/>
        <v>2.5 x 29.5</v>
      </c>
    </row>
    <row r="94" spans="1:13" x14ac:dyDescent="0.25">
      <c r="A94" s="2" t="s">
        <v>132</v>
      </c>
      <c r="B94" s="2" t="s">
        <v>130</v>
      </c>
      <c r="C94" s="2" t="s">
        <v>79</v>
      </c>
      <c r="D94" s="2">
        <v>826.54</v>
      </c>
      <c r="E94" s="2">
        <v>7.4599779322102001E-3</v>
      </c>
      <c r="F94" s="2">
        <v>3.6204952825827839</v>
      </c>
      <c r="G94" s="2"/>
      <c r="H94" s="2"/>
      <c r="I94" s="2">
        <v>2.5</v>
      </c>
      <c r="J94" s="2">
        <v>29.5</v>
      </c>
      <c r="K94" s="2">
        <v>166.537996428474</v>
      </c>
      <c r="L94" s="2">
        <v>0.03</v>
      </c>
      <c r="M94" s="2" t="str">
        <f t="shared" si="1"/>
        <v>2.5 x 29.5</v>
      </c>
    </row>
    <row r="95" spans="1:13" x14ac:dyDescent="0.25">
      <c r="A95" s="2" t="s">
        <v>133</v>
      </c>
      <c r="B95" s="2" t="s">
        <v>130</v>
      </c>
      <c r="C95" s="2" t="s">
        <v>79</v>
      </c>
      <c r="D95" s="2">
        <v>1008.04</v>
      </c>
      <c r="E95" s="2">
        <v>3.0544544044056E-3</v>
      </c>
      <c r="F95" s="2">
        <v>2.6370172330827981</v>
      </c>
      <c r="G95" s="2"/>
      <c r="H95" s="2"/>
      <c r="I95" s="2">
        <v>2.5</v>
      </c>
      <c r="J95" s="2">
        <v>43</v>
      </c>
      <c r="K95" s="2">
        <v>210.9989986596787</v>
      </c>
      <c r="L95" s="2">
        <v>0.03</v>
      </c>
      <c r="M95" s="2" t="str">
        <f t="shared" si="1"/>
        <v>2.5 x 43</v>
      </c>
    </row>
    <row r="96" spans="1:13" x14ac:dyDescent="0.25">
      <c r="A96" s="2" t="s">
        <v>134</v>
      </c>
      <c r="B96" s="2" t="s">
        <v>130</v>
      </c>
      <c r="C96" s="2" t="s">
        <v>79</v>
      </c>
      <c r="D96" s="2">
        <v>674.96</v>
      </c>
      <c r="E96" s="2">
        <v>3.5720423607781002E-3</v>
      </c>
      <c r="F96" s="2">
        <v>2.7678888957867049</v>
      </c>
      <c r="G96" s="2"/>
      <c r="H96" s="2"/>
      <c r="I96" s="2">
        <v>2.5</v>
      </c>
      <c r="J96" s="2">
        <v>43</v>
      </c>
      <c r="K96" s="2">
        <v>210.9989986596787</v>
      </c>
      <c r="L96" s="2">
        <v>0.03</v>
      </c>
      <c r="M96" s="2" t="str">
        <f t="shared" si="1"/>
        <v>2.5 x 43</v>
      </c>
    </row>
    <row r="97" spans="1:13" x14ac:dyDescent="0.25">
      <c r="A97" s="2" t="s">
        <v>135</v>
      </c>
      <c r="B97" s="2" t="s">
        <v>130</v>
      </c>
      <c r="C97" s="2" t="s">
        <v>79</v>
      </c>
      <c r="D97" s="2">
        <v>660.43</v>
      </c>
      <c r="E97" s="2">
        <v>1.7216160478238001E-3</v>
      </c>
      <c r="F97" s="2">
        <v>2.012336904518762</v>
      </c>
      <c r="G97" s="2"/>
      <c r="H97" s="2"/>
      <c r="I97" s="2">
        <v>2.5</v>
      </c>
      <c r="J97" s="2">
        <v>56</v>
      </c>
      <c r="K97" s="2">
        <v>210.9989986596787</v>
      </c>
      <c r="L97" s="2">
        <v>0.03</v>
      </c>
      <c r="M97" s="2" t="str">
        <f t="shared" si="1"/>
        <v>2.5 x 56</v>
      </c>
    </row>
    <row r="98" spans="1:13" x14ac:dyDescent="0.25">
      <c r="A98" s="2" t="s">
        <v>136</v>
      </c>
      <c r="B98" s="2" t="s">
        <v>130</v>
      </c>
      <c r="C98" s="2" t="s">
        <v>79</v>
      </c>
      <c r="D98" s="2">
        <v>698.9</v>
      </c>
      <c r="E98" s="2">
        <v>3.9018569233271998E-3</v>
      </c>
      <c r="F98" s="2">
        <v>2.859251342242072</v>
      </c>
      <c r="G98" s="2"/>
      <c r="H98" s="2"/>
      <c r="I98" s="2">
        <v>2.5</v>
      </c>
      <c r="J98" s="2">
        <v>56</v>
      </c>
      <c r="K98" s="2">
        <v>273.37100076223288</v>
      </c>
      <c r="L98" s="2">
        <v>0.03</v>
      </c>
      <c r="M98" s="2" t="str">
        <f t="shared" si="1"/>
        <v>2.5 x 56</v>
      </c>
    </row>
    <row r="99" spans="1:13" x14ac:dyDescent="0.25">
      <c r="A99" s="2" t="s">
        <v>137</v>
      </c>
      <c r="B99" s="2" t="s">
        <v>130</v>
      </c>
      <c r="C99" s="2" t="s">
        <v>79</v>
      </c>
      <c r="D99" s="2">
        <v>693.27</v>
      </c>
      <c r="E99" s="2">
        <v>2.7521863870645E-3</v>
      </c>
      <c r="F99" s="2">
        <v>2.5440447104885209</v>
      </c>
      <c r="G99" s="2"/>
      <c r="H99" s="2"/>
      <c r="I99" s="2">
        <v>2.5</v>
      </c>
      <c r="J99" s="2">
        <v>57.5</v>
      </c>
      <c r="K99" s="2">
        <v>273.37100076223288</v>
      </c>
      <c r="L99" s="2">
        <v>0.03</v>
      </c>
      <c r="M99" s="2" t="str">
        <f t="shared" si="1"/>
        <v>2.5 x 57.5</v>
      </c>
    </row>
    <row r="100" spans="1:13" x14ac:dyDescent="0.25">
      <c r="A100" s="2" t="s">
        <v>138</v>
      </c>
      <c r="B100" s="2" t="s">
        <v>130</v>
      </c>
      <c r="C100" s="2" t="s">
        <v>79</v>
      </c>
      <c r="D100" s="2">
        <v>975.94</v>
      </c>
      <c r="E100" s="2">
        <v>2.7060964635799E-3</v>
      </c>
      <c r="F100" s="2">
        <v>2.5229893096721359</v>
      </c>
      <c r="G100" s="2"/>
      <c r="H100" s="2"/>
      <c r="I100" s="2">
        <v>2.5</v>
      </c>
      <c r="J100" s="2">
        <v>58</v>
      </c>
      <c r="K100" s="2">
        <v>273.37100076223288</v>
      </c>
      <c r="L100" s="2">
        <v>0.03</v>
      </c>
      <c r="M100" s="2" t="str">
        <f t="shared" si="1"/>
        <v>2.5 x 58</v>
      </c>
    </row>
    <row r="101" spans="1:13" x14ac:dyDescent="0.25">
      <c r="A101" s="2" t="s">
        <v>139</v>
      </c>
      <c r="B101" s="2" t="s">
        <v>140</v>
      </c>
      <c r="C101" s="2" t="s">
        <v>34</v>
      </c>
      <c r="D101" s="2">
        <v>1392.19</v>
      </c>
      <c r="E101" s="2">
        <v>5.8253542979051004E-3</v>
      </c>
      <c r="F101" s="2">
        <v>3.2211429150257378</v>
      </c>
      <c r="G101" s="2"/>
      <c r="H101" s="2"/>
      <c r="I101" s="2">
        <v>2.5</v>
      </c>
      <c r="J101" s="2">
        <v>13</v>
      </c>
      <c r="K101" s="2">
        <v>76.401997050811076</v>
      </c>
      <c r="L101" s="2">
        <v>0.03</v>
      </c>
      <c r="M101" s="2" t="str">
        <f t="shared" si="1"/>
        <v>2.5 x 13</v>
      </c>
    </row>
    <row r="102" spans="1:13" x14ac:dyDescent="0.25">
      <c r="A102" s="2" t="s">
        <v>141</v>
      </c>
      <c r="B102" s="2" t="s">
        <v>140</v>
      </c>
      <c r="C102" s="2" t="s">
        <v>34</v>
      </c>
      <c r="D102" s="2">
        <v>1898.76</v>
      </c>
      <c r="E102" s="2">
        <v>3.0477769450710001E-3</v>
      </c>
      <c r="F102" s="2">
        <v>2.4310789315464589</v>
      </c>
      <c r="G102" s="2"/>
      <c r="H102" s="2"/>
      <c r="I102" s="2">
        <v>2.5</v>
      </c>
      <c r="J102" s="2">
        <v>17</v>
      </c>
      <c r="K102" s="2">
        <v>76.401997050811076</v>
      </c>
      <c r="L102" s="2">
        <v>0.03</v>
      </c>
      <c r="M102" s="2" t="str">
        <f t="shared" si="1"/>
        <v>2.5 x 17</v>
      </c>
    </row>
    <row r="103" spans="1:13" x14ac:dyDescent="0.25">
      <c r="A103" s="2" t="s">
        <v>142</v>
      </c>
      <c r="B103" s="2" t="s">
        <v>140</v>
      </c>
      <c r="C103" s="2" t="s">
        <v>34</v>
      </c>
      <c r="D103" s="2">
        <v>589.04</v>
      </c>
      <c r="E103" s="2">
        <v>6.2491723793695001E-3</v>
      </c>
      <c r="F103" s="2">
        <v>3.060951239701601</v>
      </c>
      <c r="G103" s="2"/>
      <c r="H103" s="2"/>
      <c r="I103" s="2">
        <v>2.5</v>
      </c>
      <c r="J103" s="2">
        <v>17</v>
      </c>
      <c r="K103" s="2">
        <v>76.401997050811076</v>
      </c>
      <c r="L103" s="2">
        <v>0.03</v>
      </c>
      <c r="M103" s="2" t="str">
        <f t="shared" si="1"/>
        <v>2.5 x 17</v>
      </c>
    </row>
    <row r="104" spans="1:13" x14ac:dyDescent="0.25">
      <c r="A104" s="2" t="s">
        <v>143</v>
      </c>
      <c r="B104" s="2" t="s">
        <v>140</v>
      </c>
      <c r="C104" s="2" t="s">
        <v>34</v>
      </c>
      <c r="D104" s="2">
        <v>647.20000000000005</v>
      </c>
      <c r="E104" s="2">
        <v>2.1013564564942E-3</v>
      </c>
      <c r="F104" s="2">
        <v>2.0594346110511781</v>
      </c>
      <c r="G104" s="2"/>
      <c r="H104" s="2"/>
      <c r="I104" s="2">
        <v>2.5</v>
      </c>
      <c r="J104" s="2">
        <v>20</v>
      </c>
      <c r="K104" s="2">
        <v>76.401997050811076</v>
      </c>
      <c r="L104" s="2">
        <v>0.03</v>
      </c>
      <c r="M104" s="2" t="str">
        <f t="shared" si="1"/>
        <v>2.5 x 20</v>
      </c>
    </row>
    <row r="105" spans="1:13" x14ac:dyDescent="0.25">
      <c r="A105" s="2" t="s">
        <v>144</v>
      </c>
      <c r="B105" s="2" t="s">
        <v>140</v>
      </c>
      <c r="C105" s="2" t="s">
        <v>34</v>
      </c>
      <c r="D105" s="2">
        <v>1357.45</v>
      </c>
      <c r="E105" s="2">
        <v>3.9456317923725996E-3</v>
      </c>
      <c r="F105" s="2">
        <v>2.5166443481339291</v>
      </c>
      <c r="G105" s="2"/>
      <c r="H105" s="2"/>
      <c r="I105" s="2">
        <v>2.5</v>
      </c>
      <c r="J105" s="2">
        <v>20</v>
      </c>
      <c r="K105" s="2">
        <v>76.401997050811076</v>
      </c>
      <c r="L105" s="2">
        <v>0.03</v>
      </c>
      <c r="M105" s="2" t="str">
        <f t="shared" si="1"/>
        <v>2.5 x 20</v>
      </c>
    </row>
    <row r="106" spans="1:13" x14ac:dyDescent="0.25">
      <c r="A106" s="2" t="s">
        <v>145</v>
      </c>
      <c r="B106" s="2" t="s">
        <v>146</v>
      </c>
      <c r="C106" s="2" t="s">
        <v>34</v>
      </c>
      <c r="D106" s="2">
        <v>2229.6</v>
      </c>
      <c r="E106" s="2">
        <v>5.5126455361292999E-3</v>
      </c>
      <c r="F106" s="2">
        <v>2.9776958565273688</v>
      </c>
      <c r="G106" s="2"/>
      <c r="H106" s="2"/>
      <c r="I106" s="2">
        <v>2.5</v>
      </c>
      <c r="J106" s="2">
        <v>10</v>
      </c>
      <c r="K106" s="2">
        <v>53.389001089034053</v>
      </c>
      <c r="L106" s="2">
        <v>0.03</v>
      </c>
      <c r="M106" s="2" t="str">
        <f t="shared" si="1"/>
        <v>2.5 x 10</v>
      </c>
    </row>
    <row r="107" spans="1:13" x14ac:dyDescent="0.25">
      <c r="A107" s="2" t="s">
        <v>147</v>
      </c>
      <c r="B107" s="2" t="s">
        <v>146</v>
      </c>
      <c r="C107" s="2" t="s">
        <v>34</v>
      </c>
      <c r="D107" s="2">
        <v>399.4</v>
      </c>
      <c r="E107" s="2">
        <v>5.1902984233806997E-3</v>
      </c>
      <c r="F107" s="2">
        <v>3.2875164798357379</v>
      </c>
      <c r="G107" s="2"/>
      <c r="H107" s="2"/>
      <c r="I107" s="2">
        <v>2.5</v>
      </c>
      <c r="J107" s="2">
        <v>22</v>
      </c>
      <c r="K107" s="2">
        <v>135.5889968730981</v>
      </c>
      <c r="L107" s="2">
        <v>0.03</v>
      </c>
      <c r="M107" s="2" t="str">
        <f t="shared" si="1"/>
        <v>2.5 x 22</v>
      </c>
    </row>
    <row r="108" spans="1:13" x14ac:dyDescent="0.25">
      <c r="A108" s="2" t="s">
        <v>148</v>
      </c>
      <c r="B108" s="2" t="s">
        <v>146</v>
      </c>
      <c r="C108" s="2" t="s">
        <v>34</v>
      </c>
      <c r="D108" s="2">
        <v>702.76</v>
      </c>
      <c r="E108" s="2">
        <v>1E-3</v>
      </c>
      <c r="F108" s="2">
        <v>1.5231618221019081</v>
      </c>
      <c r="G108" s="2"/>
      <c r="H108" s="2"/>
      <c r="I108" s="2">
        <v>2.5</v>
      </c>
      <c r="J108" s="2">
        <v>47.5</v>
      </c>
      <c r="K108" s="2">
        <v>135.5889968730981</v>
      </c>
      <c r="L108" s="2">
        <v>0.03</v>
      </c>
      <c r="M108" s="2" t="str">
        <f t="shared" si="1"/>
        <v>2.5 x 47.5</v>
      </c>
    </row>
    <row r="109" spans="1:13" x14ac:dyDescent="0.25">
      <c r="A109" s="2" t="s">
        <v>149</v>
      </c>
      <c r="B109" s="2" t="s">
        <v>146</v>
      </c>
      <c r="C109" s="2" t="s">
        <v>34</v>
      </c>
      <c r="D109" s="2">
        <v>568.64</v>
      </c>
      <c r="E109" s="2">
        <v>7.1385059088339003E-3</v>
      </c>
      <c r="F109" s="2">
        <v>2.7840669780375049</v>
      </c>
      <c r="G109" s="2"/>
      <c r="H109" s="2"/>
      <c r="I109" s="2">
        <v>2.5</v>
      </c>
      <c r="J109" s="2">
        <v>47.5</v>
      </c>
      <c r="K109" s="2">
        <v>135.5889968730981</v>
      </c>
      <c r="L109" s="2">
        <v>0.03</v>
      </c>
      <c r="M109" s="2" t="str">
        <f t="shared" si="1"/>
        <v>2.5 x 47.5</v>
      </c>
    </row>
    <row r="110" spans="1:13" x14ac:dyDescent="0.25">
      <c r="A110" s="2" t="s">
        <v>150</v>
      </c>
      <c r="B110" s="2" t="s">
        <v>146</v>
      </c>
      <c r="C110" s="2" t="s">
        <v>34</v>
      </c>
      <c r="D110" s="2">
        <v>794.6</v>
      </c>
      <c r="E110" s="2">
        <v>4.7520765164859001E-3</v>
      </c>
      <c r="F110" s="2">
        <v>2.4587475914775472</v>
      </c>
      <c r="G110" s="2"/>
      <c r="H110" s="2"/>
      <c r="I110" s="2">
        <v>2.5</v>
      </c>
      <c r="J110" s="2">
        <v>47.5</v>
      </c>
      <c r="K110" s="2">
        <v>135.5889968730981</v>
      </c>
      <c r="L110" s="2">
        <v>0.03</v>
      </c>
      <c r="M110" s="2" t="str">
        <f t="shared" si="1"/>
        <v>2.5 x 47.5</v>
      </c>
    </row>
    <row r="111" spans="1:13" x14ac:dyDescent="0.25">
      <c r="A111" s="2" t="s">
        <v>151</v>
      </c>
      <c r="B111" s="2" t="s">
        <v>146</v>
      </c>
      <c r="C111" s="2" t="s">
        <v>34</v>
      </c>
      <c r="D111" s="2">
        <v>794.13</v>
      </c>
      <c r="E111" s="2">
        <v>1E-3</v>
      </c>
      <c r="F111" s="2">
        <v>1.529969255410653</v>
      </c>
      <c r="G111" s="2"/>
      <c r="H111" s="2"/>
      <c r="I111" s="2">
        <v>2.5</v>
      </c>
      <c r="J111" s="2">
        <v>52</v>
      </c>
      <c r="K111" s="2">
        <v>149.15200582151181</v>
      </c>
      <c r="L111" s="2">
        <v>0.03</v>
      </c>
      <c r="M111" s="2" t="str">
        <f t="shared" si="1"/>
        <v>2.5 x 52</v>
      </c>
    </row>
    <row r="112" spans="1:13" x14ac:dyDescent="0.25">
      <c r="A112" s="2" t="s">
        <v>152</v>
      </c>
      <c r="B112" s="2" t="s">
        <v>153</v>
      </c>
      <c r="C112" s="2" t="s">
        <v>34</v>
      </c>
      <c r="D112" s="2">
        <v>1941</v>
      </c>
      <c r="E112" s="2">
        <v>6.1025244719218998E-3</v>
      </c>
      <c r="F112" s="2">
        <v>3.598632954277392</v>
      </c>
      <c r="G112" s="2"/>
      <c r="H112" s="2"/>
      <c r="I112" s="2">
        <v>2.5</v>
      </c>
      <c r="J112" s="2">
        <v>25</v>
      </c>
      <c r="K112" s="2">
        <v>167.9959960050027</v>
      </c>
      <c r="L112" s="2">
        <v>0.03</v>
      </c>
      <c r="M112" s="2" t="str">
        <f t="shared" si="1"/>
        <v>2.5 x 25</v>
      </c>
    </row>
    <row r="113" spans="1:13" x14ac:dyDescent="0.25">
      <c r="A113" s="2" t="s">
        <v>154</v>
      </c>
      <c r="B113" s="2" t="s">
        <v>153</v>
      </c>
      <c r="C113" s="2" t="s">
        <v>34</v>
      </c>
      <c r="D113" s="2">
        <v>1003.73</v>
      </c>
      <c r="E113" s="2">
        <v>1.6279326948467E-3</v>
      </c>
      <c r="F113" s="2">
        <v>1.9544650009964979</v>
      </c>
      <c r="G113" s="2"/>
      <c r="H113" s="2"/>
      <c r="I113" s="2">
        <v>2.5</v>
      </c>
      <c r="J113" s="2">
        <v>57.5</v>
      </c>
      <c r="K113" s="2">
        <v>209.64999405381619</v>
      </c>
      <c r="L113" s="2">
        <v>0.03</v>
      </c>
      <c r="M113" s="2" t="str">
        <f t="shared" si="1"/>
        <v>2.5 x 57.5</v>
      </c>
    </row>
    <row r="114" spans="1:13" x14ac:dyDescent="0.25">
      <c r="A114" s="2" t="s">
        <v>155</v>
      </c>
      <c r="B114" s="2" t="s">
        <v>153</v>
      </c>
      <c r="C114" s="2" t="s">
        <v>34</v>
      </c>
      <c r="D114" s="2">
        <v>809.27</v>
      </c>
      <c r="E114" s="2">
        <v>8.3815968159045001E-3</v>
      </c>
      <c r="F114" s="2">
        <v>3.226707110268745</v>
      </c>
      <c r="G114" s="2"/>
      <c r="H114" s="2"/>
      <c r="I114" s="2">
        <v>2.5</v>
      </c>
      <c r="J114" s="2">
        <v>57.5</v>
      </c>
      <c r="K114" s="2">
        <v>209.64999405381619</v>
      </c>
      <c r="L114" s="2">
        <v>0.03</v>
      </c>
      <c r="M114" s="2" t="str">
        <f t="shared" si="1"/>
        <v>2.5 x 57.5</v>
      </c>
    </row>
    <row r="115" spans="1:13" x14ac:dyDescent="0.25">
      <c r="A115" s="2" t="s">
        <v>156</v>
      </c>
      <c r="B115" s="2" t="s">
        <v>153</v>
      </c>
      <c r="C115" s="2" t="s">
        <v>34</v>
      </c>
      <c r="D115" s="2">
        <v>1044.3900000000001</v>
      </c>
      <c r="E115" s="2">
        <v>3.3494525354305E-3</v>
      </c>
      <c r="F115" s="2">
        <v>2.4538199852838649</v>
      </c>
      <c r="G115" s="2"/>
      <c r="H115" s="2"/>
      <c r="I115" s="2">
        <v>2.5</v>
      </c>
      <c r="J115" s="2">
        <v>57.5</v>
      </c>
      <c r="K115" s="2">
        <v>213.03699582970009</v>
      </c>
      <c r="L115" s="2">
        <v>0.03</v>
      </c>
      <c r="M115" s="2" t="str">
        <f t="shared" si="1"/>
        <v>2.5 x 57.5</v>
      </c>
    </row>
    <row r="116" spans="1:13" x14ac:dyDescent="0.25">
      <c r="A116" s="2" t="s">
        <v>157</v>
      </c>
      <c r="B116" s="2" t="s">
        <v>153</v>
      </c>
      <c r="C116" s="2" t="s">
        <v>34</v>
      </c>
      <c r="D116" s="2">
        <v>575.64</v>
      </c>
      <c r="E116" s="2">
        <v>2.5760094527246002E-3</v>
      </c>
      <c r="F116" s="2">
        <v>2.4811534912542812</v>
      </c>
      <c r="G116" s="2"/>
      <c r="H116" s="2"/>
      <c r="I116" s="2">
        <v>2.5</v>
      </c>
      <c r="J116" s="2">
        <v>72.5</v>
      </c>
      <c r="K116" s="2">
        <v>335.93801302161512</v>
      </c>
      <c r="L116" s="2">
        <v>0.03</v>
      </c>
      <c r="M116" s="2" t="str">
        <f t="shared" si="1"/>
        <v>2.5 x 72.5</v>
      </c>
    </row>
    <row r="117" spans="1:13" x14ac:dyDescent="0.25">
      <c r="A117" s="2" t="s">
        <v>158</v>
      </c>
      <c r="B117" s="2" t="s">
        <v>159</v>
      </c>
      <c r="C117" s="2" t="s">
        <v>34</v>
      </c>
      <c r="D117" s="2">
        <v>1352.48</v>
      </c>
      <c r="E117" s="2">
        <v>3.2591979178991999E-3</v>
      </c>
      <c r="F117" s="2">
        <v>2.5955340094214878</v>
      </c>
      <c r="G117" s="2"/>
      <c r="H117" s="2"/>
      <c r="I117" s="2">
        <v>2.5</v>
      </c>
      <c r="J117" s="2">
        <v>22</v>
      </c>
      <c r="K117" s="2">
        <v>106.3590013419566</v>
      </c>
      <c r="L117" s="2">
        <v>0.03</v>
      </c>
      <c r="M117" s="2" t="str">
        <f t="shared" si="1"/>
        <v>2.5 x 22</v>
      </c>
    </row>
    <row r="118" spans="1:13" x14ac:dyDescent="0.25">
      <c r="A118" s="2" t="s">
        <v>160</v>
      </c>
      <c r="B118" s="2" t="s">
        <v>159</v>
      </c>
      <c r="C118" s="2" t="s">
        <v>34</v>
      </c>
      <c r="D118" s="2">
        <v>1075.02</v>
      </c>
      <c r="E118" s="2">
        <v>7.2547374617058999E-3</v>
      </c>
      <c r="F118" s="2">
        <v>3.343554629012035</v>
      </c>
      <c r="G118" s="2"/>
      <c r="H118" s="2"/>
      <c r="I118" s="2">
        <v>2.5</v>
      </c>
      <c r="J118" s="2">
        <v>22</v>
      </c>
      <c r="K118" s="2">
        <v>106.3590013419566</v>
      </c>
      <c r="L118" s="2">
        <v>0.03</v>
      </c>
      <c r="M118" s="2" t="str">
        <f t="shared" si="1"/>
        <v>2.5 x 22</v>
      </c>
    </row>
    <row r="119" spans="1:13" x14ac:dyDescent="0.25">
      <c r="A119" s="2" t="s">
        <v>161</v>
      </c>
      <c r="B119" s="2" t="s">
        <v>162</v>
      </c>
      <c r="C119" s="2" t="s">
        <v>34</v>
      </c>
      <c r="D119" s="2">
        <v>649.36</v>
      </c>
      <c r="E119" s="2">
        <v>7.9262902743966E-3</v>
      </c>
      <c r="F119" s="2">
        <v>0</v>
      </c>
      <c r="G119" s="2"/>
      <c r="H119" s="2"/>
      <c r="I119" s="2">
        <v>2.5</v>
      </c>
      <c r="J119" s="2">
        <v>10</v>
      </c>
      <c r="K119" s="2">
        <v>0</v>
      </c>
      <c r="L119" s="2">
        <v>0.03</v>
      </c>
      <c r="M119" s="2" t="str">
        <f t="shared" si="1"/>
        <v>2.5 x 10</v>
      </c>
    </row>
    <row r="120" spans="1:13" x14ac:dyDescent="0.25">
      <c r="A120" s="2" t="s">
        <v>163</v>
      </c>
      <c r="B120" s="2" t="s">
        <v>162</v>
      </c>
      <c r="C120" s="2" t="s">
        <v>34</v>
      </c>
      <c r="D120" s="2">
        <v>799.51</v>
      </c>
      <c r="E120" s="2">
        <v>7.5470848540469997E-3</v>
      </c>
      <c r="F120" s="2">
        <v>0</v>
      </c>
      <c r="G120" s="2"/>
      <c r="H120" s="2"/>
      <c r="I120" s="2">
        <v>2.5</v>
      </c>
      <c r="J120" s="2">
        <v>10</v>
      </c>
      <c r="K120" s="2">
        <v>0</v>
      </c>
      <c r="L120" s="2">
        <v>0.03</v>
      </c>
      <c r="M120" s="2" t="str">
        <f t="shared" si="1"/>
        <v>2.5 x 10</v>
      </c>
    </row>
    <row r="121" spans="1:13" x14ac:dyDescent="0.25">
      <c r="A121" s="2" t="s">
        <v>164</v>
      </c>
      <c r="B121" s="2" t="s">
        <v>162</v>
      </c>
      <c r="C121" s="2" t="s">
        <v>34</v>
      </c>
      <c r="D121" s="2">
        <v>1075.58</v>
      </c>
      <c r="E121" s="2">
        <v>7.5866044366778001E-3</v>
      </c>
      <c r="F121" s="2">
        <v>0</v>
      </c>
      <c r="G121" s="2"/>
      <c r="H121" s="2"/>
      <c r="I121" s="2">
        <v>2.5</v>
      </c>
      <c r="J121" s="2">
        <v>10</v>
      </c>
      <c r="K121" s="2">
        <v>0</v>
      </c>
      <c r="L121" s="2">
        <v>0.03</v>
      </c>
      <c r="M121" s="2" t="str">
        <f t="shared" si="1"/>
        <v>2.5 x 10</v>
      </c>
    </row>
    <row r="122" spans="1:13" x14ac:dyDescent="0.25">
      <c r="A122" s="2" t="s">
        <v>165</v>
      </c>
      <c r="B122" s="2" t="s">
        <v>162</v>
      </c>
      <c r="C122" s="2" t="s">
        <v>34</v>
      </c>
      <c r="D122" s="2">
        <v>500.84</v>
      </c>
      <c r="E122" s="2">
        <v>8.4718181763694007E-3</v>
      </c>
      <c r="F122" s="2">
        <v>0</v>
      </c>
      <c r="G122" s="2"/>
      <c r="H122" s="2"/>
      <c r="I122" s="2">
        <v>2.5</v>
      </c>
      <c r="J122" s="2">
        <v>10</v>
      </c>
      <c r="K122" s="2">
        <v>0</v>
      </c>
      <c r="L122" s="2">
        <v>0.03</v>
      </c>
      <c r="M122" s="2" t="str">
        <f t="shared" si="1"/>
        <v>2.5 x 10</v>
      </c>
    </row>
    <row r="123" spans="1:13" x14ac:dyDescent="0.25">
      <c r="A123" s="2" t="s">
        <v>166</v>
      </c>
      <c r="B123" s="2" t="s">
        <v>162</v>
      </c>
      <c r="C123" s="2" t="s">
        <v>34</v>
      </c>
      <c r="D123" s="2">
        <v>747.96</v>
      </c>
      <c r="E123" s="2">
        <v>7.7999271890433998E-3</v>
      </c>
      <c r="F123" s="2">
        <v>0</v>
      </c>
      <c r="G123" s="2"/>
      <c r="H123" s="2"/>
      <c r="I123" s="2">
        <v>2.5</v>
      </c>
      <c r="J123" s="2">
        <v>10</v>
      </c>
      <c r="K123" s="2">
        <v>0</v>
      </c>
      <c r="L123" s="2">
        <v>0.03</v>
      </c>
      <c r="M123" s="2" t="str">
        <f t="shared" si="1"/>
        <v>2.5 x 10</v>
      </c>
    </row>
    <row r="124" spans="1:13" x14ac:dyDescent="0.25">
      <c r="A124" s="2" t="s">
        <v>167</v>
      </c>
      <c r="B124" s="2" t="s">
        <v>168</v>
      </c>
      <c r="C124" s="2" t="s">
        <v>34</v>
      </c>
      <c r="D124" s="2">
        <v>1642.16</v>
      </c>
      <c r="E124" s="2">
        <v>4.9916057355267997E-3</v>
      </c>
      <c r="F124" s="2">
        <v>3.397547263512485</v>
      </c>
      <c r="G124" s="2"/>
      <c r="H124" s="2"/>
      <c r="I124" s="2">
        <v>2.5</v>
      </c>
      <c r="J124" s="2">
        <v>49.5</v>
      </c>
      <c r="K124" s="2">
        <v>313.35900591424229</v>
      </c>
      <c r="L124" s="2">
        <v>0.03</v>
      </c>
      <c r="M124" s="2" t="str">
        <f t="shared" si="1"/>
        <v>2.5 x 49.5</v>
      </c>
    </row>
    <row r="125" spans="1:13" x14ac:dyDescent="0.25">
      <c r="A125" s="2" t="s">
        <v>169</v>
      </c>
      <c r="B125" s="2" t="s">
        <v>170</v>
      </c>
      <c r="C125" s="2" t="s">
        <v>34</v>
      </c>
      <c r="D125" s="2">
        <v>1856.31</v>
      </c>
      <c r="E125" s="2">
        <v>6.0948740353191999E-3</v>
      </c>
      <c r="F125" s="2">
        <v>3.2540656147132441</v>
      </c>
      <c r="G125" s="2"/>
      <c r="H125" s="2"/>
      <c r="I125" s="2">
        <v>2.5</v>
      </c>
      <c r="J125" s="2">
        <v>12</v>
      </c>
      <c r="K125" s="2">
        <v>71.192997017977689</v>
      </c>
      <c r="L125" s="2">
        <v>0.03</v>
      </c>
      <c r="M125" s="2" t="str">
        <f t="shared" si="1"/>
        <v>2.5 x 12</v>
      </c>
    </row>
    <row r="126" spans="1:13" x14ac:dyDescent="0.25">
      <c r="A126" s="2" t="s">
        <v>171</v>
      </c>
      <c r="B126" s="2" t="s">
        <v>170</v>
      </c>
      <c r="C126" s="2" t="s">
        <v>34</v>
      </c>
      <c r="D126" s="2">
        <v>653.17999999999995</v>
      </c>
      <c r="E126" s="2">
        <v>3.0741955880406002E-3</v>
      </c>
      <c r="F126" s="2">
        <v>2.5389799033673128</v>
      </c>
      <c r="G126" s="2"/>
      <c r="H126" s="2"/>
      <c r="I126" s="2">
        <v>2.5</v>
      </c>
      <c r="J126" s="2">
        <v>24</v>
      </c>
      <c r="K126" s="2">
        <v>113.32200048601619</v>
      </c>
      <c r="L126" s="2">
        <v>0.03</v>
      </c>
      <c r="M126" s="2" t="str">
        <f t="shared" si="1"/>
        <v>2.5 x 24</v>
      </c>
    </row>
    <row r="127" spans="1:13" x14ac:dyDescent="0.25">
      <c r="A127" s="2" t="s">
        <v>172</v>
      </c>
      <c r="B127" s="2" t="s">
        <v>170</v>
      </c>
      <c r="C127" s="2" t="s">
        <v>34</v>
      </c>
      <c r="D127" s="2">
        <v>500</v>
      </c>
      <c r="E127" s="2">
        <v>4.6000276001614999E-3</v>
      </c>
      <c r="F127" s="2">
        <v>2.8838855943713759</v>
      </c>
      <c r="G127" s="2"/>
      <c r="H127" s="2"/>
      <c r="I127" s="2">
        <v>2.5</v>
      </c>
      <c r="J127" s="2">
        <v>24</v>
      </c>
      <c r="K127" s="2">
        <v>113.32200048601619</v>
      </c>
      <c r="L127" s="2">
        <v>0.03</v>
      </c>
      <c r="M127" s="2" t="str">
        <f t="shared" si="1"/>
        <v>2.5 x 24</v>
      </c>
    </row>
    <row r="128" spans="1:13" x14ac:dyDescent="0.25">
      <c r="A128" s="2" t="s">
        <v>173</v>
      </c>
      <c r="B128" s="2" t="s">
        <v>170</v>
      </c>
      <c r="C128" s="2" t="s">
        <v>34</v>
      </c>
      <c r="D128" s="2">
        <v>935.12</v>
      </c>
      <c r="E128" s="2">
        <v>4.3341988143236997E-3</v>
      </c>
      <c r="F128" s="2">
        <v>2.8302696810617598</v>
      </c>
      <c r="G128" s="2"/>
      <c r="H128" s="2"/>
      <c r="I128" s="2">
        <v>2.5</v>
      </c>
      <c r="J128" s="2">
        <v>24</v>
      </c>
      <c r="K128" s="2">
        <v>113.32200048601619</v>
      </c>
      <c r="L128" s="2">
        <v>0.03</v>
      </c>
      <c r="M128" s="2" t="str">
        <f t="shared" si="1"/>
        <v>2.5 x 24</v>
      </c>
    </row>
    <row r="129" spans="1:13" x14ac:dyDescent="0.25">
      <c r="A129" s="2" t="s">
        <v>174</v>
      </c>
      <c r="B129" s="2" t="s">
        <v>175</v>
      </c>
      <c r="C129" s="2" t="s">
        <v>34</v>
      </c>
      <c r="D129" s="2">
        <v>820.77</v>
      </c>
      <c r="E129" s="2">
        <v>4.3227490149535999E-3</v>
      </c>
      <c r="F129" s="2">
        <v>2.6023530699274802</v>
      </c>
      <c r="G129" s="2"/>
      <c r="H129" s="2"/>
      <c r="I129" s="2">
        <v>2.5</v>
      </c>
      <c r="J129" s="2">
        <v>10</v>
      </c>
      <c r="K129" s="2">
        <v>45.429001456922983</v>
      </c>
      <c r="L129" s="2">
        <v>0.03</v>
      </c>
      <c r="M129" s="2" t="str">
        <f t="shared" si="1"/>
        <v>2.5 x 10</v>
      </c>
    </row>
    <row r="130" spans="1:13" x14ac:dyDescent="0.25">
      <c r="A130" s="2" t="s">
        <v>176</v>
      </c>
      <c r="B130" s="2" t="s">
        <v>175</v>
      </c>
      <c r="C130" s="2" t="s">
        <v>34</v>
      </c>
      <c r="D130" s="2">
        <v>659.31</v>
      </c>
      <c r="E130" s="2">
        <v>1.1784958631308601E-2</v>
      </c>
      <c r="F130" s="2">
        <v>3.624071517776323</v>
      </c>
      <c r="G130" s="2"/>
      <c r="H130" s="2"/>
      <c r="I130" s="2">
        <v>2.5</v>
      </c>
      <c r="J130" s="2">
        <v>10</v>
      </c>
      <c r="K130" s="2">
        <v>45.429001456922983</v>
      </c>
      <c r="L130" s="2">
        <v>0.03</v>
      </c>
      <c r="M130" s="2" t="str">
        <f t="shared" ref="M130:M193" si="2">TEXT(I130,"0.0")&amp;" x "&amp;IF(J130=INT(J130),TEXT(J130,"0"),TEXT(J130,"0.0"))</f>
        <v>2.5 x 10</v>
      </c>
    </row>
    <row r="131" spans="1:13" x14ac:dyDescent="0.25">
      <c r="A131" s="2" t="s">
        <v>177</v>
      </c>
      <c r="B131" s="2" t="s">
        <v>175</v>
      </c>
      <c r="C131" s="2" t="s">
        <v>34</v>
      </c>
      <c r="D131" s="2">
        <v>843</v>
      </c>
      <c r="E131" s="2">
        <v>4.8612099644116001E-3</v>
      </c>
      <c r="F131" s="2">
        <v>2.7064438092101799</v>
      </c>
      <c r="G131" s="2"/>
      <c r="H131" s="2"/>
      <c r="I131" s="2">
        <v>2.5</v>
      </c>
      <c r="J131" s="2">
        <v>10</v>
      </c>
      <c r="K131" s="2">
        <v>45.429001456922983</v>
      </c>
      <c r="L131" s="2">
        <v>0.03</v>
      </c>
      <c r="M131" s="2" t="str">
        <f t="shared" si="2"/>
        <v>2.5 x 10</v>
      </c>
    </row>
    <row r="132" spans="1:13" x14ac:dyDescent="0.25">
      <c r="A132" s="2" t="s">
        <v>178</v>
      </c>
      <c r="B132" s="2" t="s">
        <v>175</v>
      </c>
      <c r="C132" s="2" t="s">
        <v>34</v>
      </c>
      <c r="D132" s="2">
        <v>558.59</v>
      </c>
      <c r="E132" s="2">
        <v>4.8281936433258003E-3</v>
      </c>
      <c r="F132" s="2">
        <v>3.0592452391853961</v>
      </c>
      <c r="G132" s="2"/>
      <c r="H132" s="2"/>
      <c r="I132" s="2">
        <v>2.5</v>
      </c>
      <c r="J132" s="2">
        <v>16.5</v>
      </c>
      <c r="K132" s="2">
        <v>93.900999251422917</v>
      </c>
      <c r="L132" s="2">
        <v>0.03</v>
      </c>
      <c r="M132" s="2" t="str">
        <f t="shared" si="2"/>
        <v>2.5 x 16.5</v>
      </c>
    </row>
    <row r="133" spans="1:13" x14ac:dyDescent="0.25">
      <c r="A133" s="2" t="s">
        <v>179</v>
      </c>
      <c r="B133" s="2" t="s">
        <v>175</v>
      </c>
      <c r="C133" s="2" t="s">
        <v>34</v>
      </c>
      <c r="D133" s="2">
        <v>500</v>
      </c>
      <c r="E133" s="2">
        <v>3.1000186001121002E-3</v>
      </c>
      <c r="F133" s="2">
        <v>2.512042594143121</v>
      </c>
      <c r="G133" s="2"/>
      <c r="H133" s="2"/>
      <c r="I133" s="2">
        <v>2.5</v>
      </c>
      <c r="J133" s="2">
        <v>20</v>
      </c>
      <c r="K133" s="2">
        <v>93.900999251422917</v>
      </c>
      <c r="L133" s="2">
        <v>0.03</v>
      </c>
      <c r="M133" s="2" t="str">
        <f t="shared" si="2"/>
        <v>2.5 x 20</v>
      </c>
    </row>
    <row r="134" spans="1:13" x14ac:dyDescent="0.25">
      <c r="A134" s="2" t="s">
        <v>180</v>
      </c>
      <c r="B134" s="2" t="s">
        <v>175</v>
      </c>
      <c r="C134" s="2" t="s">
        <v>34</v>
      </c>
      <c r="D134" s="2">
        <v>1205.4100000000001</v>
      </c>
      <c r="E134" s="2">
        <v>3.5382181483631001E-3</v>
      </c>
      <c r="F134" s="2">
        <v>2.620529576705271</v>
      </c>
      <c r="G134" s="2"/>
      <c r="H134" s="2"/>
      <c r="I134" s="2">
        <v>2.5</v>
      </c>
      <c r="J134" s="2">
        <v>20</v>
      </c>
      <c r="K134" s="2">
        <v>93.900999251422917</v>
      </c>
      <c r="L134" s="2">
        <v>0.03</v>
      </c>
      <c r="M134" s="2" t="str">
        <f t="shared" si="2"/>
        <v>2.5 x 20</v>
      </c>
    </row>
    <row r="135" spans="1:13" x14ac:dyDescent="0.25">
      <c r="A135" s="2" t="s">
        <v>181</v>
      </c>
      <c r="B135" s="2" t="s">
        <v>175</v>
      </c>
      <c r="C135" s="2" t="s">
        <v>34</v>
      </c>
      <c r="D135" s="2">
        <v>809</v>
      </c>
      <c r="E135" s="2">
        <v>5.1409147095199002E-3</v>
      </c>
      <c r="F135" s="2">
        <v>3.2248775707817798</v>
      </c>
      <c r="G135" s="2"/>
      <c r="H135" s="2"/>
      <c r="I135" s="2">
        <v>2.5</v>
      </c>
      <c r="J135" s="2">
        <v>20</v>
      </c>
      <c r="K135" s="2">
        <v>119.8810006388422</v>
      </c>
      <c r="L135" s="2">
        <v>0.03</v>
      </c>
      <c r="M135" s="2" t="str">
        <f t="shared" si="2"/>
        <v>2.5 x 20</v>
      </c>
    </row>
    <row r="136" spans="1:13" x14ac:dyDescent="0.25">
      <c r="A136" s="2" t="s">
        <v>182</v>
      </c>
      <c r="B136" s="2" t="s">
        <v>175</v>
      </c>
      <c r="C136" s="2" t="s">
        <v>34</v>
      </c>
      <c r="D136" s="2">
        <v>1411.69</v>
      </c>
      <c r="E136" s="2">
        <v>2.3142500463476001E-3</v>
      </c>
      <c r="F136" s="2">
        <v>2.2446581886504968</v>
      </c>
      <c r="G136" s="2"/>
      <c r="H136" s="2"/>
      <c r="I136" s="2">
        <v>2.5</v>
      </c>
      <c r="J136" s="2">
        <v>28.5</v>
      </c>
      <c r="K136" s="2">
        <v>119.8810006388422</v>
      </c>
      <c r="L136" s="2">
        <v>0.03</v>
      </c>
      <c r="M136" s="2" t="str">
        <f t="shared" si="2"/>
        <v>2.5 x 28.5</v>
      </c>
    </row>
    <row r="137" spans="1:13" x14ac:dyDescent="0.25">
      <c r="A137" s="2" t="s">
        <v>183</v>
      </c>
      <c r="B137" s="2" t="s">
        <v>184</v>
      </c>
      <c r="C137" s="2" t="s">
        <v>34</v>
      </c>
      <c r="D137" s="2">
        <v>1505.28</v>
      </c>
      <c r="E137" s="2">
        <v>5.2501790362206998E-3</v>
      </c>
      <c r="F137" s="2">
        <v>3.1260446500946042</v>
      </c>
      <c r="G137" s="2"/>
      <c r="H137" s="2"/>
      <c r="I137" s="2">
        <v>2.5</v>
      </c>
      <c r="J137" s="2">
        <v>14</v>
      </c>
      <c r="K137" s="2">
        <v>81.607996714668857</v>
      </c>
      <c r="L137" s="2">
        <v>0.03</v>
      </c>
      <c r="M137" s="2" t="str">
        <f t="shared" si="2"/>
        <v>2.5 x 14</v>
      </c>
    </row>
    <row r="138" spans="1:13" x14ac:dyDescent="0.25">
      <c r="A138" s="2" t="s">
        <v>185</v>
      </c>
      <c r="B138" s="2" t="s">
        <v>184</v>
      </c>
      <c r="C138" s="2" t="s">
        <v>34</v>
      </c>
      <c r="D138" s="2">
        <v>500.2</v>
      </c>
      <c r="E138" s="2">
        <v>8.9743922942943002E-3</v>
      </c>
      <c r="F138" s="2">
        <v>3.722181517474608</v>
      </c>
      <c r="G138" s="2"/>
      <c r="H138" s="2"/>
      <c r="I138" s="2">
        <v>2.5</v>
      </c>
      <c r="J138" s="2">
        <v>14</v>
      </c>
      <c r="K138" s="2">
        <v>81.607996714668857</v>
      </c>
      <c r="L138" s="2">
        <v>0.03</v>
      </c>
      <c r="M138" s="2" t="str">
        <f t="shared" si="2"/>
        <v>2.5 x 14</v>
      </c>
    </row>
    <row r="139" spans="1:13" x14ac:dyDescent="0.25">
      <c r="A139" s="2" t="s">
        <v>186</v>
      </c>
      <c r="B139" s="2" t="s">
        <v>184</v>
      </c>
      <c r="C139" s="2" t="s">
        <v>34</v>
      </c>
      <c r="D139" s="2">
        <v>666.8</v>
      </c>
      <c r="E139" s="2">
        <v>4.2681527716743996E-3</v>
      </c>
      <c r="F139" s="2">
        <v>2.8455591547628849</v>
      </c>
      <c r="G139" s="2"/>
      <c r="H139" s="2"/>
      <c r="I139" s="2">
        <v>2.5</v>
      </c>
      <c r="J139" s="2">
        <v>15.5</v>
      </c>
      <c r="K139" s="2">
        <v>81.607996714668857</v>
      </c>
      <c r="L139" s="2">
        <v>0.03</v>
      </c>
      <c r="M139" s="2" t="str">
        <f t="shared" si="2"/>
        <v>2.5 x 15.5</v>
      </c>
    </row>
    <row r="140" spans="1:13" x14ac:dyDescent="0.25">
      <c r="A140" s="2" t="s">
        <v>187</v>
      </c>
      <c r="B140" s="2" t="s">
        <v>184</v>
      </c>
      <c r="C140" s="2" t="s">
        <v>34</v>
      </c>
      <c r="D140" s="2">
        <v>1050</v>
      </c>
      <c r="E140" s="2">
        <v>2.3057142857147999E-3</v>
      </c>
      <c r="F140" s="2">
        <v>2.2125123310791199</v>
      </c>
      <c r="G140" s="2"/>
      <c r="H140" s="2"/>
      <c r="I140" s="2">
        <v>2.5</v>
      </c>
      <c r="J140" s="2">
        <v>25.5</v>
      </c>
      <c r="K140" s="2">
        <v>105.0869969887441</v>
      </c>
      <c r="L140" s="2">
        <v>0.03</v>
      </c>
      <c r="M140" s="2" t="str">
        <f t="shared" si="2"/>
        <v>2.5 x 25.5</v>
      </c>
    </row>
    <row r="141" spans="1:13" x14ac:dyDescent="0.25">
      <c r="A141" s="2" t="s">
        <v>188</v>
      </c>
      <c r="B141" s="2" t="s">
        <v>184</v>
      </c>
      <c r="C141" s="2" t="s">
        <v>34</v>
      </c>
      <c r="D141" s="2">
        <v>499.48</v>
      </c>
      <c r="E141" s="2">
        <v>7.1153715248942996E-3</v>
      </c>
      <c r="F141" s="2">
        <v>3.1508352880268919</v>
      </c>
      <c r="G141" s="2"/>
      <c r="H141" s="2"/>
      <c r="I141" s="2">
        <v>2.5</v>
      </c>
      <c r="J141" s="2">
        <v>25.5</v>
      </c>
      <c r="K141" s="2">
        <v>105.0869969887441</v>
      </c>
      <c r="L141" s="2">
        <v>0.03</v>
      </c>
      <c r="M141" s="2" t="str">
        <f t="shared" si="2"/>
        <v>2.5 x 25.5</v>
      </c>
    </row>
    <row r="142" spans="1:13" x14ac:dyDescent="0.25">
      <c r="A142" s="2" t="s">
        <v>189</v>
      </c>
      <c r="B142" s="2" t="s">
        <v>184</v>
      </c>
      <c r="C142" s="2" t="s">
        <v>34</v>
      </c>
      <c r="D142" s="2">
        <v>1886.52</v>
      </c>
      <c r="E142" s="2">
        <v>4.7850060269764997E-3</v>
      </c>
      <c r="F142" s="2">
        <v>2.783633574260088</v>
      </c>
      <c r="G142" s="2"/>
      <c r="H142" s="2"/>
      <c r="I142" s="2">
        <v>2.5</v>
      </c>
      <c r="J142" s="2">
        <v>25.5</v>
      </c>
      <c r="K142" s="2">
        <v>105.0869969887441</v>
      </c>
      <c r="L142" s="2">
        <v>0.03</v>
      </c>
      <c r="M142" s="2" t="str">
        <f t="shared" si="2"/>
        <v>2.5 x 25.5</v>
      </c>
    </row>
    <row r="143" spans="1:13" x14ac:dyDescent="0.25">
      <c r="A143" s="2" t="s">
        <v>190</v>
      </c>
      <c r="B143" s="2" t="s">
        <v>184</v>
      </c>
      <c r="C143" s="2" t="s">
        <v>34</v>
      </c>
      <c r="D143" s="2">
        <v>317.18</v>
      </c>
      <c r="E143" s="2">
        <v>1E-3</v>
      </c>
      <c r="F143" s="2">
        <v>1.500514367302348</v>
      </c>
      <c r="G143" s="2"/>
      <c r="H143" s="2"/>
      <c r="I143" s="2">
        <v>2.5</v>
      </c>
      <c r="J143" s="2">
        <v>37.5</v>
      </c>
      <c r="K143" s="2">
        <v>105.0869969887441</v>
      </c>
      <c r="L143" s="2">
        <v>0.03</v>
      </c>
      <c r="M143" s="2" t="str">
        <f t="shared" si="2"/>
        <v>2.5 x 37.5</v>
      </c>
    </row>
    <row r="144" spans="1:13" x14ac:dyDescent="0.25">
      <c r="A144" s="2" t="s">
        <v>191</v>
      </c>
      <c r="B144" s="2" t="s">
        <v>192</v>
      </c>
      <c r="C144" s="2" t="s">
        <v>34</v>
      </c>
      <c r="D144" s="2">
        <v>1762.05</v>
      </c>
      <c r="E144" s="2">
        <v>6.8738039513023003E-3</v>
      </c>
      <c r="F144" s="2">
        <v>3.8496231569903689</v>
      </c>
      <c r="G144" s="2"/>
      <c r="H144" s="2"/>
      <c r="I144" s="2">
        <v>2.5</v>
      </c>
      <c r="J144" s="2">
        <v>29</v>
      </c>
      <c r="K144" s="2">
        <v>207.00900567921249</v>
      </c>
      <c r="L144" s="2">
        <v>0.03</v>
      </c>
      <c r="M144" s="2" t="str">
        <f t="shared" si="2"/>
        <v>2.5 x 29</v>
      </c>
    </row>
    <row r="145" spans="1:13" x14ac:dyDescent="0.25">
      <c r="A145" s="2" t="s">
        <v>193</v>
      </c>
      <c r="B145" s="2" t="s">
        <v>192</v>
      </c>
      <c r="C145" s="2" t="s">
        <v>34</v>
      </c>
      <c r="D145" s="2">
        <v>970</v>
      </c>
      <c r="E145" s="2">
        <v>3.6536082474230998E-3</v>
      </c>
      <c r="F145" s="2">
        <v>2.8750733415771541</v>
      </c>
      <c r="G145" s="2"/>
      <c r="H145" s="2"/>
      <c r="I145" s="2">
        <v>2.5</v>
      </c>
      <c r="J145" s="2">
        <v>38.5</v>
      </c>
      <c r="K145" s="2">
        <v>207.00900567921249</v>
      </c>
      <c r="L145" s="2">
        <v>0.03</v>
      </c>
      <c r="M145" s="2" t="str">
        <f t="shared" si="2"/>
        <v>2.5 x 38.5</v>
      </c>
    </row>
    <row r="146" spans="1:13" x14ac:dyDescent="0.25">
      <c r="A146" s="2" t="s">
        <v>194</v>
      </c>
      <c r="B146" s="2" t="s">
        <v>192</v>
      </c>
      <c r="C146" s="2" t="s">
        <v>34</v>
      </c>
      <c r="D146" s="2">
        <v>500</v>
      </c>
      <c r="E146" s="2">
        <v>7.9000316001256003E-3</v>
      </c>
      <c r="F146" s="2">
        <v>3.651079752903728</v>
      </c>
      <c r="G146" s="2"/>
      <c r="H146" s="2"/>
      <c r="I146" s="2">
        <v>2.5</v>
      </c>
      <c r="J146" s="2">
        <v>38.5</v>
      </c>
      <c r="K146" s="2">
        <v>207.00900567921249</v>
      </c>
      <c r="L146" s="2">
        <v>0.03</v>
      </c>
      <c r="M146" s="2" t="str">
        <f t="shared" si="2"/>
        <v>2.5 x 38.5</v>
      </c>
    </row>
    <row r="147" spans="1:13" x14ac:dyDescent="0.25">
      <c r="A147" s="2" t="s">
        <v>195</v>
      </c>
      <c r="B147" s="2" t="s">
        <v>192</v>
      </c>
      <c r="C147" s="2" t="s">
        <v>34</v>
      </c>
      <c r="D147" s="2">
        <v>1172</v>
      </c>
      <c r="E147" s="2">
        <v>4.0016996558025998E-3</v>
      </c>
      <c r="F147" s="2">
        <v>2.9575700501309581</v>
      </c>
      <c r="G147" s="2"/>
      <c r="H147" s="2"/>
      <c r="I147" s="2">
        <v>2.5</v>
      </c>
      <c r="J147" s="2">
        <v>38.5</v>
      </c>
      <c r="K147" s="2">
        <v>207.00900567921249</v>
      </c>
      <c r="L147" s="2">
        <v>0.03</v>
      </c>
      <c r="M147" s="2" t="str">
        <f t="shared" si="2"/>
        <v>2.5 x 38.5</v>
      </c>
    </row>
    <row r="148" spans="1:13" x14ac:dyDescent="0.25">
      <c r="A148" s="2" t="s">
        <v>196</v>
      </c>
      <c r="B148" s="2" t="s">
        <v>192</v>
      </c>
      <c r="C148" s="2" t="s">
        <v>34</v>
      </c>
      <c r="D148" s="2">
        <v>704.45</v>
      </c>
      <c r="E148" s="2">
        <v>3.0860830490994002E-3</v>
      </c>
      <c r="F148" s="2">
        <v>2.6478436071202971</v>
      </c>
      <c r="G148" s="2"/>
      <c r="H148" s="2"/>
      <c r="I148" s="2">
        <v>2.5</v>
      </c>
      <c r="J148" s="2">
        <v>42</v>
      </c>
      <c r="K148" s="2">
        <v>207.00900567921249</v>
      </c>
      <c r="L148" s="2">
        <v>0.03</v>
      </c>
      <c r="M148" s="2" t="str">
        <f t="shared" si="2"/>
        <v>2.5 x 42</v>
      </c>
    </row>
    <row r="149" spans="1:13" x14ac:dyDescent="0.25">
      <c r="A149" s="2" t="s">
        <v>197</v>
      </c>
      <c r="B149" s="2" t="s">
        <v>198</v>
      </c>
      <c r="C149" s="2" t="s">
        <v>34</v>
      </c>
      <c r="D149" s="2">
        <v>732.76</v>
      </c>
      <c r="E149" s="2">
        <v>1.3251323426464001E-3</v>
      </c>
      <c r="F149" s="2">
        <v>1.724272220660966</v>
      </c>
      <c r="G149" s="2"/>
      <c r="H149" s="2"/>
      <c r="I149" s="2">
        <v>2.5</v>
      </c>
      <c r="J149" s="2">
        <v>37</v>
      </c>
      <c r="K149" s="2">
        <v>118.9620028308634</v>
      </c>
      <c r="L149" s="2">
        <v>0.03</v>
      </c>
      <c r="M149" s="2" t="str">
        <f t="shared" si="2"/>
        <v>2.5 x 37</v>
      </c>
    </row>
    <row r="150" spans="1:13" x14ac:dyDescent="0.25">
      <c r="A150" s="2" t="s">
        <v>199</v>
      </c>
      <c r="B150" s="2" t="s">
        <v>198</v>
      </c>
      <c r="C150" s="2" t="s">
        <v>34</v>
      </c>
      <c r="D150" s="2">
        <v>500</v>
      </c>
      <c r="E150" s="2">
        <v>1.1569930580414599E-2</v>
      </c>
      <c r="F150" s="2">
        <v>3.364038262403751</v>
      </c>
      <c r="G150" s="2"/>
      <c r="H150" s="2"/>
      <c r="I150" s="2">
        <v>2.5</v>
      </c>
      <c r="J150" s="2">
        <v>37</v>
      </c>
      <c r="K150" s="2">
        <v>118.9620028308634</v>
      </c>
      <c r="L150" s="2">
        <v>0.03</v>
      </c>
      <c r="M150" s="2" t="str">
        <f t="shared" si="2"/>
        <v>2.5 x 37</v>
      </c>
    </row>
    <row r="151" spans="1:13" x14ac:dyDescent="0.25">
      <c r="A151" s="2" t="s">
        <v>200</v>
      </c>
      <c r="B151" s="2" t="s">
        <v>198</v>
      </c>
      <c r="C151" s="2" t="s">
        <v>34</v>
      </c>
      <c r="D151" s="2">
        <v>536.51</v>
      </c>
      <c r="E151" s="2">
        <v>2.5255678799959999E-3</v>
      </c>
      <c r="F151" s="2">
        <v>2.1064948198724691</v>
      </c>
      <c r="G151" s="2"/>
      <c r="H151" s="2"/>
      <c r="I151" s="2">
        <v>2.5</v>
      </c>
      <c r="J151" s="2">
        <v>37</v>
      </c>
      <c r="K151" s="2">
        <v>118.9620028308634</v>
      </c>
      <c r="L151" s="2">
        <v>0.03</v>
      </c>
      <c r="M151" s="2" t="str">
        <f t="shared" si="2"/>
        <v>2.5 x 37</v>
      </c>
    </row>
    <row r="152" spans="1:13" x14ac:dyDescent="0.25">
      <c r="A152" s="2" t="s">
        <v>201</v>
      </c>
      <c r="B152" s="2" t="s">
        <v>198</v>
      </c>
      <c r="C152" s="2" t="s">
        <v>34</v>
      </c>
      <c r="D152" s="2">
        <v>1250.17</v>
      </c>
      <c r="E152" s="2">
        <v>5.3104876508222997E-3</v>
      </c>
      <c r="F152" s="2">
        <v>2.6490688230303001</v>
      </c>
      <c r="G152" s="2"/>
      <c r="H152" s="2"/>
      <c r="I152" s="2">
        <v>2.5</v>
      </c>
      <c r="J152" s="2">
        <v>37</v>
      </c>
      <c r="K152" s="2">
        <v>118.9620028308634</v>
      </c>
      <c r="L152" s="2">
        <v>0.03</v>
      </c>
      <c r="M152" s="2" t="str">
        <f t="shared" si="2"/>
        <v>2.5 x 37</v>
      </c>
    </row>
    <row r="153" spans="1:13" x14ac:dyDescent="0.25">
      <c r="A153" s="2" t="s">
        <v>202</v>
      </c>
      <c r="B153" s="2" t="s">
        <v>203</v>
      </c>
      <c r="C153" s="2" t="s">
        <v>34</v>
      </c>
      <c r="D153" s="2">
        <v>1811.97</v>
      </c>
      <c r="E153" s="2">
        <v>2.3808308753790002E-3</v>
      </c>
      <c r="F153" s="2">
        <v>0</v>
      </c>
      <c r="G153" s="2"/>
      <c r="H153" s="2"/>
      <c r="I153" s="2">
        <v>2.5</v>
      </c>
      <c r="J153" s="2">
        <v>10</v>
      </c>
      <c r="K153" s="2">
        <v>0</v>
      </c>
      <c r="L153" s="2">
        <v>0.03</v>
      </c>
      <c r="M153" s="2" t="str">
        <f t="shared" si="2"/>
        <v>2.5 x 10</v>
      </c>
    </row>
    <row r="154" spans="1:13" x14ac:dyDescent="0.25">
      <c r="A154" s="2" t="s">
        <v>204</v>
      </c>
      <c r="B154" s="2" t="s">
        <v>205</v>
      </c>
      <c r="C154" s="2" t="s">
        <v>34</v>
      </c>
      <c r="D154" s="2">
        <v>858.43</v>
      </c>
      <c r="E154" s="2">
        <v>5.5554908379239999E-3</v>
      </c>
      <c r="F154" s="2">
        <v>3.1371954229353198</v>
      </c>
      <c r="G154" s="2"/>
      <c r="H154" s="2"/>
      <c r="I154" s="2">
        <v>2.5</v>
      </c>
      <c r="J154" s="2">
        <v>12.5</v>
      </c>
      <c r="K154" s="2">
        <v>71.984002127306624</v>
      </c>
      <c r="L154" s="2">
        <v>0.03</v>
      </c>
      <c r="M154" s="2" t="str">
        <f t="shared" si="2"/>
        <v>2.5 x 12.5</v>
      </c>
    </row>
    <row r="155" spans="1:13" x14ac:dyDescent="0.25">
      <c r="A155" s="2" t="s">
        <v>206</v>
      </c>
      <c r="B155" s="2" t="s">
        <v>205</v>
      </c>
      <c r="C155" s="2" t="s">
        <v>34</v>
      </c>
      <c r="D155" s="2">
        <v>1242.72</v>
      </c>
      <c r="E155" s="2">
        <v>4.4225569718038E-3</v>
      </c>
      <c r="F155" s="2">
        <v>2.856081186912419</v>
      </c>
      <c r="G155" s="2"/>
      <c r="H155" s="2"/>
      <c r="I155" s="2">
        <v>2.5</v>
      </c>
      <c r="J155" s="2">
        <v>13.5</v>
      </c>
      <c r="K155" s="2">
        <v>71.984002127306624</v>
      </c>
      <c r="L155" s="2">
        <v>0.03</v>
      </c>
      <c r="M155" s="2" t="str">
        <f t="shared" si="2"/>
        <v>2.5 x 13.5</v>
      </c>
    </row>
    <row r="156" spans="1:13" x14ac:dyDescent="0.25">
      <c r="A156" s="2" t="s">
        <v>207</v>
      </c>
      <c r="B156" s="2" t="s">
        <v>205</v>
      </c>
      <c r="C156" s="2" t="s">
        <v>34</v>
      </c>
      <c r="D156" s="2">
        <v>1040</v>
      </c>
      <c r="E156" s="2">
        <v>2.6442307692308999E-3</v>
      </c>
      <c r="F156" s="2">
        <v>2.4483043335893679</v>
      </c>
      <c r="G156" s="2"/>
      <c r="H156" s="2"/>
      <c r="I156" s="2">
        <v>2.5</v>
      </c>
      <c r="J156" s="2">
        <v>40.5</v>
      </c>
      <c r="K156" s="2">
        <v>184.85100426279681</v>
      </c>
      <c r="L156" s="2">
        <v>0.03</v>
      </c>
      <c r="M156" s="2" t="str">
        <f t="shared" si="2"/>
        <v>2.5 x 40.5</v>
      </c>
    </row>
    <row r="157" spans="1:13" x14ac:dyDescent="0.25">
      <c r="A157" s="2" t="s">
        <v>208</v>
      </c>
      <c r="B157" s="2" t="s">
        <v>205</v>
      </c>
      <c r="C157" s="2" t="s">
        <v>34</v>
      </c>
      <c r="D157" s="2">
        <v>614.21</v>
      </c>
      <c r="E157" s="2">
        <v>4.7215212950265997E-3</v>
      </c>
      <c r="F157" s="2">
        <v>2.9296984956078931</v>
      </c>
      <c r="G157" s="2"/>
      <c r="H157" s="2"/>
      <c r="I157" s="2">
        <v>2.5</v>
      </c>
      <c r="J157" s="2">
        <v>40.5</v>
      </c>
      <c r="K157" s="2">
        <v>184.85100426279681</v>
      </c>
      <c r="L157" s="2">
        <v>0.03</v>
      </c>
      <c r="M157" s="2" t="str">
        <f t="shared" si="2"/>
        <v>2.5 x 40.5</v>
      </c>
    </row>
    <row r="158" spans="1:13" x14ac:dyDescent="0.25">
      <c r="A158" s="2" t="s">
        <v>209</v>
      </c>
      <c r="B158" s="2" t="s">
        <v>210</v>
      </c>
      <c r="C158" s="2" t="s">
        <v>34</v>
      </c>
      <c r="D158" s="2">
        <v>1088.94</v>
      </c>
      <c r="E158" s="2">
        <v>6.2161408891005E-3</v>
      </c>
      <c r="F158" s="2">
        <v>3.3032480777122171</v>
      </c>
      <c r="G158" s="2"/>
      <c r="H158" s="2"/>
      <c r="I158" s="2">
        <v>2.5</v>
      </c>
      <c r="J158" s="2">
        <v>11.5</v>
      </c>
      <c r="K158" s="2">
        <v>70.905998590206863</v>
      </c>
      <c r="L158" s="2">
        <v>0.03</v>
      </c>
      <c r="M158" s="2" t="str">
        <f t="shared" si="2"/>
        <v>2.5 x 11.5</v>
      </c>
    </row>
    <row r="159" spans="1:13" x14ac:dyDescent="0.25">
      <c r="A159" s="2" t="s">
        <v>211</v>
      </c>
      <c r="B159" s="2" t="s">
        <v>212</v>
      </c>
      <c r="C159" s="2" t="s">
        <v>25</v>
      </c>
      <c r="D159" s="2">
        <v>759.91</v>
      </c>
      <c r="E159" s="2">
        <v>5.9151430293432998E-3</v>
      </c>
      <c r="F159" s="2">
        <v>3.7260123882878768</v>
      </c>
      <c r="G159" s="2"/>
      <c r="H159" s="2"/>
      <c r="I159" s="2">
        <v>2.5</v>
      </c>
      <c r="J159" s="2">
        <v>58</v>
      </c>
      <c r="K159" s="2">
        <v>403.00599354193258</v>
      </c>
      <c r="L159" s="2">
        <v>0.03</v>
      </c>
      <c r="M159" s="2" t="str">
        <f t="shared" si="2"/>
        <v>2.5 x 58</v>
      </c>
    </row>
    <row r="160" spans="1:13" x14ac:dyDescent="0.25">
      <c r="A160" s="2" t="s">
        <v>213</v>
      </c>
      <c r="B160" s="2" t="s">
        <v>212</v>
      </c>
      <c r="C160" s="2" t="s">
        <v>25</v>
      </c>
      <c r="D160" s="2">
        <v>1322.11</v>
      </c>
      <c r="E160" s="2">
        <v>9.4031652482271001E-3</v>
      </c>
      <c r="F160" s="2">
        <v>4.2957092998059707</v>
      </c>
      <c r="G160" s="2"/>
      <c r="H160" s="2"/>
      <c r="I160" s="2">
        <v>2.5</v>
      </c>
      <c r="J160" s="2">
        <v>58</v>
      </c>
      <c r="K160" s="2">
        <v>403.00599354193258</v>
      </c>
      <c r="L160" s="2">
        <v>0.03</v>
      </c>
      <c r="M160" s="2" t="str">
        <f t="shared" si="2"/>
        <v>2.5 x 58</v>
      </c>
    </row>
    <row r="161" spans="1:13" x14ac:dyDescent="0.25">
      <c r="A161" s="2" t="s">
        <v>214</v>
      </c>
      <c r="B161" s="2" t="s">
        <v>212</v>
      </c>
      <c r="C161" s="2" t="s">
        <v>25</v>
      </c>
      <c r="D161" s="2">
        <v>970.09</v>
      </c>
      <c r="E161" s="2">
        <v>8.4920393573721994E-3</v>
      </c>
      <c r="F161" s="2">
        <v>4.163556610645271</v>
      </c>
      <c r="G161" s="2"/>
      <c r="H161" s="2"/>
      <c r="I161" s="2">
        <v>2.5</v>
      </c>
      <c r="J161" s="2">
        <v>58</v>
      </c>
      <c r="K161" s="2">
        <v>403.00599354193258</v>
      </c>
      <c r="L161" s="2">
        <v>0.03</v>
      </c>
      <c r="M161" s="2" t="str">
        <f t="shared" si="2"/>
        <v>2.5 x 58</v>
      </c>
    </row>
    <row r="162" spans="1:13" x14ac:dyDescent="0.25">
      <c r="A162" s="2" t="s">
        <v>215</v>
      </c>
      <c r="B162" s="2" t="s">
        <v>212</v>
      </c>
      <c r="C162" s="2" t="s">
        <v>25</v>
      </c>
      <c r="D162" s="2">
        <v>1917.02</v>
      </c>
      <c r="E162" s="2">
        <v>8.1402554803925008E-3</v>
      </c>
      <c r="F162" s="2">
        <v>4.1098770384307208</v>
      </c>
      <c r="G162" s="2"/>
      <c r="H162" s="2"/>
      <c r="I162" s="2">
        <v>2.5</v>
      </c>
      <c r="J162" s="2">
        <v>58</v>
      </c>
      <c r="K162" s="2">
        <v>403.00599354193258</v>
      </c>
      <c r="L162" s="2">
        <v>0.03</v>
      </c>
      <c r="M162" s="2" t="str">
        <f t="shared" si="2"/>
        <v>2.5 x 58</v>
      </c>
    </row>
    <row r="163" spans="1:13" x14ac:dyDescent="0.25">
      <c r="A163" s="2" t="s">
        <v>216</v>
      </c>
      <c r="B163" s="2" t="s">
        <v>212</v>
      </c>
      <c r="C163" s="2" t="s">
        <v>25</v>
      </c>
      <c r="D163" s="2">
        <v>2951.09</v>
      </c>
      <c r="E163" s="2">
        <v>6.9445597503565003E-3</v>
      </c>
      <c r="F163" s="2">
        <v>3.914263397370632</v>
      </c>
      <c r="G163" s="2"/>
      <c r="H163" s="2"/>
      <c r="I163" s="2">
        <v>2.5</v>
      </c>
      <c r="J163" s="2">
        <v>58</v>
      </c>
      <c r="K163" s="2">
        <v>403.00599354193258</v>
      </c>
      <c r="L163" s="2">
        <v>0.03</v>
      </c>
      <c r="M163" s="2" t="str">
        <f t="shared" si="2"/>
        <v>2.5 x 58</v>
      </c>
    </row>
    <row r="164" spans="1:13" x14ac:dyDescent="0.25">
      <c r="A164" s="2" t="s">
        <v>217</v>
      </c>
      <c r="B164" s="2" t="s">
        <v>212</v>
      </c>
      <c r="C164" s="2" t="s">
        <v>25</v>
      </c>
      <c r="D164" s="2">
        <v>1944.81</v>
      </c>
      <c r="E164" s="2">
        <v>6.0828595507311E-3</v>
      </c>
      <c r="F164" s="2">
        <v>3.8261711001412499</v>
      </c>
      <c r="G164" s="2"/>
      <c r="H164" s="2"/>
      <c r="I164" s="2">
        <v>2.5</v>
      </c>
      <c r="J164" s="2">
        <v>77.5</v>
      </c>
      <c r="K164" s="2">
        <v>555.00797657245357</v>
      </c>
      <c r="L164" s="2">
        <v>0.03</v>
      </c>
      <c r="M164" s="2" t="str">
        <f t="shared" si="2"/>
        <v>2.5 x 77.5</v>
      </c>
    </row>
    <row r="165" spans="1:13" x14ac:dyDescent="0.25">
      <c r="A165" s="2" t="s">
        <v>218</v>
      </c>
      <c r="B165" s="2" t="s">
        <v>212</v>
      </c>
      <c r="C165" s="2" t="s">
        <v>25</v>
      </c>
      <c r="D165" s="2">
        <v>1673.99</v>
      </c>
      <c r="E165" s="2">
        <v>4.8650172760694001E-3</v>
      </c>
      <c r="F165" s="2">
        <v>3.4309347604099791</v>
      </c>
      <c r="G165" s="2"/>
      <c r="H165" s="2"/>
      <c r="I165" s="2">
        <v>2.5</v>
      </c>
      <c r="J165" s="2">
        <v>86.5</v>
      </c>
      <c r="K165" s="2">
        <v>555.00797657245357</v>
      </c>
      <c r="L165" s="2">
        <v>0.03</v>
      </c>
      <c r="M165" s="2" t="str">
        <f t="shared" si="2"/>
        <v>2.5 x 86.5</v>
      </c>
    </row>
    <row r="166" spans="1:13" x14ac:dyDescent="0.25">
      <c r="A166" s="2" t="s">
        <v>219</v>
      </c>
      <c r="B166" s="2" t="s">
        <v>212</v>
      </c>
      <c r="C166" s="2" t="s">
        <v>25</v>
      </c>
      <c r="D166" s="2">
        <v>744.11</v>
      </c>
      <c r="E166" s="2">
        <v>8.8871030167496003E-3</v>
      </c>
      <c r="F166" s="2">
        <v>4.1221759969996734</v>
      </c>
      <c r="G166" s="2"/>
      <c r="H166" s="2"/>
      <c r="I166" s="2">
        <v>2.5</v>
      </c>
      <c r="J166" s="2">
        <v>86.5</v>
      </c>
      <c r="K166" s="2">
        <v>555.00797657245357</v>
      </c>
      <c r="L166" s="2">
        <v>0.03</v>
      </c>
      <c r="M166" s="2" t="str">
        <f t="shared" si="2"/>
        <v>2.5 x 86.5</v>
      </c>
    </row>
    <row r="167" spans="1:13" x14ac:dyDescent="0.25">
      <c r="A167" s="2" t="s">
        <v>220</v>
      </c>
      <c r="B167" s="2" t="s">
        <v>212</v>
      </c>
      <c r="C167" s="2" t="s">
        <v>25</v>
      </c>
      <c r="D167" s="2">
        <v>1011</v>
      </c>
      <c r="E167" s="2">
        <v>4.0731948565776001E-3</v>
      </c>
      <c r="F167" s="2">
        <v>3.1505350156579639</v>
      </c>
      <c r="G167" s="2"/>
      <c r="H167" s="2"/>
      <c r="I167" s="2">
        <v>2.5</v>
      </c>
      <c r="J167" s="2">
        <v>94</v>
      </c>
      <c r="K167" s="2">
        <v>555.00797657245357</v>
      </c>
      <c r="L167" s="2">
        <v>0.03</v>
      </c>
      <c r="M167" s="2" t="str">
        <f t="shared" si="2"/>
        <v>2.5 x 94</v>
      </c>
    </row>
    <row r="168" spans="1:13" x14ac:dyDescent="0.25">
      <c r="A168" s="2" t="s">
        <v>221</v>
      </c>
      <c r="B168" s="2" t="s">
        <v>212</v>
      </c>
      <c r="C168" s="2" t="s">
        <v>25</v>
      </c>
      <c r="D168" s="2">
        <v>712.61</v>
      </c>
      <c r="E168" s="2">
        <v>7.4515125447831001E-3</v>
      </c>
      <c r="F168" s="2">
        <v>3.786158426251875</v>
      </c>
      <c r="G168" s="2"/>
      <c r="H168" s="2"/>
      <c r="I168" s="2">
        <v>2.5</v>
      </c>
      <c r="J168" s="2">
        <v>94</v>
      </c>
      <c r="K168" s="2">
        <v>555.00797657245357</v>
      </c>
      <c r="L168" s="2">
        <v>0.03</v>
      </c>
      <c r="M168" s="2" t="str">
        <f t="shared" si="2"/>
        <v>2.5 x 94</v>
      </c>
    </row>
    <row r="169" spans="1:13" x14ac:dyDescent="0.25">
      <c r="A169" s="2" t="s">
        <v>222</v>
      </c>
      <c r="B169" s="2" t="s">
        <v>212</v>
      </c>
      <c r="C169" s="2" t="s">
        <v>25</v>
      </c>
      <c r="D169" s="2">
        <v>1089.99</v>
      </c>
      <c r="E169" s="2">
        <v>2.7945261782695999E-3</v>
      </c>
      <c r="F169" s="2">
        <v>2.645729491980688</v>
      </c>
      <c r="G169" s="2"/>
      <c r="H169" s="2"/>
      <c r="I169" s="2">
        <v>2.5</v>
      </c>
      <c r="J169" s="2">
        <v>209</v>
      </c>
      <c r="K169" s="2">
        <v>1035.5570268438321</v>
      </c>
      <c r="L169" s="2">
        <v>0.03</v>
      </c>
      <c r="M169" s="2" t="str">
        <f t="shared" si="2"/>
        <v>2.5 x 209</v>
      </c>
    </row>
    <row r="170" spans="1:13" x14ac:dyDescent="0.25">
      <c r="A170" s="2" t="s">
        <v>223</v>
      </c>
      <c r="B170" s="2" t="s">
        <v>212</v>
      </c>
      <c r="C170" s="2" t="s">
        <v>25</v>
      </c>
      <c r="D170" s="2">
        <v>574.61</v>
      </c>
      <c r="E170" s="2">
        <v>5.0260001531471999E-3</v>
      </c>
      <c r="F170" s="2">
        <v>3.1587618390707521</v>
      </c>
      <c r="G170" s="2"/>
      <c r="H170" s="2"/>
      <c r="I170" s="2">
        <v>2.5</v>
      </c>
      <c r="J170" s="2">
        <v>209</v>
      </c>
      <c r="K170" s="2">
        <v>1035.5570268438321</v>
      </c>
      <c r="L170" s="2">
        <v>0.03</v>
      </c>
      <c r="M170" s="2" t="str">
        <f t="shared" si="2"/>
        <v>2.5 x 209</v>
      </c>
    </row>
    <row r="171" spans="1:13" x14ac:dyDescent="0.25">
      <c r="A171" s="2" t="s">
        <v>224</v>
      </c>
      <c r="B171" s="2" t="s">
        <v>212</v>
      </c>
      <c r="C171" s="2" t="s">
        <v>25</v>
      </c>
      <c r="D171" s="2">
        <v>1597.48</v>
      </c>
      <c r="E171" s="2">
        <v>3.064827102687E-3</v>
      </c>
      <c r="F171" s="2">
        <v>2.6965999333401331</v>
      </c>
      <c r="G171" s="2"/>
      <c r="H171" s="2"/>
      <c r="I171" s="2">
        <v>2.5</v>
      </c>
      <c r="J171" s="2">
        <v>209</v>
      </c>
      <c r="K171" s="2">
        <v>1012.67203740729</v>
      </c>
      <c r="L171" s="2">
        <v>0.03</v>
      </c>
      <c r="M171" s="2" t="str">
        <f t="shared" si="2"/>
        <v>2.5 x 209</v>
      </c>
    </row>
    <row r="172" spans="1:13" x14ac:dyDescent="0.25">
      <c r="A172" s="2" t="s">
        <v>225</v>
      </c>
      <c r="B172" s="2" t="s">
        <v>212</v>
      </c>
      <c r="C172" s="2" t="s">
        <v>25</v>
      </c>
      <c r="D172" s="2">
        <v>283.95999999999998</v>
      </c>
      <c r="E172" s="2">
        <v>1E-3</v>
      </c>
      <c r="F172" s="2">
        <v>1.590388823189909</v>
      </c>
      <c r="G172" s="2"/>
      <c r="H172" s="2"/>
      <c r="I172" s="2">
        <v>2.5</v>
      </c>
      <c r="J172" s="2">
        <v>343</v>
      </c>
      <c r="K172" s="2">
        <v>1022.002991349175</v>
      </c>
      <c r="L172" s="2">
        <v>0.03</v>
      </c>
      <c r="M172" s="2" t="str">
        <f t="shared" si="2"/>
        <v>2.5 x 343</v>
      </c>
    </row>
    <row r="173" spans="1:13" x14ac:dyDescent="0.25">
      <c r="A173" s="2" t="s">
        <v>226</v>
      </c>
      <c r="B173" s="2" t="s">
        <v>227</v>
      </c>
      <c r="C173" s="2" t="s">
        <v>79</v>
      </c>
      <c r="D173" s="2">
        <v>681</v>
      </c>
      <c r="E173" s="2">
        <v>3.2657856093979E-3</v>
      </c>
      <c r="F173" s="2">
        <v>2.7470305759636742</v>
      </c>
      <c r="G173" s="2"/>
      <c r="H173" s="2"/>
      <c r="I173" s="2">
        <v>2.5</v>
      </c>
      <c r="J173" s="2">
        <v>49</v>
      </c>
      <c r="K173" s="2">
        <v>250.83101227812799</v>
      </c>
      <c r="L173" s="2">
        <v>0.03</v>
      </c>
      <c r="M173" s="2" t="str">
        <f t="shared" si="2"/>
        <v>2.5 x 49</v>
      </c>
    </row>
    <row r="174" spans="1:13" x14ac:dyDescent="0.25">
      <c r="A174" s="2" t="s">
        <v>228</v>
      </c>
      <c r="B174" s="2" t="s">
        <v>227</v>
      </c>
      <c r="C174" s="2" t="s">
        <v>79</v>
      </c>
      <c r="D174" s="2">
        <v>1037</v>
      </c>
      <c r="E174" s="2">
        <v>5.0530376084844996E-3</v>
      </c>
      <c r="F174" s="2">
        <v>3.142572129622704</v>
      </c>
      <c r="G174" s="2"/>
      <c r="H174" s="2"/>
      <c r="I174" s="2">
        <v>2.5</v>
      </c>
      <c r="J174" s="2">
        <v>49</v>
      </c>
      <c r="K174" s="2">
        <v>250.83101227812799</v>
      </c>
      <c r="L174" s="2">
        <v>0.03</v>
      </c>
      <c r="M174" s="2" t="str">
        <f t="shared" si="2"/>
        <v>2.5 x 49</v>
      </c>
    </row>
    <row r="175" spans="1:13" x14ac:dyDescent="0.25">
      <c r="A175" s="2" t="s">
        <v>229</v>
      </c>
      <c r="B175" s="2" t="s">
        <v>227</v>
      </c>
      <c r="C175" s="2" t="s">
        <v>79</v>
      </c>
      <c r="D175" s="2">
        <v>517</v>
      </c>
      <c r="E175" s="2">
        <v>3.4932301740828002E-3</v>
      </c>
      <c r="F175" s="2">
        <v>2.8047078692720002</v>
      </c>
      <c r="G175" s="2"/>
      <c r="H175" s="2"/>
      <c r="I175" s="2">
        <v>2.5</v>
      </c>
      <c r="J175" s="2">
        <v>49</v>
      </c>
      <c r="K175" s="2">
        <v>250.83101227812799</v>
      </c>
      <c r="L175" s="2">
        <v>0.03</v>
      </c>
      <c r="M175" s="2" t="str">
        <f t="shared" si="2"/>
        <v>2.5 x 49</v>
      </c>
    </row>
    <row r="176" spans="1:13" x14ac:dyDescent="0.25">
      <c r="A176" s="2" t="s">
        <v>230</v>
      </c>
      <c r="B176" s="2" t="s">
        <v>227</v>
      </c>
      <c r="C176" s="2" t="s">
        <v>79</v>
      </c>
      <c r="D176" s="2">
        <v>799.33</v>
      </c>
      <c r="E176" s="2">
        <v>1.4637185456891999E-3</v>
      </c>
      <c r="F176" s="2">
        <v>1.8883760118391411</v>
      </c>
      <c r="G176" s="2"/>
      <c r="H176" s="2"/>
      <c r="I176" s="2">
        <v>2.5</v>
      </c>
      <c r="J176" s="2">
        <v>94</v>
      </c>
      <c r="K176" s="2">
        <v>332.59399809893438</v>
      </c>
      <c r="L176" s="2">
        <v>0.03</v>
      </c>
      <c r="M176" s="2" t="str">
        <f t="shared" si="2"/>
        <v>2.5 x 94</v>
      </c>
    </row>
    <row r="177" spans="1:13" x14ac:dyDescent="0.25">
      <c r="A177" s="2" t="s">
        <v>231</v>
      </c>
      <c r="B177" s="2" t="s">
        <v>227</v>
      </c>
      <c r="C177" s="2" t="s">
        <v>79</v>
      </c>
      <c r="D177" s="2">
        <v>496.99</v>
      </c>
      <c r="E177" s="2">
        <v>6.7003360228619999E-3</v>
      </c>
      <c r="F177" s="2">
        <v>2.9975187744354712</v>
      </c>
      <c r="G177" s="2"/>
      <c r="H177" s="2"/>
      <c r="I177" s="2">
        <v>2.5</v>
      </c>
      <c r="J177" s="2">
        <v>94</v>
      </c>
      <c r="K177" s="2">
        <v>332.59399809893438</v>
      </c>
      <c r="L177" s="2">
        <v>0.03</v>
      </c>
      <c r="M177" s="2" t="str">
        <f t="shared" si="2"/>
        <v>2.5 x 94</v>
      </c>
    </row>
    <row r="178" spans="1:13" x14ac:dyDescent="0.25">
      <c r="A178" s="2" t="s">
        <v>232</v>
      </c>
      <c r="B178" s="2" t="s">
        <v>227</v>
      </c>
      <c r="C178" s="2" t="s">
        <v>79</v>
      </c>
      <c r="D178" s="2">
        <v>2610.9699999999998</v>
      </c>
      <c r="E178" s="2">
        <v>3.0705098986177999E-3</v>
      </c>
      <c r="F178" s="2">
        <v>2.3657220197958262</v>
      </c>
      <c r="G178" s="2"/>
      <c r="H178" s="2"/>
      <c r="I178" s="2">
        <v>2.5</v>
      </c>
      <c r="J178" s="2">
        <v>94</v>
      </c>
      <c r="K178" s="2">
        <v>332.59399809893438</v>
      </c>
      <c r="L178" s="2">
        <v>0.03</v>
      </c>
      <c r="M178" s="2" t="str">
        <f t="shared" si="2"/>
        <v>2.5 x 94</v>
      </c>
    </row>
    <row r="179" spans="1:13" x14ac:dyDescent="0.25">
      <c r="A179" s="2" t="s">
        <v>233</v>
      </c>
      <c r="B179" s="2" t="s">
        <v>234</v>
      </c>
      <c r="C179" s="2" t="s">
        <v>34</v>
      </c>
      <c r="D179" s="2">
        <v>3014.3</v>
      </c>
      <c r="E179" s="2">
        <v>8.4112453380514006E-3</v>
      </c>
      <c r="F179" s="2">
        <v>4.3788248659332956</v>
      </c>
      <c r="G179" s="2"/>
      <c r="H179" s="2"/>
      <c r="I179" s="2">
        <v>2.5</v>
      </c>
      <c r="J179" s="2">
        <v>41</v>
      </c>
      <c r="K179" s="2">
        <v>335.84498775678668</v>
      </c>
      <c r="L179" s="2">
        <v>0.03</v>
      </c>
      <c r="M179" s="2" t="str">
        <f t="shared" si="2"/>
        <v>2.5 x 41</v>
      </c>
    </row>
    <row r="180" spans="1:13" x14ac:dyDescent="0.25">
      <c r="A180" s="2" t="s">
        <v>235</v>
      </c>
      <c r="B180" s="2" t="s">
        <v>234</v>
      </c>
      <c r="C180" s="2" t="s">
        <v>34</v>
      </c>
      <c r="D180" s="2">
        <v>759.91</v>
      </c>
      <c r="E180" s="2">
        <v>6.5402654005493003E-3</v>
      </c>
      <c r="F180" s="2">
        <v>3.8769569536407169</v>
      </c>
      <c r="G180" s="2"/>
      <c r="H180" s="2"/>
      <c r="I180" s="2">
        <v>2.5</v>
      </c>
      <c r="J180" s="2">
        <v>46.5</v>
      </c>
      <c r="K180" s="2">
        <v>335.84498775678668</v>
      </c>
      <c r="L180" s="2">
        <v>0.03</v>
      </c>
      <c r="M180" s="2" t="str">
        <f t="shared" si="2"/>
        <v>2.5 x 46.5</v>
      </c>
    </row>
    <row r="181" spans="1:13" x14ac:dyDescent="0.25">
      <c r="A181" s="2" t="s">
        <v>236</v>
      </c>
      <c r="B181" s="2" t="s">
        <v>234</v>
      </c>
      <c r="C181" s="2" t="s">
        <v>34</v>
      </c>
      <c r="D181" s="2">
        <v>2179.09</v>
      </c>
      <c r="E181" s="2">
        <v>7.2236509518646998E-3</v>
      </c>
      <c r="F181" s="2">
        <v>3.9978745727806522</v>
      </c>
      <c r="G181" s="2"/>
      <c r="H181" s="2"/>
      <c r="I181" s="2">
        <v>2.5</v>
      </c>
      <c r="J181" s="2">
        <v>46.5</v>
      </c>
      <c r="K181" s="2">
        <v>335.84498775678668</v>
      </c>
      <c r="L181" s="2">
        <v>0.03</v>
      </c>
      <c r="M181" s="2" t="str">
        <f t="shared" si="2"/>
        <v>2.5 x 46.5</v>
      </c>
    </row>
    <row r="182" spans="1:13" x14ac:dyDescent="0.25">
      <c r="A182" s="2" t="s">
        <v>237</v>
      </c>
      <c r="B182" s="2" t="s">
        <v>234</v>
      </c>
      <c r="C182" s="2" t="s">
        <v>34</v>
      </c>
      <c r="D182" s="2">
        <v>913.13</v>
      </c>
      <c r="E182" s="2">
        <v>5.7658770045103001E-3</v>
      </c>
      <c r="F182" s="2">
        <v>3.660762882771821</v>
      </c>
      <c r="G182" s="2"/>
      <c r="H182" s="2"/>
      <c r="I182" s="2">
        <v>2.5</v>
      </c>
      <c r="J182" s="2">
        <v>49</v>
      </c>
      <c r="K182" s="2">
        <v>335.84498775678668</v>
      </c>
      <c r="L182" s="2">
        <v>0.03</v>
      </c>
      <c r="M182" s="2" t="str">
        <f t="shared" si="2"/>
        <v>2.5 x 49</v>
      </c>
    </row>
    <row r="183" spans="1:13" x14ac:dyDescent="0.25">
      <c r="A183" s="2" t="s">
        <v>238</v>
      </c>
      <c r="B183" s="2" t="s">
        <v>239</v>
      </c>
      <c r="C183" s="2" t="s">
        <v>34</v>
      </c>
      <c r="D183" s="2">
        <v>2373.77</v>
      </c>
      <c r="E183" s="2">
        <v>2.9594249152821999E-3</v>
      </c>
      <c r="F183" s="2">
        <v>2.3554278807123521</v>
      </c>
      <c r="G183" s="2"/>
      <c r="H183" s="2"/>
      <c r="I183" s="2">
        <v>2.5</v>
      </c>
      <c r="J183" s="2">
        <v>15</v>
      </c>
      <c r="K183" s="2">
        <v>65.168000323173089</v>
      </c>
      <c r="L183" s="2">
        <v>0.03</v>
      </c>
      <c r="M183" s="2" t="str">
        <f t="shared" si="2"/>
        <v>2.5 x 15</v>
      </c>
    </row>
    <row r="184" spans="1:13" x14ac:dyDescent="0.25">
      <c r="A184" s="2" t="s">
        <v>240</v>
      </c>
      <c r="B184" s="2" t="s">
        <v>239</v>
      </c>
      <c r="C184" s="2" t="s">
        <v>34</v>
      </c>
      <c r="D184" s="2">
        <v>730.67</v>
      </c>
      <c r="E184" s="2">
        <v>8.6974527329958997E-3</v>
      </c>
      <c r="F184" s="2">
        <v>3.333280546843814</v>
      </c>
      <c r="G184" s="2"/>
      <c r="H184" s="2"/>
      <c r="I184" s="2">
        <v>2.5</v>
      </c>
      <c r="J184" s="2">
        <v>15</v>
      </c>
      <c r="K184" s="2">
        <v>65.168000323173089</v>
      </c>
      <c r="L184" s="2">
        <v>0.03</v>
      </c>
      <c r="M184" s="2" t="str">
        <f t="shared" si="2"/>
        <v>2.5 x 15</v>
      </c>
    </row>
    <row r="185" spans="1:13" x14ac:dyDescent="0.25">
      <c r="A185" s="2" t="s">
        <v>241</v>
      </c>
      <c r="B185" s="2" t="s">
        <v>242</v>
      </c>
      <c r="C185" s="2" t="s">
        <v>25</v>
      </c>
      <c r="D185" s="2">
        <v>671.56</v>
      </c>
      <c r="E185" s="2">
        <v>7.7163504134405E-3</v>
      </c>
      <c r="F185" s="2">
        <v>4.2582397846346529</v>
      </c>
      <c r="G185" s="2"/>
      <c r="H185" s="2"/>
      <c r="I185" s="2">
        <v>2.5</v>
      </c>
      <c r="J185" s="2">
        <v>58.5</v>
      </c>
      <c r="K185" s="2">
        <v>464.7349764759216</v>
      </c>
      <c r="L185" s="2">
        <v>0.03</v>
      </c>
      <c r="M185" s="2" t="str">
        <f t="shared" si="2"/>
        <v>2.5 x 58.5</v>
      </c>
    </row>
    <row r="186" spans="1:13" x14ac:dyDescent="0.25">
      <c r="A186" s="2" t="s">
        <v>243</v>
      </c>
      <c r="B186" s="2" t="s">
        <v>242</v>
      </c>
      <c r="C186" s="2" t="s">
        <v>25</v>
      </c>
      <c r="D186" s="2">
        <v>457.97</v>
      </c>
      <c r="E186" s="2">
        <v>1.02627481892772E-2</v>
      </c>
      <c r="F186" s="2">
        <v>4.6479613447112218</v>
      </c>
      <c r="G186" s="2"/>
      <c r="H186" s="2"/>
      <c r="I186" s="2">
        <v>2.5</v>
      </c>
      <c r="J186" s="2">
        <v>58.5</v>
      </c>
      <c r="K186" s="2">
        <v>464.7349764759216</v>
      </c>
      <c r="L186" s="2">
        <v>0.03</v>
      </c>
      <c r="M186" s="2" t="str">
        <f t="shared" si="2"/>
        <v>2.5 x 58.5</v>
      </c>
    </row>
    <row r="187" spans="1:13" x14ac:dyDescent="0.25">
      <c r="A187" s="2" t="s">
        <v>244</v>
      </c>
      <c r="B187" s="2" t="s">
        <v>242</v>
      </c>
      <c r="C187" s="2" t="s">
        <v>25</v>
      </c>
      <c r="D187" s="2">
        <v>866.53</v>
      </c>
      <c r="E187" s="2">
        <v>6.9518815318157998E-3</v>
      </c>
      <c r="F187" s="2">
        <v>4.0500196456384039</v>
      </c>
      <c r="G187" s="2"/>
      <c r="H187" s="2"/>
      <c r="I187" s="2">
        <v>2.5</v>
      </c>
      <c r="J187" s="2">
        <v>61.5</v>
      </c>
      <c r="K187" s="2">
        <v>464.7349764759216</v>
      </c>
      <c r="L187" s="2">
        <v>0.03</v>
      </c>
      <c r="M187" s="2" t="str">
        <f t="shared" si="2"/>
        <v>2.5 x 61.5</v>
      </c>
    </row>
    <row r="188" spans="1:13" x14ac:dyDescent="0.25">
      <c r="A188" s="2" t="s">
        <v>245</v>
      </c>
      <c r="B188" s="2" t="s">
        <v>242</v>
      </c>
      <c r="C188" s="2" t="s">
        <v>25</v>
      </c>
      <c r="D188" s="2">
        <v>994</v>
      </c>
      <c r="E188" s="2">
        <v>5.7183098591561997E-3</v>
      </c>
      <c r="F188" s="2">
        <v>3.687349050639126</v>
      </c>
      <c r="G188" s="2"/>
      <c r="H188" s="2"/>
      <c r="I188" s="2">
        <v>2.5</v>
      </c>
      <c r="J188" s="2">
        <v>67.5</v>
      </c>
      <c r="K188" s="2">
        <v>464.7349764759216</v>
      </c>
      <c r="L188" s="2">
        <v>0.03</v>
      </c>
      <c r="M188" s="2" t="str">
        <f t="shared" si="2"/>
        <v>2.5 x 67.5</v>
      </c>
    </row>
    <row r="189" spans="1:13" x14ac:dyDescent="0.25">
      <c r="A189" s="2" t="s">
        <v>246</v>
      </c>
      <c r="B189" s="2" t="s">
        <v>242</v>
      </c>
      <c r="C189" s="2" t="s">
        <v>25</v>
      </c>
      <c r="D189" s="2">
        <v>1305</v>
      </c>
      <c r="E189" s="2">
        <v>6.3394636015288997E-3</v>
      </c>
      <c r="F189" s="2">
        <v>3.9326506470985438</v>
      </c>
      <c r="G189" s="2"/>
      <c r="H189" s="2"/>
      <c r="I189" s="2">
        <v>2.5</v>
      </c>
      <c r="J189" s="2">
        <v>96</v>
      </c>
      <c r="K189" s="2">
        <v>707.55602675653154</v>
      </c>
      <c r="L189" s="2">
        <v>0.03</v>
      </c>
      <c r="M189" s="2" t="str">
        <f t="shared" si="2"/>
        <v>2.5 x 96</v>
      </c>
    </row>
    <row r="190" spans="1:13" x14ac:dyDescent="0.25">
      <c r="A190" s="2" t="s">
        <v>247</v>
      </c>
      <c r="B190" s="2" t="s">
        <v>242</v>
      </c>
      <c r="C190" s="2" t="s">
        <v>25</v>
      </c>
      <c r="D190" s="2">
        <v>1869</v>
      </c>
      <c r="E190" s="2">
        <v>5.5612627073314E-3</v>
      </c>
      <c r="F190" s="2">
        <v>3.6868982060658371</v>
      </c>
      <c r="G190" s="2"/>
      <c r="H190" s="2"/>
      <c r="I190" s="2">
        <v>2.5</v>
      </c>
      <c r="J190" s="2">
        <v>102.5</v>
      </c>
      <c r="K190" s="2">
        <v>707.55602675653154</v>
      </c>
      <c r="L190" s="2">
        <v>0.03</v>
      </c>
      <c r="M190" s="2" t="str">
        <f t="shared" si="2"/>
        <v>2.5 x 102.5</v>
      </c>
    </row>
    <row r="191" spans="1:13" x14ac:dyDescent="0.25">
      <c r="A191" s="2" t="s">
        <v>248</v>
      </c>
      <c r="B191" s="2" t="s">
        <v>242</v>
      </c>
      <c r="C191" s="2" t="s">
        <v>25</v>
      </c>
      <c r="D191" s="2">
        <v>1297</v>
      </c>
      <c r="E191" s="2">
        <v>6.8033924441014996E-3</v>
      </c>
      <c r="F191" s="2">
        <v>3.9200316499253409</v>
      </c>
      <c r="G191" s="2"/>
      <c r="H191" s="2"/>
      <c r="I191" s="2">
        <v>2.5</v>
      </c>
      <c r="J191" s="2">
        <v>102.5</v>
      </c>
      <c r="K191" s="2">
        <v>707.55602675653154</v>
      </c>
      <c r="L191" s="2">
        <v>0.03</v>
      </c>
      <c r="M191" s="2" t="str">
        <f t="shared" si="2"/>
        <v>2.5 x 102.5</v>
      </c>
    </row>
    <row r="192" spans="1:13" x14ac:dyDescent="0.25">
      <c r="A192" s="2" t="s">
        <v>249</v>
      </c>
      <c r="B192" s="2" t="s">
        <v>242</v>
      </c>
      <c r="C192" s="2" t="s">
        <v>25</v>
      </c>
      <c r="D192" s="2">
        <v>1113</v>
      </c>
      <c r="E192" s="2">
        <v>4.5947888589396996E-3</v>
      </c>
      <c r="F192" s="2">
        <v>3.3586246393651051</v>
      </c>
      <c r="G192" s="2"/>
      <c r="H192" s="2"/>
      <c r="I192" s="2">
        <v>2.5</v>
      </c>
      <c r="J192" s="2">
        <v>112.5</v>
      </c>
      <c r="K192" s="2">
        <v>707.55602675653154</v>
      </c>
      <c r="L192" s="2">
        <v>0.03</v>
      </c>
      <c r="M192" s="2" t="str">
        <f t="shared" si="2"/>
        <v>2.5 x 112.5</v>
      </c>
    </row>
    <row r="193" spans="1:13" x14ac:dyDescent="0.25">
      <c r="A193" s="2" t="s">
        <v>250</v>
      </c>
      <c r="B193" s="2" t="s">
        <v>242</v>
      </c>
      <c r="C193" s="2" t="s">
        <v>25</v>
      </c>
      <c r="D193" s="2">
        <v>743</v>
      </c>
      <c r="E193" s="2">
        <v>3.2947510094228998E-3</v>
      </c>
      <c r="F193" s="2">
        <v>2.852672092679319</v>
      </c>
      <c r="G193" s="2"/>
      <c r="H193" s="2"/>
      <c r="I193" s="2">
        <v>2.5</v>
      </c>
      <c r="J193" s="2">
        <v>132.5</v>
      </c>
      <c r="K193" s="2">
        <v>707.55602675653154</v>
      </c>
      <c r="L193" s="2">
        <v>0.03</v>
      </c>
      <c r="M193" s="2" t="str">
        <f t="shared" si="2"/>
        <v>2.5 x 132.5</v>
      </c>
    </row>
    <row r="194" spans="1:13" x14ac:dyDescent="0.25">
      <c r="A194" s="2" t="s">
        <v>251</v>
      </c>
      <c r="B194" s="2" t="s">
        <v>242</v>
      </c>
      <c r="C194" s="2" t="s">
        <v>25</v>
      </c>
      <c r="D194" s="2">
        <v>1086.7</v>
      </c>
      <c r="E194" s="2">
        <v>5.6924896130005004E-3</v>
      </c>
      <c r="F194" s="2">
        <v>3.3668869257295002</v>
      </c>
      <c r="G194" s="2"/>
      <c r="H194" s="2"/>
      <c r="I194" s="2">
        <v>2.5</v>
      </c>
      <c r="J194" s="2">
        <v>132.5</v>
      </c>
      <c r="K194" s="2">
        <v>707.55602675653154</v>
      </c>
      <c r="L194" s="2">
        <v>0.03</v>
      </c>
      <c r="M194" s="2" t="str">
        <f t="shared" ref="M194:M213" si="3">TEXT(I194,"0.0")&amp;" x "&amp;IF(J194=INT(J194),TEXT(J194,"0"),TEXT(J194,"0.0"))</f>
        <v>2.5 x 132.5</v>
      </c>
    </row>
    <row r="195" spans="1:13" x14ac:dyDescent="0.25">
      <c r="A195" s="2" t="s">
        <v>252</v>
      </c>
      <c r="B195" s="2" t="s">
        <v>242</v>
      </c>
      <c r="C195" s="2" t="s">
        <v>25</v>
      </c>
      <c r="D195" s="2">
        <v>1248.98</v>
      </c>
      <c r="E195" s="2">
        <v>2.0945057654951E-3</v>
      </c>
      <c r="F195" s="2">
        <v>2.2832321422204052</v>
      </c>
      <c r="G195" s="2"/>
      <c r="H195" s="2"/>
      <c r="I195" s="2">
        <v>2.5</v>
      </c>
      <c r="J195" s="2">
        <v>165.5</v>
      </c>
      <c r="K195" s="2">
        <v>707.55602675653154</v>
      </c>
      <c r="L195" s="2">
        <v>0.03</v>
      </c>
      <c r="M195" s="2" t="str">
        <f t="shared" si="3"/>
        <v>2.5 x 165.5</v>
      </c>
    </row>
    <row r="196" spans="1:13" x14ac:dyDescent="0.25">
      <c r="A196" s="2" t="s">
        <v>253</v>
      </c>
      <c r="B196" s="2" t="s">
        <v>242</v>
      </c>
      <c r="C196" s="2" t="s">
        <v>25</v>
      </c>
      <c r="D196" s="2">
        <v>813.89</v>
      </c>
      <c r="E196" s="2">
        <v>1E-3</v>
      </c>
      <c r="F196" s="2">
        <v>1.5859367693636679</v>
      </c>
      <c r="G196" s="2"/>
      <c r="H196" s="2"/>
      <c r="I196" s="2">
        <v>2.5</v>
      </c>
      <c r="J196" s="2">
        <v>238</v>
      </c>
      <c r="K196" s="2">
        <v>707.55602675653154</v>
      </c>
      <c r="L196" s="2">
        <v>0.03</v>
      </c>
      <c r="M196" s="2" t="str">
        <f t="shared" si="3"/>
        <v>2.5 x 238</v>
      </c>
    </row>
    <row r="197" spans="1:13" x14ac:dyDescent="0.25">
      <c r="A197" s="2" t="s">
        <v>254</v>
      </c>
      <c r="B197" s="2" t="s">
        <v>255</v>
      </c>
      <c r="C197" s="2" t="s">
        <v>25</v>
      </c>
      <c r="D197" s="2">
        <v>901.17</v>
      </c>
      <c r="E197" s="2">
        <v>6.7767382660996996E-3</v>
      </c>
      <c r="F197" s="2">
        <v>4.029764486672609</v>
      </c>
      <c r="G197" s="2"/>
      <c r="H197" s="2"/>
      <c r="I197" s="2">
        <v>2.5</v>
      </c>
      <c r="J197" s="2">
        <v>74.5</v>
      </c>
      <c r="K197" s="2">
        <v>561.08901933012703</v>
      </c>
      <c r="L197" s="2">
        <v>0.03</v>
      </c>
      <c r="M197" s="2" t="str">
        <f t="shared" si="3"/>
        <v>2.5 x 74.5</v>
      </c>
    </row>
    <row r="198" spans="1:13" x14ac:dyDescent="0.25">
      <c r="A198" s="2" t="s">
        <v>256</v>
      </c>
      <c r="B198" s="2" t="s">
        <v>255</v>
      </c>
      <c r="C198" s="2" t="s">
        <v>25</v>
      </c>
      <c r="D198" s="2">
        <v>1455.85</v>
      </c>
      <c r="E198" s="2">
        <v>3.9585203664947999E-3</v>
      </c>
      <c r="F198" s="2">
        <v>3.1058208845613788</v>
      </c>
      <c r="G198" s="2"/>
      <c r="H198" s="2"/>
      <c r="I198" s="2">
        <v>2.5</v>
      </c>
      <c r="J198" s="2">
        <v>96.5</v>
      </c>
      <c r="K198" s="2">
        <v>561.08901933012703</v>
      </c>
      <c r="L198" s="2">
        <v>0.03</v>
      </c>
      <c r="M198" s="2" t="str">
        <f t="shared" si="3"/>
        <v>2.5 x 96.5</v>
      </c>
    </row>
    <row r="199" spans="1:13" x14ac:dyDescent="0.25">
      <c r="A199" s="2" t="s">
        <v>257</v>
      </c>
      <c r="B199" s="2" t="s">
        <v>255</v>
      </c>
      <c r="C199" s="2" t="s">
        <v>25</v>
      </c>
      <c r="D199" s="2">
        <v>765.7</v>
      </c>
      <c r="E199" s="2">
        <v>3.6043881156402001E-3</v>
      </c>
      <c r="F199" s="2">
        <v>2.877823755086157</v>
      </c>
      <c r="G199" s="2"/>
      <c r="H199" s="2"/>
      <c r="I199" s="2">
        <v>2.5</v>
      </c>
      <c r="J199" s="2">
        <v>109.5</v>
      </c>
      <c r="K199" s="2">
        <v>561.08901933012703</v>
      </c>
      <c r="L199" s="2">
        <v>0.03</v>
      </c>
      <c r="M199" s="2" t="str">
        <f t="shared" si="3"/>
        <v>2.5 x 109.5</v>
      </c>
    </row>
    <row r="200" spans="1:13" x14ac:dyDescent="0.25">
      <c r="A200" s="2" t="s">
        <v>258</v>
      </c>
      <c r="B200" s="2" t="s">
        <v>255</v>
      </c>
      <c r="C200" s="2" t="s">
        <v>25</v>
      </c>
      <c r="D200" s="2">
        <v>1928.3</v>
      </c>
      <c r="E200" s="2">
        <v>5.9856478672269996E-3</v>
      </c>
      <c r="F200" s="2">
        <v>3.5145930259688538</v>
      </c>
      <c r="G200" s="2"/>
      <c r="H200" s="2"/>
      <c r="I200" s="2">
        <v>2.5</v>
      </c>
      <c r="J200" s="2">
        <v>238</v>
      </c>
      <c r="K200" s="2">
        <v>1348.8249708683361</v>
      </c>
      <c r="L200" s="2">
        <v>0.03</v>
      </c>
      <c r="M200" s="2" t="str">
        <f t="shared" si="3"/>
        <v>2.5 x 238</v>
      </c>
    </row>
    <row r="201" spans="1:13" x14ac:dyDescent="0.25">
      <c r="A201" s="2" t="s">
        <v>259</v>
      </c>
      <c r="B201" s="2" t="s">
        <v>255</v>
      </c>
      <c r="C201" s="2" t="s">
        <v>25</v>
      </c>
      <c r="D201" s="2">
        <v>2499</v>
      </c>
      <c r="E201" s="2">
        <v>2.8727490996397001E-3</v>
      </c>
      <c r="F201" s="2">
        <v>2.6912139248949498</v>
      </c>
      <c r="G201" s="2"/>
      <c r="H201" s="2"/>
      <c r="I201" s="2">
        <v>2.5</v>
      </c>
      <c r="J201" s="2">
        <v>268</v>
      </c>
      <c r="K201" s="2">
        <v>1352.0630464956671</v>
      </c>
      <c r="L201" s="2">
        <v>0.03</v>
      </c>
      <c r="M201" s="2" t="str">
        <f t="shared" si="3"/>
        <v>2.5 x 268</v>
      </c>
    </row>
    <row r="202" spans="1:13" x14ac:dyDescent="0.25">
      <c r="A202" s="2" t="s">
        <v>260</v>
      </c>
      <c r="B202" s="2" t="s">
        <v>255</v>
      </c>
      <c r="C202" s="2" t="s">
        <v>25</v>
      </c>
      <c r="D202" s="2">
        <v>1218.3699999999999</v>
      </c>
      <c r="E202" s="2">
        <v>2.3826857620776001E-3</v>
      </c>
      <c r="F202" s="2">
        <v>2.454529825675853</v>
      </c>
      <c r="G202" s="2"/>
      <c r="H202" s="2"/>
      <c r="I202" s="2">
        <v>2.5</v>
      </c>
      <c r="J202" s="2">
        <v>317.5</v>
      </c>
      <c r="K202" s="2">
        <v>1460.9800352216259</v>
      </c>
      <c r="L202" s="2">
        <v>0.03</v>
      </c>
      <c r="M202" s="2" t="str">
        <f t="shared" si="3"/>
        <v>2.5 x 317.5</v>
      </c>
    </row>
    <row r="203" spans="1:13" x14ac:dyDescent="0.25">
      <c r="A203" s="2" t="s">
        <v>261</v>
      </c>
      <c r="B203" s="2" t="s">
        <v>255</v>
      </c>
      <c r="C203" s="2" t="s">
        <v>25</v>
      </c>
      <c r="D203" s="2">
        <v>1012.2</v>
      </c>
      <c r="E203" s="2">
        <v>1.0027711400374E-3</v>
      </c>
      <c r="F203" s="2">
        <v>1.596791048674562</v>
      </c>
      <c r="G203" s="2"/>
      <c r="H203" s="2"/>
      <c r="I203" s="2">
        <v>2.5</v>
      </c>
      <c r="J203" s="2">
        <v>488</v>
      </c>
      <c r="K203" s="2">
        <v>1460.9800352216259</v>
      </c>
      <c r="L203" s="2">
        <v>0.03</v>
      </c>
      <c r="M203" s="2" t="str">
        <f t="shared" si="3"/>
        <v>2.5 x 488</v>
      </c>
    </row>
    <row r="204" spans="1:13" x14ac:dyDescent="0.25">
      <c r="A204" s="2" t="s">
        <v>262</v>
      </c>
      <c r="B204" s="2" t="s">
        <v>263</v>
      </c>
      <c r="C204" s="2" t="s">
        <v>79</v>
      </c>
      <c r="D204" s="2">
        <v>1857.89</v>
      </c>
      <c r="E204" s="2">
        <v>2.9237468310824E-3</v>
      </c>
      <c r="F204" s="2">
        <v>2.5904241469109439</v>
      </c>
      <c r="G204" s="2"/>
      <c r="H204" s="2"/>
      <c r="I204" s="2">
        <v>2.5</v>
      </c>
      <c r="J204" s="2">
        <v>45</v>
      </c>
      <c r="K204" s="2">
        <v>217.50299665681399</v>
      </c>
      <c r="L204" s="2">
        <v>0.03</v>
      </c>
      <c r="M204" s="2" t="str">
        <f t="shared" si="3"/>
        <v>2.5 x 45</v>
      </c>
    </row>
    <row r="205" spans="1:13" x14ac:dyDescent="0.25">
      <c r="A205" s="2" t="s">
        <v>264</v>
      </c>
      <c r="B205" s="2" t="s">
        <v>263</v>
      </c>
      <c r="C205" s="2" t="s">
        <v>79</v>
      </c>
      <c r="D205" s="2">
        <v>1861.77</v>
      </c>
      <c r="E205" s="2">
        <v>2.2543088075424001E-3</v>
      </c>
      <c r="F205" s="2">
        <v>2.3087845069123998</v>
      </c>
      <c r="G205" s="2"/>
      <c r="H205" s="2"/>
      <c r="I205" s="2">
        <v>2.5</v>
      </c>
      <c r="J205" s="2">
        <v>60</v>
      </c>
      <c r="K205" s="2">
        <v>259.30900418266719</v>
      </c>
      <c r="L205" s="2">
        <v>0.03</v>
      </c>
      <c r="M205" s="2" t="str">
        <f t="shared" si="3"/>
        <v>2.5 x 60</v>
      </c>
    </row>
    <row r="206" spans="1:13" x14ac:dyDescent="0.25">
      <c r="A206" s="2" t="s">
        <v>265</v>
      </c>
      <c r="B206" s="2" t="s">
        <v>263</v>
      </c>
      <c r="C206" s="2" t="s">
        <v>79</v>
      </c>
      <c r="D206" s="2">
        <v>702.13</v>
      </c>
      <c r="E206" s="2">
        <v>3.3540749518240999E-3</v>
      </c>
      <c r="F206" s="2">
        <v>2.6081099859648722</v>
      </c>
      <c r="G206" s="2"/>
      <c r="H206" s="2"/>
      <c r="I206" s="2">
        <v>2.5</v>
      </c>
      <c r="J206" s="2">
        <v>60</v>
      </c>
      <c r="K206" s="2">
        <v>259.30900418266719</v>
      </c>
      <c r="L206" s="2">
        <v>0.03</v>
      </c>
      <c r="M206" s="2" t="str">
        <f t="shared" si="3"/>
        <v>2.5 x 60</v>
      </c>
    </row>
    <row r="207" spans="1:13" x14ac:dyDescent="0.25">
      <c r="A207" s="2" t="s">
        <v>266</v>
      </c>
      <c r="B207" s="2" t="s">
        <v>263</v>
      </c>
      <c r="C207" s="2" t="s">
        <v>79</v>
      </c>
      <c r="D207" s="2">
        <v>656.48</v>
      </c>
      <c r="E207" s="2">
        <v>2.5849909060715998E-3</v>
      </c>
      <c r="F207" s="2">
        <v>2.4078937188741811</v>
      </c>
      <c r="G207" s="2"/>
      <c r="H207" s="2"/>
      <c r="I207" s="2">
        <v>2.5</v>
      </c>
      <c r="J207" s="2">
        <v>60</v>
      </c>
      <c r="K207" s="2">
        <v>259.30900418266719</v>
      </c>
      <c r="L207" s="2">
        <v>0.03</v>
      </c>
      <c r="M207" s="2" t="str">
        <f t="shared" si="3"/>
        <v>2.5 x 60</v>
      </c>
    </row>
    <row r="208" spans="1:13" x14ac:dyDescent="0.25">
      <c r="A208" s="2" t="s">
        <v>267</v>
      </c>
      <c r="B208" s="2" t="s">
        <v>263</v>
      </c>
      <c r="C208" s="2" t="s">
        <v>79</v>
      </c>
      <c r="D208" s="2">
        <v>978.73</v>
      </c>
      <c r="E208" s="2">
        <v>4.3014971457881997E-3</v>
      </c>
      <c r="F208" s="2">
        <v>2.833159620937737</v>
      </c>
      <c r="G208" s="2"/>
      <c r="H208" s="2"/>
      <c r="I208" s="2">
        <v>2.5</v>
      </c>
      <c r="J208" s="2">
        <v>60</v>
      </c>
      <c r="K208" s="2">
        <v>263.75201139869159</v>
      </c>
      <c r="L208" s="2">
        <v>0.03</v>
      </c>
      <c r="M208" s="2" t="str">
        <f t="shared" si="3"/>
        <v>2.5 x 60</v>
      </c>
    </row>
    <row r="209" spans="1:13" x14ac:dyDescent="0.25">
      <c r="A209" s="2" t="s">
        <v>268</v>
      </c>
      <c r="B209" s="2" t="s">
        <v>263</v>
      </c>
      <c r="C209" s="2" t="s">
        <v>79</v>
      </c>
      <c r="D209" s="2">
        <v>415.94</v>
      </c>
      <c r="E209" s="2">
        <v>9.9999999999990006E-4</v>
      </c>
      <c r="F209" s="2">
        <v>1.557788923565999</v>
      </c>
      <c r="G209" s="2"/>
      <c r="H209" s="2"/>
      <c r="I209" s="2">
        <v>2.5</v>
      </c>
      <c r="J209" s="2">
        <v>90.5</v>
      </c>
      <c r="K209" s="2">
        <v>263.75201139869159</v>
      </c>
      <c r="L209" s="2">
        <v>0.03</v>
      </c>
      <c r="M209" s="2" t="str">
        <f t="shared" si="3"/>
        <v>2.5 x 90.5</v>
      </c>
    </row>
    <row r="210" spans="1:13" x14ac:dyDescent="0.25">
      <c r="A210" s="2" t="s">
        <v>269</v>
      </c>
      <c r="B210" s="2" t="s">
        <v>270</v>
      </c>
      <c r="C210" s="2" t="s">
        <v>34</v>
      </c>
      <c r="D210" s="2">
        <v>1348</v>
      </c>
      <c r="E210" s="2">
        <v>3.8738872403566E-3</v>
      </c>
      <c r="F210" s="2">
        <v>0</v>
      </c>
      <c r="G210" s="2"/>
      <c r="H210" s="2"/>
      <c r="I210" s="2">
        <v>2.5</v>
      </c>
      <c r="J210" s="2">
        <v>10</v>
      </c>
      <c r="K210" s="2">
        <v>0</v>
      </c>
      <c r="L210" s="2">
        <v>0.03</v>
      </c>
      <c r="M210" s="2" t="str">
        <f t="shared" si="3"/>
        <v>2.5 x 10</v>
      </c>
    </row>
    <row r="211" spans="1:13" x14ac:dyDescent="0.25">
      <c r="A211" s="2" t="s">
        <v>271</v>
      </c>
      <c r="B211" s="2" t="s">
        <v>270</v>
      </c>
      <c r="C211" s="2" t="s">
        <v>34</v>
      </c>
      <c r="D211" s="2">
        <v>573.20000000000005</v>
      </c>
      <c r="E211" s="2">
        <v>1.5055929944921E-3</v>
      </c>
      <c r="F211" s="2">
        <v>0</v>
      </c>
      <c r="G211" s="2"/>
      <c r="H211" s="2"/>
      <c r="I211" s="2">
        <v>2.5</v>
      </c>
      <c r="J211" s="2">
        <v>10</v>
      </c>
      <c r="K211" s="2">
        <v>0</v>
      </c>
      <c r="L211" s="2">
        <v>0.03</v>
      </c>
      <c r="M211" s="2" t="str">
        <f t="shared" si="3"/>
        <v>2.5 x 10</v>
      </c>
    </row>
    <row r="212" spans="1:13" x14ac:dyDescent="0.25">
      <c r="A212" s="2" t="s">
        <v>272</v>
      </c>
      <c r="B212" s="2" t="s">
        <v>273</v>
      </c>
      <c r="C212" s="2" t="s">
        <v>34</v>
      </c>
      <c r="D212" s="2">
        <v>1677.25</v>
      </c>
      <c r="E212" s="2">
        <v>4.0029810702045003E-3</v>
      </c>
      <c r="F212" s="2">
        <v>2.7268469242609541</v>
      </c>
      <c r="G212" s="2"/>
      <c r="H212" s="2"/>
      <c r="I212" s="2">
        <v>2.5</v>
      </c>
      <c r="J212" s="2">
        <v>14</v>
      </c>
      <c r="K212" s="2">
        <v>71.050002474449926</v>
      </c>
      <c r="L212" s="2">
        <v>0.03</v>
      </c>
      <c r="M212" s="2" t="str">
        <f t="shared" si="3"/>
        <v>2.5 x 14</v>
      </c>
    </row>
    <row r="213" spans="1:13" x14ac:dyDescent="0.25">
      <c r="A213" s="2" t="s">
        <v>274</v>
      </c>
      <c r="B213" s="2" t="s">
        <v>273</v>
      </c>
      <c r="C213" s="2" t="s">
        <v>34</v>
      </c>
      <c r="D213" s="2">
        <v>1096.3699999999999</v>
      </c>
      <c r="E213" s="2">
        <v>1E-3</v>
      </c>
      <c r="F213" s="2">
        <v>1.525024208421099</v>
      </c>
      <c r="G213" s="2"/>
      <c r="H213" s="2"/>
      <c r="I213" s="2">
        <v>2.5</v>
      </c>
      <c r="J213" s="2">
        <v>52.5</v>
      </c>
      <c r="K213" s="2">
        <v>149.21800011238949</v>
      </c>
      <c r="L213" s="2">
        <v>0.03</v>
      </c>
      <c r="M213" s="2" t="str">
        <f t="shared" si="3"/>
        <v>2.5 x 52.5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9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3" customWidth="1"/>
    <col min="2" max="2" width="7" customWidth="1"/>
    <col min="3" max="3" width="11" customWidth="1"/>
    <col min="4" max="4" width="13" customWidth="1"/>
    <col min="5" max="8" width="12" customWidth="1"/>
    <col min="9" max="9" width="14" customWidth="1"/>
    <col min="10" max="10" width="12" customWidth="1"/>
    <col min="11" max="11" width="9" customWidth="1"/>
  </cols>
  <sheetData>
    <row r="1" spans="1:11" ht="42" customHeight="1" x14ac:dyDescent="0.25">
      <c r="A1" s="3" t="s">
        <v>11</v>
      </c>
      <c r="B1" s="3" t="s">
        <v>12</v>
      </c>
      <c r="C1" s="3" t="s">
        <v>275</v>
      </c>
      <c r="D1" s="3" t="s">
        <v>276</v>
      </c>
      <c r="E1" s="3" t="s">
        <v>277</v>
      </c>
      <c r="F1" s="3" t="s">
        <v>278</v>
      </c>
      <c r="G1" s="3" t="s">
        <v>279</v>
      </c>
      <c r="H1" s="3" t="s">
        <v>280</v>
      </c>
      <c r="I1" s="3" t="s">
        <v>281</v>
      </c>
      <c r="J1" s="3" t="s">
        <v>282</v>
      </c>
      <c r="K1" s="3" t="s">
        <v>283</v>
      </c>
    </row>
    <row r="2" spans="1:11" x14ac:dyDescent="0.25">
      <c r="A2" s="2" t="s">
        <v>24</v>
      </c>
      <c r="B2" s="2" t="s">
        <v>25</v>
      </c>
      <c r="C2" s="2">
        <f>SUMIF(Reaches!$B$2:$B$213,A2,Reaches!$D$2:$D$213)/1000</f>
        <v>8.2038999999999991</v>
      </c>
      <c r="D2" s="2">
        <f>_xlfn.MAXIFS(Reaches!$K$2:$K$213,Reaches!$B$2:$B$213,A2)</f>
        <v>372.53300183320431</v>
      </c>
      <c r="E2" s="2">
        <f>INDEX(Reaches!$J$2:$J$213,MATCH(A2,Reaches!$B$2:$B$213,0))</f>
        <v>29</v>
      </c>
      <c r="F2" s="2">
        <f>LOOKUP(2,1/(Reaches!$B$2:$B$213=A2),Reaches!$J$2:$J$213)</f>
        <v>89.5</v>
      </c>
      <c r="G2" s="2">
        <f>_xlfn.MINIFS(Reaches!$J$2:$J$213,Reaches!$B$2:$B$213,A2)</f>
        <v>29</v>
      </c>
      <c r="H2" s="2">
        <f>_xlfn.MAXIFS(Reaches!$J$2:$J$213,Reaches!$B$2:$B$213,A2)</f>
        <v>89.5</v>
      </c>
      <c r="I2" s="2" t="s">
        <v>284</v>
      </c>
      <c r="J2" s="2">
        <f>_xlfn.MAXIFS(Reaches!$F$2:$F$213,Reaches!$B$2:$B$213,A2)</f>
        <v>4.2936286128584502</v>
      </c>
      <c r="K2" s="2">
        <f>COUNTIF(Reaches!$B$2:$B$213,A2)</f>
        <v>7</v>
      </c>
    </row>
    <row r="3" spans="1:11" x14ac:dyDescent="0.25">
      <c r="A3" s="2" t="s">
        <v>33</v>
      </c>
      <c r="B3" s="2" t="s">
        <v>34</v>
      </c>
      <c r="C3" s="2">
        <f>SUMIF(Reaches!$B$2:$B$213,A3,Reaches!$D$2:$D$213)/1000</f>
        <v>7.7217199999999995</v>
      </c>
      <c r="D3" s="2">
        <f>_xlfn.MAXIFS(Reaches!$K$2:$K$213,Reaches!$B$2:$B$213,A3)</f>
        <v>215.32600082637049</v>
      </c>
      <c r="E3" s="2">
        <f>INDEX(Reaches!$J$2:$J$213,MATCH(A3,Reaches!$B$2:$B$213,0))</f>
        <v>10</v>
      </c>
      <c r="F3" s="2">
        <f>LOOKUP(2,1/(Reaches!$B$2:$B$213=A3),Reaches!$J$2:$J$213)</f>
        <v>54</v>
      </c>
      <c r="G3" s="2">
        <f>_xlfn.MINIFS(Reaches!$J$2:$J$213,Reaches!$B$2:$B$213,A3)</f>
        <v>10</v>
      </c>
      <c r="H3" s="2">
        <f>_xlfn.MAXIFS(Reaches!$J$2:$J$213,Reaches!$B$2:$B$213,A3)</f>
        <v>54</v>
      </c>
      <c r="I3" s="2" t="s">
        <v>285</v>
      </c>
      <c r="J3" s="2">
        <f>_xlfn.MAXIFS(Reaches!$F$2:$F$213,Reaches!$B$2:$B$213,A3)</f>
        <v>3.587265624887932</v>
      </c>
      <c r="K3" s="2">
        <f>COUNTIF(Reaches!$B$2:$B$213,A3)</f>
        <v>8</v>
      </c>
    </row>
    <row r="4" spans="1:11" x14ac:dyDescent="0.25">
      <c r="A4" s="2" t="s">
        <v>43</v>
      </c>
      <c r="B4" s="2" t="s">
        <v>34</v>
      </c>
      <c r="C4" s="2">
        <f>SUMIF(Reaches!$B$2:$B$213,A4,Reaches!$D$2:$D$213)/1000</f>
        <v>1.4403900000000001</v>
      </c>
      <c r="D4" s="2">
        <f>_xlfn.MAXIFS(Reaches!$K$2:$K$213,Reaches!$B$2:$B$213,A4)</f>
        <v>0</v>
      </c>
      <c r="E4" s="2">
        <f>INDEX(Reaches!$J$2:$J$213,MATCH(A4,Reaches!$B$2:$B$213,0))</f>
        <v>10</v>
      </c>
      <c r="F4" s="2">
        <f>LOOKUP(2,1/(Reaches!$B$2:$B$213=A4),Reaches!$J$2:$J$213)</f>
        <v>10</v>
      </c>
      <c r="G4" s="2">
        <f>_xlfn.MINIFS(Reaches!$J$2:$J$213,Reaches!$B$2:$B$213,A4)</f>
        <v>10</v>
      </c>
      <c r="H4" s="2">
        <f>_xlfn.MAXIFS(Reaches!$J$2:$J$213,Reaches!$B$2:$B$213,A4)</f>
        <v>10</v>
      </c>
      <c r="I4" s="2" t="s">
        <v>285</v>
      </c>
      <c r="J4" s="2">
        <f>_xlfn.MAXIFS(Reaches!$F$2:$F$213,Reaches!$B$2:$B$213,A4)</f>
        <v>0</v>
      </c>
      <c r="K4" s="2">
        <f>COUNTIF(Reaches!$B$2:$B$213,A4)</f>
        <v>1</v>
      </c>
    </row>
    <row r="5" spans="1:11" x14ac:dyDescent="0.25">
      <c r="A5" s="2" t="s">
        <v>45</v>
      </c>
      <c r="B5" s="2" t="s">
        <v>34</v>
      </c>
      <c r="C5" s="2">
        <f>SUMIF(Reaches!$B$2:$B$213,A5,Reaches!$D$2:$D$213)/1000</f>
        <v>1.3852899999999999</v>
      </c>
      <c r="D5" s="2">
        <f>_xlfn.MAXIFS(Reaches!$K$2:$K$213,Reaches!$B$2:$B$213,A5)</f>
        <v>0</v>
      </c>
      <c r="E5" s="2">
        <f>INDEX(Reaches!$J$2:$J$213,MATCH(A5,Reaches!$B$2:$B$213,0))</f>
        <v>10</v>
      </c>
      <c r="F5" s="2">
        <f>LOOKUP(2,1/(Reaches!$B$2:$B$213=A5),Reaches!$J$2:$J$213)</f>
        <v>10</v>
      </c>
      <c r="G5" s="2">
        <f>_xlfn.MINIFS(Reaches!$J$2:$J$213,Reaches!$B$2:$B$213,A5)</f>
        <v>10</v>
      </c>
      <c r="H5" s="2">
        <f>_xlfn.MAXIFS(Reaches!$J$2:$J$213,Reaches!$B$2:$B$213,A5)</f>
        <v>10</v>
      </c>
      <c r="I5" s="2" t="s">
        <v>285</v>
      </c>
      <c r="J5" s="2">
        <f>_xlfn.MAXIFS(Reaches!$F$2:$F$213,Reaches!$B$2:$B$213,A5)</f>
        <v>0</v>
      </c>
      <c r="K5" s="2">
        <f>COUNTIF(Reaches!$B$2:$B$213,A5)</f>
        <v>2</v>
      </c>
    </row>
    <row r="6" spans="1:11" x14ac:dyDescent="0.25">
      <c r="A6" s="2" t="s">
        <v>48</v>
      </c>
      <c r="B6" s="2" t="s">
        <v>34</v>
      </c>
      <c r="C6" s="2">
        <f>SUMIF(Reaches!$B$2:$B$213,A6,Reaches!$D$2:$D$213)/1000</f>
        <v>7.0658499999999993</v>
      </c>
      <c r="D6" s="2">
        <f>_xlfn.MAXIFS(Reaches!$K$2:$K$213,Reaches!$B$2:$B$213,A6)</f>
        <v>198.8589942008019</v>
      </c>
      <c r="E6" s="2">
        <f>INDEX(Reaches!$J$2:$J$213,MATCH(A6,Reaches!$B$2:$B$213,0))</f>
        <v>10</v>
      </c>
      <c r="F6" s="2">
        <f>LOOKUP(2,1/(Reaches!$B$2:$B$213=A6),Reaches!$J$2:$J$213)</f>
        <v>44.5</v>
      </c>
      <c r="G6" s="2">
        <f>_xlfn.MINIFS(Reaches!$J$2:$J$213,Reaches!$B$2:$B$213,A6)</f>
        <v>10</v>
      </c>
      <c r="H6" s="2">
        <f>_xlfn.MAXIFS(Reaches!$J$2:$J$213,Reaches!$B$2:$B$213,A6)</f>
        <v>44.5</v>
      </c>
      <c r="I6" s="2" t="s">
        <v>285</v>
      </c>
      <c r="J6" s="2">
        <f>_xlfn.MAXIFS(Reaches!$F$2:$F$213,Reaches!$B$2:$B$213,A6)</f>
        <v>3.888474855234537</v>
      </c>
      <c r="K6" s="2">
        <f>COUNTIF(Reaches!$B$2:$B$213,A6)</f>
        <v>7</v>
      </c>
    </row>
    <row r="7" spans="1:11" x14ac:dyDescent="0.25">
      <c r="A7" s="2" t="s">
        <v>56</v>
      </c>
      <c r="B7" s="2" t="s">
        <v>34</v>
      </c>
      <c r="C7" s="2">
        <f>SUMIF(Reaches!$B$2:$B$213,A7,Reaches!$D$2:$D$213)/1000</f>
        <v>1.2702500000000001</v>
      </c>
      <c r="D7" s="2">
        <f>_xlfn.MAXIFS(Reaches!$K$2:$K$213,Reaches!$B$2:$B$213,A7)</f>
        <v>25.213999928994621</v>
      </c>
      <c r="E7" s="2">
        <f>INDEX(Reaches!$J$2:$J$213,MATCH(A7,Reaches!$B$2:$B$213,0))</f>
        <v>10</v>
      </c>
      <c r="F7" s="2">
        <f>LOOKUP(2,1/(Reaches!$B$2:$B$213=A7),Reaches!$J$2:$J$213)</f>
        <v>10</v>
      </c>
      <c r="G7" s="2">
        <f>_xlfn.MINIFS(Reaches!$J$2:$J$213,Reaches!$B$2:$B$213,A7)</f>
        <v>10</v>
      </c>
      <c r="H7" s="2">
        <f>_xlfn.MAXIFS(Reaches!$J$2:$J$213,Reaches!$B$2:$B$213,A7)</f>
        <v>10</v>
      </c>
      <c r="I7" s="2" t="s">
        <v>285</v>
      </c>
      <c r="J7" s="2">
        <f>_xlfn.MAXIFS(Reaches!$F$2:$F$213,Reaches!$B$2:$B$213,A7)</f>
        <v>1.9777696831204989</v>
      </c>
      <c r="K7" s="2">
        <f>COUNTIF(Reaches!$B$2:$B$213,A7)</f>
        <v>1</v>
      </c>
    </row>
    <row r="8" spans="1:11" x14ac:dyDescent="0.25">
      <c r="A8" s="2" t="s">
        <v>58</v>
      </c>
      <c r="B8" s="2" t="s">
        <v>34</v>
      </c>
      <c r="C8" s="2">
        <f>SUMIF(Reaches!$B$2:$B$213,A8,Reaches!$D$2:$D$213)/1000</f>
        <v>6.5075499999999993</v>
      </c>
      <c r="D8" s="2">
        <f>_xlfn.MAXIFS(Reaches!$K$2:$K$213,Reaches!$B$2:$B$213,A8)</f>
        <v>79.944001759417702</v>
      </c>
      <c r="E8" s="2">
        <f>INDEX(Reaches!$J$2:$J$213,MATCH(A8,Reaches!$B$2:$B$213,0))</f>
        <v>12.5</v>
      </c>
      <c r="F8" s="2">
        <f>LOOKUP(2,1/(Reaches!$B$2:$B$213=A8),Reaches!$J$2:$J$213)</f>
        <v>29</v>
      </c>
      <c r="G8" s="2">
        <f>_xlfn.MINIFS(Reaches!$J$2:$J$213,Reaches!$B$2:$B$213,A8)</f>
        <v>12.5</v>
      </c>
      <c r="H8" s="2">
        <f>_xlfn.MAXIFS(Reaches!$J$2:$J$213,Reaches!$B$2:$B$213,A8)</f>
        <v>29</v>
      </c>
      <c r="I8" s="2" t="s">
        <v>285</v>
      </c>
      <c r="J8" s="2">
        <f>_xlfn.MAXIFS(Reaches!$F$2:$F$213,Reaches!$B$2:$B$213,A8)</f>
        <v>3.8051223849632838</v>
      </c>
      <c r="K8" s="2">
        <f>COUNTIF(Reaches!$B$2:$B$213,A8)</f>
        <v>6</v>
      </c>
    </row>
    <row r="9" spans="1:11" x14ac:dyDescent="0.25">
      <c r="A9" s="2" t="s">
        <v>65</v>
      </c>
      <c r="B9" s="2" t="s">
        <v>25</v>
      </c>
      <c r="C9" s="2">
        <f>SUMIF(Reaches!$B$2:$B$213,A9,Reaches!$D$2:$D$213)/1000</f>
        <v>8.0441900000000004</v>
      </c>
      <c r="D9" s="2">
        <f>_xlfn.MAXIFS(Reaches!$K$2:$K$213,Reaches!$B$2:$B$213,A9)</f>
        <v>996.01398885482922</v>
      </c>
      <c r="E9" s="2">
        <f>INDEX(Reaches!$J$2:$J$213,MATCH(A9,Reaches!$B$2:$B$213,0))</f>
        <v>156.5</v>
      </c>
      <c r="F9" s="2">
        <f>LOOKUP(2,1/(Reaches!$B$2:$B$213=A9),Reaches!$J$2:$J$213)</f>
        <v>218.5</v>
      </c>
      <c r="G9" s="2">
        <f>_xlfn.MINIFS(Reaches!$J$2:$J$213,Reaches!$B$2:$B$213,A9)</f>
        <v>156.5</v>
      </c>
      <c r="H9" s="2">
        <f>_xlfn.MAXIFS(Reaches!$J$2:$J$213,Reaches!$B$2:$B$213,A9)</f>
        <v>218.5</v>
      </c>
      <c r="I9" s="2" t="s">
        <v>284</v>
      </c>
      <c r="J9" s="2">
        <f>_xlfn.MAXIFS(Reaches!$F$2:$F$213,Reaches!$B$2:$B$213,A9)</f>
        <v>3.8908988351808049</v>
      </c>
      <c r="K9" s="2">
        <f>COUNTIF(Reaches!$B$2:$B$213,A9)</f>
        <v>12</v>
      </c>
    </row>
    <row r="10" spans="1:11" x14ac:dyDescent="0.25">
      <c r="A10" s="2" t="s">
        <v>78</v>
      </c>
      <c r="B10" s="2" t="s">
        <v>79</v>
      </c>
      <c r="C10" s="2">
        <f>SUMIF(Reaches!$B$2:$B$213,A10,Reaches!$D$2:$D$213)/1000</f>
        <v>11.436020000000001</v>
      </c>
      <c r="D10" s="2">
        <f>_xlfn.MAXIFS(Reaches!$K$2:$K$213,Reaches!$B$2:$B$213,A10)</f>
        <v>637.05797464761599</v>
      </c>
      <c r="E10" s="2">
        <f>INDEX(Reaches!$J$2:$J$213,MATCH(A10,Reaches!$B$2:$B$213,0))</f>
        <v>83.5</v>
      </c>
      <c r="F10" s="2">
        <f>LOOKUP(2,1/(Reaches!$B$2:$B$213=A10),Reaches!$J$2:$J$213)</f>
        <v>107.5</v>
      </c>
      <c r="G10" s="2">
        <f>_xlfn.MINIFS(Reaches!$J$2:$J$213,Reaches!$B$2:$B$213,A10)</f>
        <v>83.5</v>
      </c>
      <c r="H10" s="2">
        <f>_xlfn.MAXIFS(Reaches!$J$2:$J$213,Reaches!$B$2:$B$213,A10)</f>
        <v>107.5</v>
      </c>
      <c r="I10" s="2" t="s">
        <v>285</v>
      </c>
      <c r="J10" s="2">
        <f>_xlfn.MAXIFS(Reaches!$F$2:$F$213,Reaches!$B$2:$B$213,A10)</f>
        <v>4.4594432007716964</v>
      </c>
      <c r="K10" s="2">
        <f>COUNTIF(Reaches!$B$2:$B$213,A10)</f>
        <v>8</v>
      </c>
    </row>
    <row r="11" spans="1:11" x14ac:dyDescent="0.25">
      <c r="A11" s="2" t="s">
        <v>88</v>
      </c>
      <c r="B11" s="2" t="s">
        <v>79</v>
      </c>
      <c r="C11" s="2">
        <f>SUMIF(Reaches!$B$2:$B$213,A11,Reaches!$D$2:$D$213)/1000</f>
        <v>13.878420000000002</v>
      </c>
      <c r="D11" s="2">
        <f>_xlfn.MAXIFS(Reaches!$K$2:$K$213,Reaches!$B$2:$B$213,A11)</f>
        <v>794.70797944236597</v>
      </c>
      <c r="E11" s="2">
        <f>INDEX(Reaches!$J$2:$J$213,MATCH(A11,Reaches!$B$2:$B$213,0))</f>
        <v>10</v>
      </c>
      <c r="F11" s="2">
        <f>LOOKUP(2,1/(Reaches!$B$2:$B$213=A11),Reaches!$J$2:$J$213)</f>
        <v>267</v>
      </c>
      <c r="G11" s="2">
        <f>_xlfn.MINIFS(Reaches!$J$2:$J$213,Reaches!$B$2:$B$213,A11)</f>
        <v>10</v>
      </c>
      <c r="H11" s="2">
        <f>_xlfn.MAXIFS(Reaches!$J$2:$J$213,Reaches!$B$2:$B$213,A11)</f>
        <v>267</v>
      </c>
      <c r="I11" s="2" t="s">
        <v>285</v>
      </c>
      <c r="J11" s="2">
        <f>_xlfn.MAXIFS(Reaches!$F$2:$F$213,Reaches!$B$2:$B$213,A11)</f>
        <v>4.3759529482130537</v>
      </c>
      <c r="K11" s="2">
        <f>COUNTIF(Reaches!$B$2:$B$213,A11)</f>
        <v>16</v>
      </c>
    </row>
    <row r="12" spans="1:11" x14ac:dyDescent="0.25">
      <c r="A12" s="2" t="s">
        <v>105</v>
      </c>
      <c r="B12" s="2" t="s">
        <v>79</v>
      </c>
      <c r="C12" s="2">
        <f>SUMIF(Reaches!$B$2:$B$213,A12,Reaches!$D$2:$D$213)/1000</f>
        <v>8.2768300000000004</v>
      </c>
      <c r="D12" s="2">
        <f>_xlfn.MAXIFS(Reaches!$K$2:$K$213,Reaches!$B$2:$B$213,A12)</f>
        <v>752.51200690919711</v>
      </c>
      <c r="E12" s="2">
        <f>INDEX(Reaches!$J$2:$J$213,MATCH(A12,Reaches!$B$2:$B$213,0))</f>
        <v>94.5</v>
      </c>
      <c r="F12" s="2">
        <f>LOOKUP(2,1/(Reaches!$B$2:$B$213=A12),Reaches!$J$2:$J$213)</f>
        <v>253</v>
      </c>
      <c r="G12" s="2">
        <f>_xlfn.MINIFS(Reaches!$J$2:$J$213,Reaches!$B$2:$B$213,A12)</f>
        <v>94.5</v>
      </c>
      <c r="H12" s="2">
        <f>_xlfn.MAXIFS(Reaches!$J$2:$J$213,Reaches!$B$2:$B$213,A12)</f>
        <v>253</v>
      </c>
      <c r="I12" s="2" t="s">
        <v>285</v>
      </c>
      <c r="J12" s="2">
        <f>_xlfn.MAXIFS(Reaches!$F$2:$F$213,Reaches!$B$2:$B$213,A12)</f>
        <v>3.5095814132750558</v>
      </c>
      <c r="K12" s="2">
        <f>COUNTIF(Reaches!$B$2:$B$213,A12)</f>
        <v>10</v>
      </c>
    </row>
    <row r="13" spans="1:11" x14ac:dyDescent="0.25">
      <c r="A13" s="2" t="s">
        <v>116</v>
      </c>
      <c r="B13" s="2" t="s">
        <v>79</v>
      </c>
      <c r="C13" s="2">
        <f>SUMIF(Reaches!$B$2:$B$213,A13,Reaches!$D$2:$D$213)/1000</f>
        <v>9.916739999999999</v>
      </c>
      <c r="D13" s="2">
        <f>_xlfn.MAXIFS(Reaches!$K$2:$K$213,Reaches!$B$2:$B$213,A13)</f>
        <v>248.96599951480499</v>
      </c>
      <c r="E13" s="2">
        <f>INDEX(Reaches!$J$2:$J$213,MATCH(A13,Reaches!$B$2:$B$213,0))</f>
        <v>20.5</v>
      </c>
      <c r="F13" s="2">
        <f>LOOKUP(2,1/(Reaches!$B$2:$B$213=A13),Reaches!$J$2:$J$213)</f>
        <v>50</v>
      </c>
      <c r="G13" s="2">
        <f>_xlfn.MINIFS(Reaches!$J$2:$J$213,Reaches!$B$2:$B$213,A13)</f>
        <v>20.5</v>
      </c>
      <c r="H13" s="2">
        <f>_xlfn.MAXIFS(Reaches!$J$2:$J$213,Reaches!$B$2:$B$213,A13)</f>
        <v>50</v>
      </c>
      <c r="I13" s="2" t="s">
        <v>285</v>
      </c>
      <c r="J13" s="2">
        <f>_xlfn.MAXIFS(Reaches!$F$2:$F$213,Reaches!$B$2:$B$213,A13)</f>
        <v>3.7748777194819119</v>
      </c>
      <c r="K13" s="2">
        <f>COUNTIF(Reaches!$B$2:$B$213,A13)</f>
        <v>6</v>
      </c>
    </row>
    <row r="14" spans="1:11" x14ac:dyDescent="0.25">
      <c r="A14" s="2" t="s">
        <v>123</v>
      </c>
      <c r="B14" s="2" t="s">
        <v>79</v>
      </c>
      <c r="C14" s="2">
        <f>SUMIF(Reaches!$B$2:$B$213,A14,Reaches!$D$2:$D$213)/1000</f>
        <v>5.1590800000000003</v>
      </c>
      <c r="D14" s="2">
        <f>_xlfn.MAXIFS(Reaches!$K$2:$K$213,Reaches!$B$2:$B$213,A14)</f>
        <v>153.59899509405679</v>
      </c>
      <c r="E14" s="2">
        <f>INDEX(Reaches!$J$2:$J$213,MATCH(A14,Reaches!$B$2:$B$213,0))</f>
        <v>14.5</v>
      </c>
      <c r="F14" s="2">
        <f>LOOKUP(2,1/(Reaches!$B$2:$B$213=A14),Reaches!$J$2:$J$213)</f>
        <v>46</v>
      </c>
      <c r="G14" s="2">
        <f>_xlfn.MINIFS(Reaches!$J$2:$J$213,Reaches!$B$2:$B$213,A14)</f>
        <v>14.5</v>
      </c>
      <c r="H14" s="2">
        <f>_xlfn.MAXIFS(Reaches!$J$2:$J$213,Reaches!$B$2:$B$213,A14)</f>
        <v>46</v>
      </c>
      <c r="I14" s="2" t="s">
        <v>285</v>
      </c>
      <c r="J14" s="2">
        <f>_xlfn.MAXIFS(Reaches!$F$2:$F$213,Reaches!$B$2:$B$213,A14)</f>
        <v>3.091272063324948</v>
      </c>
      <c r="K14" s="2">
        <f>COUNTIF(Reaches!$B$2:$B$213,A14)</f>
        <v>6</v>
      </c>
    </row>
    <row r="15" spans="1:11" x14ac:dyDescent="0.25">
      <c r="A15" s="2" t="s">
        <v>130</v>
      </c>
      <c r="B15" s="2" t="s">
        <v>79</v>
      </c>
      <c r="C15" s="2">
        <f>SUMIF(Reaches!$B$2:$B$213,A15,Reaches!$D$2:$D$213)/1000</f>
        <v>7.4059300000000006</v>
      </c>
      <c r="D15" s="2">
        <f>_xlfn.MAXIFS(Reaches!$K$2:$K$213,Reaches!$B$2:$B$213,A15)</f>
        <v>273.37100076223288</v>
      </c>
      <c r="E15" s="2">
        <f>INDEX(Reaches!$J$2:$J$213,MATCH(A15,Reaches!$B$2:$B$213,0))</f>
        <v>15</v>
      </c>
      <c r="F15" s="2">
        <f>LOOKUP(2,1/(Reaches!$B$2:$B$213=A15),Reaches!$J$2:$J$213)</f>
        <v>58</v>
      </c>
      <c r="G15" s="2">
        <f>_xlfn.MINIFS(Reaches!$J$2:$J$213,Reaches!$B$2:$B$213,A15)</f>
        <v>15</v>
      </c>
      <c r="H15" s="2">
        <f>_xlfn.MAXIFS(Reaches!$J$2:$J$213,Reaches!$B$2:$B$213,A15)</f>
        <v>58</v>
      </c>
      <c r="I15" s="2" t="s">
        <v>285</v>
      </c>
      <c r="J15" s="2">
        <f>_xlfn.MAXIFS(Reaches!$F$2:$F$213,Reaches!$B$2:$B$213,A15)</f>
        <v>3.6204952825827839</v>
      </c>
      <c r="K15" s="2">
        <f>COUNTIF(Reaches!$B$2:$B$213,A15)</f>
        <v>9</v>
      </c>
    </row>
    <row r="16" spans="1:11" x14ac:dyDescent="0.25">
      <c r="A16" s="2" t="s">
        <v>140</v>
      </c>
      <c r="B16" s="2" t="s">
        <v>34</v>
      </c>
      <c r="C16" s="2">
        <f>SUMIF(Reaches!$B$2:$B$213,A16,Reaches!$D$2:$D$213)/1000</f>
        <v>5.8846399999999992</v>
      </c>
      <c r="D16" s="2">
        <f>_xlfn.MAXIFS(Reaches!$K$2:$K$213,Reaches!$B$2:$B$213,A16)</f>
        <v>76.401997050811076</v>
      </c>
      <c r="E16" s="2">
        <f>INDEX(Reaches!$J$2:$J$213,MATCH(A16,Reaches!$B$2:$B$213,0))</f>
        <v>13</v>
      </c>
      <c r="F16" s="2">
        <f>LOOKUP(2,1/(Reaches!$B$2:$B$213=A16),Reaches!$J$2:$J$213)</f>
        <v>20</v>
      </c>
      <c r="G16" s="2">
        <f>_xlfn.MINIFS(Reaches!$J$2:$J$213,Reaches!$B$2:$B$213,A16)</f>
        <v>13</v>
      </c>
      <c r="H16" s="2">
        <f>_xlfn.MAXIFS(Reaches!$J$2:$J$213,Reaches!$B$2:$B$213,A16)</f>
        <v>20</v>
      </c>
      <c r="I16" s="2" t="s">
        <v>285</v>
      </c>
      <c r="J16" s="2">
        <f>_xlfn.MAXIFS(Reaches!$F$2:$F$213,Reaches!$B$2:$B$213,A16)</f>
        <v>3.2211429150257378</v>
      </c>
      <c r="K16" s="2">
        <f>COUNTIF(Reaches!$B$2:$B$213,A16)</f>
        <v>5</v>
      </c>
    </row>
    <row r="17" spans="1:11" x14ac:dyDescent="0.25">
      <c r="A17" s="2" t="s">
        <v>146</v>
      </c>
      <c r="B17" s="2" t="s">
        <v>34</v>
      </c>
      <c r="C17" s="2">
        <f>SUMIF(Reaches!$B$2:$B$213,A17,Reaches!$D$2:$D$213)/1000</f>
        <v>5.4891300000000003</v>
      </c>
      <c r="D17" s="2">
        <f>_xlfn.MAXIFS(Reaches!$K$2:$K$213,Reaches!$B$2:$B$213,A17)</f>
        <v>149.15200582151181</v>
      </c>
      <c r="E17" s="2">
        <f>INDEX(Reaches!$J$2:$J$213,MATCH(A17,Reaches!$B$2:$B$213,0))</f>
        <v>10</v>
      </c>
      <c r="F17" s="2">
        <f>LOOKUP(2,1/(Reaches!$B$2:$B$213=A17),Reaches!$J$2:$J$213)</f>
        <v>52</v>
      </c>
      <c r="G17" s="2">
        <f>_xlfn.MINIFS(Reaches!$J$2:$J$213,Reaches!$B$2:$B$213,A17)</f>
        <v>10</v>
      </c>
      <c r="H17" s="2">
        <f>_xlfn.MAXIFS(Reaches!$J$2:$J$213,Reaches!$B$2:$B$213,A17)</f>
        <v>52</v>
      </c>
      <c r="I17" s="2" t="s">
        <v>285</v>
      </c>
      <c r="J17" s="2">
        <f>_xlfn.MAXIFS(Reaches!$F$2:$F$213,Reaches!$B$2:$B$213,A17)</f>
        <v>3.2875164798357379</v>
      </c>
      <c r="K17" s="2">
        <f>COUNTIF(Reaches!$B$2:$B$213,A17)</f>
        <v>6</v>
      </c>
    </row>
    <row r="18" spans="1:11" x14ac:dyDescent="0.25">
      <c r="A18" s="2" t="s">
        <v>153</v>
      </c>
      <c r="B18" s="2" t="s">
        <v>34</v>
      </c>
      <c r="C18" s="2">
        <f>SUMIF(Reaches!$B$2:$B$213,A18,Reaches!$D$2:$D$213)/1000</f>
        <v>5.3740300000000003</v>
      </c>
      <c r="D18" s="2">
        <f>_xlfn.MAXIFS(Reaches!$K$2:$K$213,Reaches!$B$2:$B$213,A18)</f>
        <v>335.93801302161512</v>
      </c>
      <c r="E18" s="2">
        <f>INDEX(Reaches!$J$2:$J$213,MATCH(A18,Reaches!$B$2:$B$213,0))</f>
        <v>25</v>
      </c>
      <c r="F18" s="2">
        <f>LOOKUP(2,1/(Reaches!$B$2:$B$213=A18),Reaches!$J$2:$J$213)</f>
        <v>72.5</v>
      </c>
      <c r="G18" s="2">
        <f>_xlfn.MINIFS(Reaches!$J$2:$J$213,Reaches!$B$2:$B$213,A18)</f>
        <v>25</v>
      </c>
      <c r="H18" s="2">
        <f>_xlfn.MAXIFS(Reaches!$J$2:$J$213,Reaches!$B$2:$B$213,A18)</f>
        <v>72.5</v>
      </c>
      <c r="I18" s="2" t="s">
        <v>285</v>
      </c>
      <c r="J18" s="2">
        <f>_xlfn.MAXIFS(Reaches!$F$2:$F$213,Reaches!$B$2:$B$213,A18)</f>
        <v>3.598632954277392</v>
      </c>
      <c r="K18" s="2">
        <f>COUNTIF(Reaches!$B$2:$B$213,A18)</f>
        <v>5</v>
      </c>
    </row>
    <row r="19" spans="1:11" x14ac:dyDescent="0.25">
      <c r="A19" s="2" t="s">
        <v>159</v>
      </c>
      <c r="B19" s="2" t="s">
        <v>34</v>
      </c>
      <c r="C19" s="2">
        <f>SUMIF(Reaches!$B$2:$B$213,A19,Reaches!$D$2:$D$213)/1000</f>
        <v>2.4275000000000002</v>
      </c>
      <c r="D19" s="2">
        <f>_xlfn.MAXIFS(Reaches!$K$2:$K$213,Reaches!$B$2:$B$213,A19)</f>
        <v>106.3590013419566</v>
      </c>
      <c r="E19" s="2">
        <f>INDEX(Reaches!$J$2:$J$213,MATCH(A19,Reaches!$B$2:$B$213,0))</f>
        <v>22</v>
      </c>
      <c r="F19" s="2">
        <f>LOOKUP(2,1/(Reaches!$B$2:$B$213=A19),Reaches!$J$2:$J$213)</f>
        <v>22</v>
      </c>
      <c r="G19" s="2">
        <f>_xlfn.MINIFS(Reaches!$J$2:$J$213,Reaches!$B$2:$B$213,A19)</f>
        <v>22</v>
      </c>
      <c r="H19" s="2">
        <f>_xlfn.MAXIFS(Reaches!$J$2:$J$213,Reaches!$B$2:$B$213,A19)</f>
        <v>22</v>
      </c>
      <c r="I19" s="2" t="s">
        <v>285</v>
      </c>
      <c r="J19" s="2">
        <f>_xlfn.MAXIFS(Reaches!$F$2:$F$213,Reaches!$B$2:$B$213,A19)</f>
        <v>3.343554629012035</v>
      </c>
      <c r="K19" s="2">
        <f>COUNTIF(Reaches!$B$2:$B$213,A19)</f>
        <v>2</v>
      </c>
    </row>
    <row r="20" spans="1:11" x14ac:dyDescent="0.25">
      <c r="A20" s="2" t="s">
        <v>162</v>
      </c>
      <c r="B20" s="2" t="s">
        <v>34</v>
      </c>
      <c r="C20" s="2">
        <f>SUMIF(Reaches!$B$2:$B$213,A20,Reaches!$D$2:$D$213)/1000</f>
        <v>3.77325</v>
      </c>
      <c r="D20" s="2">
        <f>_xlfn.MAXIFS(Reaches!$K$2:$K$213,Reaches!$B$2:$B$213,A20)</f>
        <v>0</v>
      </c>
      <c r="E20" s="2">
        <f>INDEX(Reaches!$J$2:$J$213,MATCH(A20,Reaches!$B$2:$B$213,0))</f>
        <v>10</v>
      </c>
      <c r="F20" s="2">
        <f>LOOKUP(2,1/(Reaches!$B$2:$B$213=A20),Reaches!$J$2:$J$213)</f>
        <v>10</v>
      </c>
      <c r="G20" s="2">
        <f>_xlfn.MINIFS(Reaches!$J$2:$J$213,Reaches!$B$2:$B$213,A20)</f>
        <v>10</v>
      </c>
      <c r="H20" s="2">
        <f>_xlfn.MAXIFS(Reaches!$J$2:$J$213,Reaches!$B$2:$B$213,A20)</f>
        <v>10</v>
      </c>
      <c r="I20" s="2" t="s">
        <v>285</v>
      </c>
      <c r="J20" s="2">
        <f>_xlfn.MAXIFS(Reaches!$F$2:$F$213,Reaches!$B$2:$B$213,A20)</f>
        <v>0</v>
      </c>
      <c r="K20" s="2">
        <f>COUNTIF(Reaches!$B$2:$B$213,A20)</f>
        <v>5</v>
      </c>
    </row>
    <row r="21" spans="1:11" x14ac:dyDescent="0.25">
      <c r="A21" s="2" t="s">
        <v>168</v>
      </c>
      <c r="B21" s="2" t="s">
        <v>34</v>
      </c>
      <c r="C21" s="2">
        <f>SUMIF(Reaches!$B$2:$B$213,A21,Reaches!$D$2:$D$213)/1000</f>
        <v>1.6421600000000001</v>
      </c>
      <c r="D21" s="2">
        <f>_xlfn.MAXIFS(Reaches!$K$2:$K$213,Reaches!$B$2:$B$213,A21)</f>
        <v>313.35900591424229</v>
      </c>
      <c r="E21" s="2">
        <f>INDEX(Reaches!$J$2:$J$213,MATCH(A21,Reaches!$B$2:$B$213,0))</f>
        <v>49.5</v>
      </c>
      <c r="F21" s="2">
        <f>LOOKUP(2,1/(Reaches!$B$2:$B$213=A21),Reaches!$J$2:$J$213)</f>
        <v>49.5</v>
      </c>
      <c r="G21" s="2">
        <f>_xlfn.MINIFS(Reaches!$J$2:$J$213,Reaches!$B$2:$B$213,A21)</f>
        <v>49.5</v>
      </c>
      <c r="H21" s="2">
        <f>_xlfn.MAXIFS(Reaches!$J$2:$J$213,Reaches!$B$2:$B$213,A21)</f>
        <v>49.5</v>
      </c>
      <c r="I21" s="2" t="s">
        <v>285</v>
      </c>
      <c r="J21" s="2">
        <f>_xlfn.MAXIFS(Reaches!$F$2:$F$213,Reaches!$B$2:$B$213,A21)</f>
        <v>3.397547263512485</v>
      </c>
      <c r="K21" s="2">
        <f>COUNTIF(Reaches!$B$2:$B$213,A21)</f>
        <v>1</v>
      </c>
    </row>
    <row r="22" spans="1:11" x14ac:dyDescent="0.25">
      <c r="A22" s="2" t="s">
        <v>170</v>
      </c>
      <c r="B22" s="2" t="s">
        <v>34</v>
      </c>
      <c r="C22" s="2">
        <f>SUMIF(Reaches!$B$2:$B$213,A22,Reaches!$D$2:$D$213)/1000</f>
        <v>3.9446099999999995</v>
      </c>
      <c r="D22" s="2">
        <f>_xlfn.MAXIFS(Reaches!$K$2:$K$213,Reaches!$B$2:$B$213,A22)</f>
        <v>113.32200048601619</v>
      </c>
      <c r="E22" s="2">
        <f>INDEX(Reaches!$J$2:$J$213,MATCH(A22,Reaches!$B$2:$B$213,0))</f>
        <v>12</v>
      </c>
      <c r="F22" s="2">
        <f>LOOKUP(2,1/(Reaches!$B$2:$B$213=A22),Reaches!$J$2:$J$213)</f>
        <v>24</v>
      </c>
      <c r="G22" s="2">
        <f>_xlfn.MINIFS(Reaches!$J$2:$J$213,Reaches!$B$2:$B$213,A22)</f>
        <v>12</v>
      </c>
      <c r="H22" s="2">
        <f>_xlfn.MAXIFS(Reaches!$J$2:$J$213,Reaches!$B$2:$B$213,A22)</f>
        <v>24</v>
      </c>
      <c r="I22" s="2" t="s">
        <v>285</v>
      </c>
      <c r="J22" s="2">
        <f>_xlfn.MAXIFS(Reaches!$F$2:$F$213,Reaches!$B$2:$B$213,A22)</f>
        <v>3.2540656147132441</v>
      </c>
      <c r="K22" s="2">
        <f>COUNTIF(Reaches!$B$2:$B$213,A22)</f>
        <v>4</v>
      </c>
    </row>
    <row r="23" spans="1:11" x14ac:dyDescent="0.25">
      <c r="A23" s="2" t="s">
        <v>175</v>
      </c>
      <c r="B23" s="2" t="s">
        <v>34</v>
      </c>
      <c r="C23" s="2">
        <f>SUMIF(Reaches!$B$2:$B$213,A23,Reaches!$D$2:$D$213)/1000</f>
        <v>6.8077700000000005</v>
      </c>
      <c r="D23" s="2">
        <f>_xlfn.MAXIFS(Reaches!$K$2:$K$213,Reaches!$B$2:$B$213,A23)</f>
        <v>119.8810006388422</v>
      </c>
      <c r="E23" s="2">
        <f>INDEX(Reaches!$J$2:$J$213,MATCH(A23,Reaches!$B$2:$B$213,0))</f>
        <v>10</v>
      </c>
      <c r="F23" s="2">
        <f>LOOKUP(2,1/(Reaches!$B$2:$B$213=A23),Reaches!$J$2:$J$213)</f>
        <v>28.5</v>
      </c>
      <c r="G23" s="2">
        <f>_xlfn.MINIFS(Reaches!$J$2:$J$213,Reaches!$B$2:$B$213,A23)</f>
        <v>10</v>
      </c>
      <c r="H23" s="2">
        <f>_xlfn.MAXIFS(Reaches!$J$2:$J$213,Reaches!$B$2:$B$213,A23)</f>
        <v>28.5</v>
      </c>
      <c r="I23" s="2" t="s">
        <v>285</v>
      </c>
      <c r="J23" s="2">
        <f>_xlfn.MAXIFS(Reaches!$F$2:$F$213,Reaches!$B$2:$B$213,A23)</f>
        <v>3.624071517776323</v>
      </c>
      <c r="K23" s="2">
        <f>COUNTIF(Reaches!$B$2:$B$213,A23)</f>
        <v>8</v>
      </c>
    </row>
    <row r="24" spans="1:11" x14ac:dyDescent="0.25">
      <c r="A24" s="2" t="s">
        <v>184</v>
      </c>
      <c r="B24" s="2" t="s">
        <v>34</v>
      </c>
      <c r="C24" s="2">
        <f>SUMIF(Reaches!$B$2:$B$213,A24,Reaches!$D$2:$D$213)/1000</f>
        <v>6.4254600000000011</v>
      </c>
      <c r="D24" s="2">
        <f>_xlfn.MAXIFS(Reaches!$K$2:$K$213,Reaches!$B$2:$B$213,A24)</f>
        <v>105.0869969887441</v>
      </c>
      <c r="E24" s="2">
        <f>INDEX(Reaches!$J$2:$J$213,MATCH(A24,Reaches!$B$2:$B$213,0))</f>
        <v>14</v>
      </c>
      <c r="F24" s="2">
        <f>LOOKUP(2,1/(Reaches!$B$2:$B$213=A24),Reaches!$J$2:$J$213)</f>
        <v>37.5</v>
      </c>
      <c r="G24" s="2">
        <f>_xlfn.MINIFS(Reaches!$J$2:$J$213,Reaches!$B$2:$B$213,A24)</f>
        <v>14</v>
      </c>
      <c r="H24" s="2">
        <f>_xlfn.MAXIFS(Reaches!$J$2:$J$213,Reaches!$B$2:$B$213,A24)</f>
        <v>37.5</v>
      </c>
      <c r="I24" s="2" t="s">
        <v>285</v>
      </c>
      <c r="J24" s="2">
        <f>_xlfn.MAXIFS(Reaches!$F$2:$F$213,Reaches!$B$2:$B$213,A24)</f>
        <v>3.722181517474608</v>
      </c>
      <c r="K24" s="2">
        <f>COUNTIF(Reaches!$B$2:$B$213,A24)</f>
        <v>7</v>
      </c>
    </row>
    <row r="25" spans="1:11" x14ac:dyDescent="0.25">
      <c r="A25" s="2" t="s">
        <v>192</v>
      </c>
      <c r="B25" s="2" t="s">
        <v>34</v>
      </c>
      <c r="C25" s="2">
        <f>SUMIF(Reaches!$B$2:$B$213,A25,Reaches!$D$2:$D$213)/1000</f>
        <v>5.1085000000000003</v>
      </c>
      <c r="D25" s="2">
        <f>_xlfn.MAXIFS(Reaches!$K$2:$K$213,Reaches!$B$2:$B$213,A25)</f>
        <v>207.00900567921249</v>
      </c>
      <c r="E25" s="2">
        <f>INDEX(Reaches!$J$2:$J$213,MATCH(A25,Reaches!$B$2:$B$213,0))</f>
        <v>29</v>
      </c>
      <c r="F25" s="2">
        <f>LOOKUP(2,1/(Reaches!$B$2:$B$213=A25),Reaches!$J$2:$J$213)</f>
        <v>42</v>
      </c>
      <c r="G25" s="2">
        <f>_xlfn.MINIFS(Reaches!$J$2:$J$213,Reaches!$B$2:$B$213,A25)</f>
        <v>29</v>
      </c>
      <c r="H25" s="2">
        <f>_xlfn.MAXIFS(Reaches!$J$2:$J$213,Reaches!$B$2:$B$213,A25)</f>
        <v>42</v>
      </c>
      <c r="I25" s="2" t="s">
        <v>285</v>
      </c>
      <c r="J25" s="2">
        <f>_xlfn.MAXIFS(Reaches!$F$2:$F$213,Reaches!$B$2:$B$213,A25)</f>
        <v>3.8496231569903689</v>
      </c>
      <c r="K25" s="2">
        <f>COUNTIF(Reaches!$B$2:$B$213,A25)</f>
        <v>5</v>
      </c>
    </row>
    <row r="26" spans="1:11" x14ac:dyDescent="0.25">
      <c r="A26" s="2" t="s">
        <v>198</v>
      </c>
      <c r="B26" s="2" t="s">
        <v>34</v>
      </c>
      <c r="C26" s="2">
        <f>SUMIF(Reaches!$B$2:$B$213,A26,Reaches!$D$2:$D$213)/1000</f>
        <v>3.0194399999999999</v>
      </c>
      <c r="D26" s="2">
        <f>_xlfn.MAXIFS(Reaches!$K$2:$K$213,Reaches!$B$2:$B$213,A26)</f>
        <v>118.9620028308634</v>
      </c>
      <c r="E26" s="2">
        <f>INDEX(Reaches!$J$2:$J$213,MATCH(A26,Reaches!$B$2:$B$213,0))</f>
        <v>37</v>
      </c>
      <c r="F26" s="2">
        <f>LOOKUP(2,1/(Reaches!$B$2:$B$213=A26),Reaches!$J$2:$J$213)</f>
        <v>37</v>
      </c>
      <c r="G26" s="2">
        <f>_xlfn.MINIFS(Reaches!$J$2:$J$213,Reaches!$B$2:$B$213,A26)</f>
        <v>37</v>
      </c>
      <c r="H26" s="2">
        <f>_xlfn.MAXIFS(Reaches!$J$2:$J$213,Reaches!$B$2:$B$213,A26)</f>
        <v>37</v>
      </c>
      <c r="I26" s="2" t="s">
        <v>285</v>
      </c>
      <c r="J26" s="2">
        <f>_xlfn.MAXIFS(Reaches!$F$2:$F$213,Reaches!$B$2:$B$213,A26)</f>
        <v>3.364038262403751</v>
      </c>
      <c r="K26" s="2">
        <f>COUNTIF(Reaches!$B$2:$B$213,A26)</f>
        <v>4</v>
      </c>
    </row>
    <row r="27" spans="1:11" x14ac:dyDescent="0.25">
      <c r="A27" s="2" t="s">
        <v>203</v>
      </c>
      <c r="B27" s="2" t="s">
        <v>34</v>
      </c>
      <c r="C27" s="2">
        <f>SUMIF(Reaches!$B$2:$B$213,A27,Reaches!$D$2:$D$213)/1000</f>
        <v>1.8119700000000001</v>
      </c>
      <c r="D27" s="2">
        <f>_xlfn.MAXIFS(Reaches!$K$2:$K$213,Reaches!$B$2:$B$213,A27)</f>
        <v>0</v>
      </c>
      <c r="E27" s="2">
        <f>INDEX(Reaches!$J$2:$J$213,MATCH(A27,Reaches!$B$2:$B$213,0))</f>
        <v>10</v>
      </c>
      <c r="F27" s="2">
        <f>LOOKUP(2,1/(Reaches!$B$2:$B$213=A27),Reaches!$J$2:$J$213)</f>
        <v>10</v>
      </c>
      <c r="G27" s="2">
        <f>_xlfn.MINIFS(Reaches!$J$2:$J$213,Reaches!$B$2:$B$213,A27)</f>
        <v>10</v>
      </c>
      <c r="H27" s="2">
        <f>_xlfn.MAXIFS(Reaches!$J$2:$J$213,Reaches!$B$2:$B$213,A27)</f>
        <v>10</v>
      </c>
      <c r="I27" s="2" t="s">
        <v>285</v>
      </c>
      <c r="J27" s="2">
        <f>_xlfn.MAXIFS(Reaches!$F$2:$F$213,Reaches!$B$2:$B$213,A27)</f>
        <v>0</v>
      </c>
      <c r="K27" s="2">
        <f>COUNTIF(Reaches!$B$2:$B$213,A27)</f>
        <v>1</v>
      </c>
    </row>
    <row r="28" spans="1:11" x14ac:dyDescent="0.25">
      <c r="A28" s="2" t="s">
        <v>205</v>
      </c>
      <c r="B28" s="2" t="s">
        <v>34</v>
      </c>
      <c r="C28" s="2">
        <f>SUMIF(Reaches!$B$2:$B$213,A28,Reaches!$D$2:$D$213)/1000</f>
        <v>3.75536</v>
      </c>
      <c r="D28" s="2">
        <f>_xlfn.MAXIFS(Reaches!$K$2:$K$213,Reaches!$B$2:$B$213,A28)</f>
        <v>184.85100426279681</v>
      </c>
      <c r="E28" s="2">
        <f>INDEX(Reaches!$J$2:$J$213,MATCH(A28,Reaches!$B$2:$B$213,0))</f>
        <v>12.5</v>
      </c>
      <c r="F28" s="2">
        <f>LOOKUP(2,1/(Reaches!$B$2:$B$213=A28),Reaches!$J$2:$J$213)</f>
        <v>40.5</v>
      </c>
      <c r="G28" s="2">
        <f>_xlfn.MINIFS(Reaches!$J$2:$J$213,Reaches!$B$2:$B$213,A28)</f>
        <v>12.5</v>
      </c>
      <c r="H28" s="2">
        <f>_xlfn.MAXIFS(Reaches!$J$2:$J$213,Reaches!$B$2:$B$213,A28)</f>
        <v>40.5</v>
      </c>
      <c r="I28" s="2" t="s">
        <v>285</v>
      </c>
      <c r="J28" s="2">
        <f>_xlfn.MAXIFS(Reaches!$F$2:$F$213,Reaches!$B$2:$B$213,A28)</f>
        <v>3.1371954229353198</v>
      </c>
      <c r="K28" s="2">
        <f>COUNTIF(Reaches!$B$2:$B$213,A28)</f>
        <v>4</v>
      </c>
    </row>
    <row r="29" spans="1:11" x14ac:dyDescent="0.25">
      <c r="A29" s="2" t="s">
        <v>210</v>
      </c>
      <c r="B29" s="2" t="s">
        <v>34</v>
      </c>
      <c r="C29" s="2">
        <f>SUMIF(Reaches!$B$2:$B$213,A29,Reaches!$D$2:$D$213)/1000</f>
        <v>1.08894</v>
      </c>
      <c r="D29" s="2">
        <f>_xlfn.MAXIFS(Reaches!$K$2:$K$213,Reaches!$B$2:$B$213,A29)</f>
        <v>70.905998590206863</v>
      </c>
      <c r="E29" s="2">
        <f>INDEX(Reaches!$J$2:$J$213,MATCH(A29,Reaches!$B$2:$B$213,0))</f>
        <v>11.5</v>
      </c>
      <c r="F29" s="2">
        <f>LOOKUP(2,1/(Reaches!$B$2:$B$213=A29),Reaches!$J$2:$J$213)</f>
        <v>11.5</v>
      </c>
      <c r="G29" s="2">
        <f>_xlfn.MINIFS(Reaches!$J$2:$J$213,Reaches!$B$2:$B$213,A29)</f>
        <v>11.5</v>
      </c>
      <c r="H29" s="2">
        <f>_xlfn.MAXIFS(Reaches!$J$2:$J$213,Reaches!$B$2:$B$213,A29)</f>
        <v>11.5</v>
      </c>
      <c r="I29" s="2" t="s">
        <v>285</v>
      </c>
      <c r="J29" s="2">
        <f>_xlfn.MAXIFS(Reaches!$F$2:$F$213,Reaches!$B$2:$B$213,A29)</f>
        <v>3.3032480777122171</v>
      </c>
      <c r="K29" s="2">
        <f>COUNTIF(Reaches!$B$2:$B$213,A29)</f>
        <v>1</v>
      </c>
    </row>
    <row r="30" spans="1:11" x14ac:dyDescent="0.25">
      <c r="A30" s="2" t="s">
        <v>212</v>
      </c>
      <c r="B30" s="2" t="s">
        <v>25</v>
      </c>
      <c r="C30" s="2">
        <f>SUMIF(Reaches!$B$2:$B$213,A30,Reaches!$D$2:$D$213)/1000</f>
        <v>17.552780000000002</v>
      </c>
      <c r="D30" s="2">
        <f>_xlfn.MAXIFS(Reaches!$K$2:$K$213,Reaches!$B$2:$B$213,A30)</f>
        <v>1035.5570268438321</v>
      </c>
      <c r="E30" s="2">
        <f>INDEX(Reaches!$J$2:$J$213,MATCH(A30,Reaches!$B$2:$B$213,0))</f>
        <v>58</v>
      </c>
      <c r="F30" s="2">
        <f>LOOKUP(2,1/(Reaches!$B$2:$B$213=A30),Reaches!$J$2:$J$213)</f>
        <v>343</v>
      </c>
      <c r="G30" s="2">
        <f>_xlfn.MINIFS(Reaches!$J$2:$J$213,Reaches!$B$2:$B$213,A30)</f>
        <v>58</v>
      </c>
      <c r="H30" s="2">
        <f>_xlfn.MAXIFS(Reaches!$J$2:$J$213,Reaches!$B$2:$B$213,A30)</f>
        <v>343</v>
      </c>
      <c r="I30" s="2" t="s">
        <v>285</v>
      </c>
      <c r="J30" s="2">
        <f>_xlfn.MAXIFS(Reaches!$F$2:$F$213,Reaches!$B$2:$B$213,A30)</f>
        <v>4.2957092998059707</v>
      </c>
      <c r="K30" s="2">
        <f>COUNTIF(Reaches!$B$2:$B$213,A30)</f>
        <v>14</v>
      </c>
    </row>
    <row r="31" spans="1:11" x14ac:dyDescent="0.25">
      <c r="A31" s="2" t="s">
        <v>227</v>
      </c>
      <c r="B31" s="2" t="s">
        <v>79</v>
      </c>
      <c r="C31" s="2">
        <f>SUMIF(Reaches!$B$2:$B$213,A31,Reaches!$D$2:$D$213)/1000</f>
        <v>6.1422899999999991</v>
      </c>
      <c r="D31" s="2">
        <f>_xlfn.MAXIFS(Reaches!$K$2:$K$213,Reaches!$B$2:$B$213,A31)</f>
        <v>332.59399809893438</v>
      </c>
      <c r="E31" s="2">
        <f>INDEX(Reaches!$J$2:$J$213,MATCH(A31,Reaches!$B$2:$B$213,0))</f>
        <v>49</v>
      </c>
      <c r="F31" s="2">
        <f>LOOKUP(2,1/(Reaches!$B$2:$B$213=A31),Reaches!$J$2:$J$213)</f>
        <v>94</v>
      </c>
      <c r="G31" s="2">
        <f>_xlfn.MINIFS(Reaches!$J$2:$J$213,Reaches!$B$2:$B$213,A31)</f>
        <v>49</v>
      </c>
      <c r="H31" s="2">
        <f>_xlfn.MAXIFS(Reaches!$J$2:$J$213,Reaches!$B$2:$B$213,A31)</f>
        <v>94</v>
      </c>
      <c r="I31" s="2" t="s">
        <v>285</v>
      </c>
      <c r="J31" s="2">
        <f>_xlfn.MAXIFS(Reaches!$F$2:$F$213,Reaches!$B$2:$B$213,A31)</f>
        <v>3.142572129622704</v>
      </c>
      <c r="K31" s="2">
        <f>COUNTIF(Reaches!$B$2:$B$213,A31)</f>
        <v>6</v>
      </c>
    </row>
    <row r="32" spans="1:11" x14ac:dyDescent="0.25">
      <c r="A32" s="2" t="s">
        <v>234</v>
      </c>
      <c r="B32" s="2" t="s">
        <v>34</v>
      </c>
      <c r="C32" s="2">
        <f>SUMIF(Reaches!$B$2:$B$213,A32,Reaches!$D$2:$D$213)/1000</f>
        <v>6.8664300000000003</v>
      </c>
      <c r="D32" s="2">
        <f>_xlfn.MAXIFS(Reaches!$K$2:$K$213,Reaches!$B$2:$B$213,A32)</f>
        <v>335.84498775678668</v>
      </c>
      <c r="E32" s="2">
        <f>INDEX(Reaches!$J$2:$J$213,MATCH(A32,Reaches!$B$2:$B$213,0))</f>
        <v>41</v>
      </c>
      <c r="F32" s="2">
        <f>LOOKUP(2,1/(Reaches!$B$2:$B$213=A32),Reaches!$J$2:$J$213)</f>
        <v>49</v>
      </c>
      <c r="G32" s="2">
        <f>_xlfn.MINIFS(Reaches!$J$2:$J$213,Reaches!$B$2:$B$213,A32)</f>
        <v>41</v>
      </c>
      <c r="H32" s="2">
        <f>_xlfn.MAXIFS(Reaches!$J$2:$J$213,Reaches!$B$2:$B$213,A32)</f>
        <v>49</v>
      </c>
      <c r="I32" s="2" t="s">
        <v>285</v>
      </c>
      <c r="J32" s="2">
        <f>_xlfn.MAXIFS(Reaches!$F$2:$F$213,Reaches!$B$2:$B$213,A32)</f>
        <v>4.3788248659332956</v>
      </c>
      <c r="K32" s="2">
        <f>COUNTIF(Reaches!$B$2:$B$213,A32)</f>
        <v>4</v>
      </c>
    </row>
    <row r="33" spans="1:11" x14ac:dyDescent="0.25">
      <c r="A33" s="2" t="s">
        <v>239</v>
      </c>
      <c r="B33" s="2" t="s">
        <v>34</v>
      </c>
      <c r="C33" s="2">
        <f>SUMIF(Reaches!$B$2:$B$213,A33,Reaches!$D$2:$D$213)/1000</f>
        <v>3.1044399999999999</v>
      </c>
      <c r="D33" s="2">
        <f>_xlfn.MAXIFS(Reaches!$K$2:$K$213,Reaches!$B$2:$B$213,A33)</f>
        <v>65.168000323173089</v>
      </c>
      <c r="E33" s="2">
        <f>INDEX(Reaches!$J$2:$J$213,MATCH(A33,Reaches!$B$2:$B$213,0))</f>
        <v>15</v>
      </c>
      <c r="F33" s="2">
        <f>LOOKUP(2,1/(Reaches!$B$2:$B$213=A33),Reaches!$J$2:$J$213)</f>
        <v>15</v>
      </c>
      <c r="G33" s="2">
        <f>_xlfn.MINIFS(Reaches!$J$2:$J$213,Reaches!$B$2:$B$213,A33)</f>
        <v>15</v>
      </c>
      <c r="H33" s="2">
        <f>_xlfn.MAXIFS(Reaches!$J$2:$J$213,Reaches!$B$2:$B$213,A33)</f>
        <v>15</v>
      </c>
      <c r="I33" s="2" t="s">
        <v>285</v>
      </c>
      <c r="J33" s="2">
        <f>_xlfn.MAXIFS(Reaches!$F$2:$F$213,Reaches!$B$2:$B$213,A33)</f>
        <v>3.333280546843814</v>
      </c>
      <c r="K33" s="2">
        <f>COUNTIF(Reaches!$B$2:$B$213,A33)</f>
        <v>2</v>
      </c>
    </row>
    <row r="34" spans="1:11" x14ac:dyDescent="0.25">
      <c r="A34" s="2" t="s">
        <v>242</v>
      </c>
      <c r="B34" s="2" t="s">
        <v>25</v>
      </c>
      <c r="C34" s="2">
        <f>SUMIF(Reaches!$B$2:$B$213,A34,Reaches!$D$2:$D$213)/1000</f>
        <v>12.466629999999999</v>
      </c>
      <c r="D34" s="2">
        <f>_xlfn.MAXIFS(Reaches!$K$2:$K$213,Reaches!$B$2:$B$213,A34)</f>
        <v>707.55602675653154</v>
      </c>
      <c r="E34" s="2">
        <f>INDEX(Reaches!$J$2:$J$213,MATCH(A34,Reaches!$B$2:$B$213,0))</f>
        <v>58.5</v>
      </c>
      <c r="F34" s="2">
        <f>LOOKUP(2,1/(Reaches!$B$2:$B$213=A34),Reaches!$J$2:$J$213)</f>
        <v>238</v>
      </c>
      <c r="G34" s="2">
        <f>_xlfn.MINIFS(Reaches!$J$2:$J$213,Reaches!$B$2:$B$213,A34)</f>
        <v>58.5</v>
      </c>
      <c r="H34" s="2">
        <f>_xlfn.MAXIFS(Reaches!$J$2:$J$213,Reaches!$B$2:$B$213,A34)</f>
        <v>238</v>
      </c>
      <c r="I34" s="2" t="s">
        <v>285</v>
      </c>
      <c r="J34" s="2">
        <f>_xlfn.MAXIFS(Reaches!$F$2:$F$213,Reaches!$B$2:$B$213,A34)</f>
        <v>4.6479613447112218</v>
      </c>
      <c r="K34" s="2">
        <f>COUNTIF(Reaches!$B$2:$B$213,A34)</f>
        <v>12</v>
      </c>
    </row>
    <row r="35" spans="1:11" x14ac:dyDescent="0.25">
      <c r="A35" s="2" t="s">
        <v>255</v>
      </c>
      <c r="B35" s="2" t="s">
        <v>25</v>
      </c>
      <c r="C35" s="2">
        <f>SUMIF(Reaches!$B$2:$B$213,A35,Reaches!$D$2:$D$213)/1000</f>
        <v>9.7805900000000001</v>
      </c>
      <c r="D35" s="2">
        <f>_xlfn.MAXIFS(Reaches!$K$2:$K$213,Reaches!$B$2:$B$213,A35)</f>
        <v>1460.9800352216259</v>
      </c>
      <c r="E35" s="2">
        <f>INDEX(Reaches!$J$2:$J$213,MATCH(A35,Reaches!$B$2:$B$213,0))</f>
        <v>74.5</v>
      </c>
      <c r="F35" s="2">
        <f>LOOKUP(2,1/(Reaches!$B$2:$B$213=A35),Reaches!$J$2:$J$213)</f>
        <v>488</v>
      </c>
      <c r="G35" s="2">
        <f>_xlfn.MINIFS(Reaches!$J$2:$J$213,Reaches!$B$2:$B$213,A35)</f>
        <v>74.5</v>
      </c>
      <c r="H35" s="2">
        <f>_xlfn.MAXIFS(Reaches!$J$2:$J$213,Reaches!$B$2:$B$213,A35)</f>
        <v>488</v>
      </c>
      <c r="I35" s="2" t="s">
        <v>285</v>
      </c>
      <c r="J35" s="2">
        <f>_xlfn.MAXIFS(Reaches!$F$2:$F$213,Reaches!$B$2:$B$213,A35)</f>
        <v>4.029764486672609</v>
      </c>
      <c r="K35" s="2">
        <f>COUNTIF(Reaches!$B$2:$B$213,A35)</f>
        <v>7</v>
      </c>
    </row>
    <row r="36" spans="1:11" x14ac:dyDescent="0.25">
      <c r="A36" s="2" t="s">
        <v>263</v>
      </c>
      <c r="B36" s="2" t="s">
        <v>79</v>
      </c>
      <c r="C36" s="2">
        <f>SUMIF(Reaches!$B$2:$B$213,A36,Reaches!$D$2:$D$213)/1000</f>
        <v>6.4729399999999995</v>
      </c>
      <c r="D36" s="2">
        <f>_xlfn.MAXIFS(Reaches!$K$2:$K$213,Reaches!$B$2:$B$213,A36)</f>
        <v>263.75201139869159</v>
      </c>
      <c r="E36" s="2">
        <f>INDEX(Reaches!$J$2:$J$213,MATCH(A36,Reaches!$B$2:$B$213,0))</f>
        <v>45</v>
      </c>
      <c r="F36" s="2">
        <f>LOOKUP(2,1/(Reaches!$B$2:$B$213=A36),Reaches!$J$2:$J$213)</f>
        <v>90.5</v>
      </c>
      <c r="G36" s="2">
        <f>_xlfn.MINIFS(Reaches!$J$2:$J$213,Reaches!$B$2:$B$213,A36)</f>
        <v>45</v>
      </c>
      <c r="H36" s="2">
        <f>_xlfn.MAXIFS(Reaches!$J$2:$J$213,Reaches!$B$2:$B$213,A36)</f>
        <v>90.5</v>
      </c>
      <c r="I36" s="2" t="s">
        <v>285</v>
      </c>
      <c r="J36" s="2">
        <f>_xlfn.MAXIFS(Reaches!$F$2:$F$213,Reaches!$B$2:$B$213,A36)</f>
        <v>2.833159620937737</v>
      </c>
      <c r="K36" s="2">
        <f>COUNTIF(Reaches!$B$2:$B$213,A36)</f>
        <v>6</v>
      </c>
    </row>
    <row r="37" spans="1:11" x14ac:dyDescent="0.25">
      <c r="A37" s="2" t="s">
        <v>270</v>
      </c>
      <c r="B37" s="2" t="s">
        <v>34</v>
      </c>
      <c r="C37" s="2">
        <f>SUMIF(Reaches!$B$2:$B$213,A37,Reaches!$D$2:$D$213)/1000</f>
        <v>1.9212</v>
      </c>
      <c r="D37" s="2">
        <f>_xlfn.MAXIFS(Reaches!$K$2:$K$213,Reaches!$B$2:$B$213,A37)</f>
        <v>0</v>
      </c>
      <c r="E37" s="2">
        <f>INDEX(Reaches!$J$2:$J$213,MATCH(A37,Reaches!$B$2:$B$213,0))</f>
        <v>10</v>
      </c>
      <c r="F37" s="2">
        <f>LOOKUP(2,1/(Reaches!$B$2:$B$213=A37),Reaches!$J$2:$J$213)</f>
        <v>10</v>
      </c>
      <c r="G37" s="2">
        <f>_xlfn.MINIFS(Reaches!$J$2:$J$213,Reaches!$B$2:$B$213,A37)</f>
        <v>10</v>
      </c>
      <c r="H37" s="2">
        <f>_xlfn.MAXIFS(Reaches!$J$2:$J$213,Reaches!$B$2:$B$213,A37)</f>
        <v>10</v>
      </c>
      <c r="I37" s="2" t="s">
        <v>285</v>
      </c>
      <c r="J37" s="2">
        <f>_xlfn.MAXIFS(Reaches!$F$2:$F$213,Reaches!$B$2:$B$213,A37)</f>
        <v>0</v>
      </c>
      <c r="K37" s="2">
        <f>COUNTIF(Reaches!$B$2:$B$213,A37)</f>
        <v>2</v>
      </c>
    </row>
    <row r="38" spans="1:11" x14ac:dyDescent="0.25">
      <c r="A38" s="2" t="s">
        <v>273</v>
      </c>
      <c r="B38" s="2" t="s">
        <v>34</v>
      </c>
      <c r="C38" s="2">
        <f>SUMIF(Reaches!$B$2:$B$213,A38,Reaches!$D$2:$D$213)/1000</f>
        <v>2.7736199999999998</v>
      </c>
      <c r="D38" s="2">
        <f>_xlfn.MAXIFS(Reaches!$K$2:$K$213,Reaches!$B$2:$B$213,A38)</f>
        <v>149.21800011238949</v>
      </c>
      <c r="E38" s="2">
        <f>INDEX(Reaches!$J$2:$J$213,MATCH(A38,Reaches!$B$2:$B$213,0))</f>
        <v>14</v>
      </c>
      <c r="F38" s="2">
        <f>LOOKUP(2,1/(Reaches!$B$2:$B$213=A38),Reaches!$J$2:$J$213)</f>
        <v>52.5</v>
      </c>
      <c r="G38" s="2">
        <f>_xlfn.MINIFS(Reaches!$J$2:$J$213,Reaches!$B$2:$B$213,A38)</f>
        <v>14</v>
      </c>
      <c r="H38" s="2">
        <f>_xlfn.MAXIFS(Reaches!$J$2:$J$213,Reaches!$B$2:$B$213,A38)</f>
        <v>52.5</v>
      </c>
      <c r="I38" s="2" t="s">
        <v>285</v>
      </c>
      <c r="J38" s="2">
        <f>_xlfn.MAXIFS(Reaches!$F$2:$F$213,Reaches!$B$2:$B$213,A38)</f>
        <v>2.7268469242609541</v>
      </c>
      <c r="K38" s="2">
        <f>COUNTIF(Reaches!$B$2:$B$213,A38)</f>
        <v>2</v>
      </c>
    </row>
    <row r="39" spans="1:11" x14ac:dyDescent="0.25">
      <c r="A39" s="1" t="s">
        <v>286</v>
      </c>
      <c r="B39" s="1"/>
      <c r="C39" s="1">
        <f>SUM(C2:C38)</f>
        <v>221.34584000000007</v>
      </c>
      <c r="D39" s="1"/>
      <c r="E39" s="1"/>
      <c r="F39" s="1"/>
      <c r="G39" s="1"/>
      <c r="H39" s="1"/>
      <c r="I39" s="1"/>
      <c r="J39" s="1"/>
      <c r="K39" s="1">
        <f>SUM(K2:K38)</f>
        <v>212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9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12" customWidth="1"/>
    <col min="3" max="3" width="16" customWidth="1"/>
    <col min="4" max="4" width="9" customWidth="1"/>
    <col min="5" max="5" width="12" customWidth="1"/>
  </cols>
  <sheetData>
    <row r="1" spans="1:5" ht="42" customHeight="1" x14ac:dyDescent="0.25">
      <c r="A1" s="3" t="s">
        <v>18</v>
      </c>
      <c r="B1" s="3" t="s">
        <v>19</v>
      </c>
      <c r="C1" s="3" t="s">
        <v>22</v>
      </c>
      <c r="D1" s="3" t="s">
        <v>283</v>
      </c>
      <c r="E1" s="3" t="s">
        <v>13</v>
      </c>
    </row>
    <row r="2" spans="1:5" x14ac:dyDescent="0.25">
      <c r="A2" s="2">
        <v>2.5</v>
      </c>
      <c r="B2" s="2">
        <v>10</v>
      </c>
      <c r="C2" s="2" t="str">
        <f t="shared" ref="C2:C33" si="0">TEXT(A2,"0.0")&amp;" x "&amp;IF(B2=INT(B2),TEXT(B2,"0"),TEXT(B2,"0.0"))</f>
        <v>2.5 x 10</v>
      </c>
      <c r="D2" s="2">
        <f>COUNTIFS(Reaches!$I$2:$I$213,A2,Reaches!$J$2:$J$213,B2)</f>
        <v>22</v>
      </c>
      <c r="E2" s="2">
        <f>SUMIFS(Reaches!$D$2:$D$213,Reaches!$I$2:$I$213,A2,Reaches!$J$2:$J$213,B2)</f>
        <v>23146.140000000003</v>
      </c>
    </row>
    <row r="3" spans="1:5" x14ac:dyDescent="0.25">
      <c r="A3" s="2">
        <v>2.5</v>
      </c>
      <c r="B3" s="2">
        <v>11.5</v>
      </c>
      <c r="C3" s="2" t="str">
        <f t="shared" si="0"/>
        <v>2.5 x 11.5</v>
      </c>
      <c r="D3" s="2">
        <f>COUNTIFS(Reaches!$I$2:$I$213,A3,Reaches!$J$2:$J$213,B3)</f>
        <v>1</v>
      </c>
      <c r="E3" s="2">
        <f>SUMIFS(Reaches!$D$2:$D$213,Reaches!$I$2:$I$213,A3,Reaches!$J$2:$J$213,B3)</f>
        <v>1088.94</v>
      </c>
    </row>
    <row r="4" spans="1:5" x14ac:dyDescent="0.25">
      <c r="A4" s="2">
        <v>2.5</v>
      </c>
      <c r="B4" s="2">
        <v>12</v>
      </c>
      <c r="C4" s="2" t="str">
        <f t="shared" si="0"/>
        <v>2.5 x 12</v>
      </c>
      <c r="D4" s="2">
        <f>COUNTIFS(Reaches!$I$2:$I$213,A4,Reaches!$J$2:$J$213,B4)</f>
        <v>1</v>
      </c>
      <c r="E4" s="2">
        <f>SUMIFS(Reaches!$D$2:$D$213,Reaches!$I$2:$I$213,A4,Reaches!$J$2:$J$213,B4)</f>
        <v>1856.31</v>
      </c>
    </row>
    <row r="5" spans="1:5" x14ac:dyDescent="0.25">
      <c r="A5" s="2">
        <v>2.5</v>
      </c>
      <c r="B5" s="2">
        <v>12.5</v>
      </c>
      <c r="C5" s="2" t="str">
        <f t="shared" si="0"/>
        <v>2.5 x 12.5</v>
      </c>
      <c r="D5" s="2">
        <f>COUNTIFS(Reaches!$I$2:$I$213,A5,Reaches!$J$2:$J$213,B5)</f>
        <v>3</v>
      </c>
      <c r="E5" s="2">
        <f>SUMIFS(Reaches!$D$2:$D$213,Reaches!$I$2:$I$213,A5,Reaches!$J$2:$J$213,B5)</f>
        <v>2596.16</v>
      </c>
    </row>
    <row r="6" spans="1:5" x14ac:dyDescent="0.25">
      <c r="A6" s="2">
        <v>2.5</v>
      </c>
      <c r="B6" s="2">
        <v>13</v>
      </c>
      <c r="C6" s="2" t="str">
        <f t="shared" si="0"/>
        <v>2.5 x 13</v>
      </c>
      <c r="D6" s="2">
        <f>COUNTIFS(Reaches!$I$2:$I$213,A6,Reaches!$J$2:$J$213,B6)</f>
        <v>2</v>
      </c>
      <c r="E6" s="2">
        <f>SUMIFS(Reaches!$D$2:$D$213,Reaches!$I$2:$I$213,A6,Reaches!$J$2:$J$213,B6)</f>
        <v>2651.8</v>
      </c>
    </row>
    <row r="7" spans="1:5" x14ac:dyDescent="0.25">
      <c r="A7" s="2">
        <v>2.5</v>
      </c>
      <c r="B7" s="2">
        <v>13.5</v>
      </c>
      <c r="C7" s="2" t="str">
        <f t="shared" si="0"/>
        <v>2.5 x 13.5</v>
      </c>
      <c r="D7" s="2">
        <f>COUNTIFS(Reaches!$I$2:$I$213,A7,Reaches!$J$2:$J$213,B7)</f>
        <v>1</v>
      </c>
      <c r="E7" s="2">
        <f>SUMIFS(Reaches!$D$2:$D$213,Reaches!$I$2:$I$213,A7,Reaches!$J$2:$J$213,B7)</f>
        <v>1242.72</v>
      </c>
    </row>
    <row r="8" spans="1:5" x14ac:dyDescent="0.25">
      <c r="A8" s="2">
        <v>2.5</v>
      </c>
      <c r="B8" s="2">
        <v>14</v>
      </c>
      <c r="C8" s="2" t="str">
        <f t="shared" si="0"/>
        <v>2.5 x 14</v>
      </c>
      <c r="D8" s="2">
        <f>COUNTIFS(Reaches!$I$2:$I$213,A8,Reaches!$J$2:$J$213,B8)</f>
        <v>3</v>
      </c>
      <c r="E8" s="2">
        <f>SUMIFS(Reaches!$D$2:$D$213,Reaches!$I$2:$I$213,A8,Reaches!$J$2:$J$213,B8)</f>
        <v>3682.73</v>
      </c>
    </row>
    <row r="9" spans="1:5" x14ac:dyDescent="0.25">
      <c r="A9" s="2">
        <v>2.5</v>
      </c>
      <c r="B9" s="2">
        <v>14.5</v>
      </c>
      <c r="C9" s="2" t="str">
        <f t="shared" si="0"/>
        <v>2.5 x 14.5</v>
      </c>
      <c r="D9" s="2">
        <f>COUNTIFS(Reaches!$I$2:$I$213,A9,Reaches!$J$2:$J$213,B9)</f>
        <v>1</v>
      </c>
      <c r="E9" s="2">
        <f>SUMIFS(Reaches!$D$2:$D$213,Reaches!$I$2:$I$213,A9,Reaches!$J$2:$J$213,B9)</f>
        <v>1717</v>
      </c>
    </row>
    <row r="10" spans="1:5" x14ac:dyDescent="0.25">
      <c r="A10" s="2">
        <v>2.5</v>
      </c>
      <c r="B10" s="2">
        <v>15</v>
      </c>
      <c r="C10" s="2" t="str">
        <f t="shared" si="0"/>
        <v>2.5 x 15</v>
      </c>
      <c r="D10" s="2">
        <f>COUNTIFS(Reaches!$I$2:$I$213,A10,Reaches!$J$2:$J$213,B10)</f>
        <v>3</v>
      </c>
      <c r="E10" s="2">
        <f>SUMIFS(Reaches!$D$2:$D$213,Reaches!$I$2:$I$213,A10,Reaches!$J$2:$J$213,B10)</f>
        <v>3802.54</v>
      </c>
    </row>
    <row r="11" spans="1:5" x14ac:dyDescent="0.25">
      <c r="A11" s="2">
        <v>2.5</v>
      </c>
      <c r="B11" s="2">
        <v>15.5</v>
      </c>
      <c r="C11" s="2" t="str">
        <f t="shared" si="0"/>
        <v>2.5 x 15.5</v>
      </c>
      <c r="D11" s="2">
        <f>COUNTIFS(Reaches!$I$2:$I$213,A11,Reaches!$J$2:$J$213,B11)</f>
        <v>1</v>
      </c>
      <c r="E11" s="2">
        <f>SUMIFS(Reaches!$D$2:$D$213,Reaches!$I$2:$I$213,A11,Reaches!$J$2:$J$213,B11)</f>
        <v>666.8</v>
      </c>
    </row>
    <row r="12" spans="1:5" x14ac:dyDescent="0.25">
      <c r="A12" s="2">
        <v>2.5</v>
      </c>
      <c r="B12" s="2">
        <v>16.5</v>
      </c>
      <c r="C12" s="2" t="str">
        <f t="shared" si="0"/>
        <v>2.5 x 16.5</v>
      </c>
      <c r="D12" s="2">
        <f>COUNTIFS(Reaches!$I$2:$I$213,A12,Reaches!$J$2:$J$213,B12)</f>
        <v>1</v>
      </c>
      <c r="E12" s="2">
        <f>SUMIFS(Reaches!$D$2:$D$213,Reaches!$I$2:$I$213,A12,Reaches!$J$2:$J$213,B12)</f>
        <v>558.59</v>
      </c>
    </row>
    <row r="13" spans="1:5" x14ac:dyDescent="0.25">
      <c r="A13" s="2">
        <v>2.5</v>
      </c>
      <c r="B13" s="2">
        <v>17</v>
      </c>
      <c r="C13" s="2" t="str">
        <f t="shared" si="0"/>
        <v>2.5 x 17</v>
      </c>
      <c r="D13" s="2">
        <f>COUNTIFS(Reaches!$I$2:$I$213,A13,Reaches!$J$2:$J$213,B13)</f>
        <v>2</v>
      </c>
      <c r="E13" s="2">
        <f>SUMIFS(Reaches!$D$2:$D$213,Reaches!$I$2:$I$213,A13,Reaches!$J$2:$J$213,B13)</f>
        <v>2487.8000000000002</v>
      </c>
    </row>
    <row r="14" spans="1:5" x14ac:dyDescent="0.25">
      <c r="A14" s="2">
        <v>2.5</v>
      </c>
      <c r="B14" s="2">
        <v>19</v>
      </c>
      <c r="C14" s="2" t="str">
        <f t="shared" si="0"/>
        <v>2.5 x 19</v>
      </c>
      <c r="D14" s="2">
        <f>COUNTIFS(Reaches!$I$2:$I$213,A14,Reaches!$J$2:$J$213,B14)</f>
        <v>1</v>
      </c>
      <c r="E14" s="2">
        <f>SUMIFS(Reaches!$D$2:$D$213,Reaches!$I$2:$I$213,A14,Reaches!$J$2:$J$213,B14)</f>
        <v>868.48</v>
      </c>
    </row>
    <row r="15" spans="1:5" x14ac:dyDescent="0.25">
      <c r="A15" s="2">
        <v>2.5</v>
      </c>
      <c r="B15" s="2">
        <v>19.5</v>
      </c>
      <c r="C15" s="2" t="str">
        <f t="shared" si="0"/>
        <v>2.5 x 19.5</v>
      </c>
      <c r="D15" s="2">
        <f>COUNTIFS(Reaches!$I$2:$I$213,A15,Reaches!$J$2:$J$213,B15)</f>
        <v>2</v>
      </c>
      <c r="E15" s="2">
        <f>SUMIFS(Reaches!$D$2:$D$213,Reaches!$I$2:$I$213,A15,Reaches!$J$2:$J$213,B15)</f>
        <v>2225.88</v>
      </c>
    </row>
    <row r="16" spans="1:5" x14ac:dyDescent="0.25">
      <c r="A16" s="2">
        <v>2.5</v>
      </c>
      <c r="B16" s="2">
        <v>20</v>
      </c>
      <c r="C16" s="2" t="str">
        <f t="shared" si="0"/>
        <v>2.5 x 20</v>
      </c>
      <c r="D16" s="2">
        <f>COUNTIFS(Reaches!$I$2:$I$213,A16,Reaches!$J$2:$J$213,B16)</f>
        <v>5</v>
      </c>
      <c r="E16" s="2">
        <f>SUMIFS(Reaches!$D$2:$D$213,Reaches!$I$2:$I$213,A16,Reaches!$J$2:$J$213,B16)</f>
        <v>4519.0600000000004</v>
      </c>
    </row>
    <row r="17" spans="1:5" x14ac:dyDescent="0.25">
      <c r="A17" s="2">
        <v>2.5</v>
      </c>
      <c r="B17" s="2">
        <v>20.5</v>
      </c>
      <c r="C17" s="2" t="str">
        <f t="shared" si="0"/>
        <v>2.5 x 20.5</v>
      </c>
      <c r="D17" s="2">
        <f>COUNTIFS(Reaches!$I$2:$I$213,A17,Reaches!$J$2:$J$213,B17)</f>
        <v>6</v>
      </c>
      <c r="E17" s="2">
        <f>SUMIFS(Reaches!$D$2:$D$213,Reaches!$I$2:$I$213,A17,Reaches!$J$2:$J$213,B17)</f>
        <v>10194.460000000001</v>
      </c>
    </row>
    <row r="18" spans="1:5" x14ac:dyDescent="0.25">
      <c r="A18" s="2">
        <v>2.5</v>
      </c>
      <c r="B18" s="2">
        <v>22</v>
      </c>
      <c r="C18" s="2" t="str">
        <f t="shared" si="0"/>
        <v>2.5 x 22</v>
      </c>
      <c r="D18" s="2">
        <f>COUNTIFS(Reaches!$I$2:$I$213,A18,Reaches!$J$2:$J$213,B18)</f>
        <v>3</v>
      </c>
      <c r="E18" s="2">
        <f>SUMIFS(Reaches!$D$2:$D$213,Reaches!$I$2:$I$213,A18,Reaches!$J$2:$J$213,B18)</f>
        <v>2826.9</v>
      </c>
    </row>
    <row r="19" spans="1:5" x14ac:dyDescent="0.25">
      <c r="A19" s="2">
        <v>2.5</v>
      </c>
      <c r="B19" s="2">
        <v>24</v>
      </c>
      <c r="C19" s="2" t="str">
        <f t="shared" si="0"/>
        <v>2.5 x 24</v>
      </c>
      <c r="D19" s="2">
        <f>COUNTIFS(Reaches!$I$2:$I$213,A19,Reaches!$J$2:$J$213,B19)</f>
        <v>3</v>
      </c>
      <c r="E19" s="2">
        <f>SUMIFS(Reaches!$D$2:$D$213,Reaches!$I$2:$I$213,A19,Reaches!$J$2:$J$213,B19)</f>
        <v>2088.2999999999997</v>
      </c>
    </row>
    <row r="20" spans="1:5" x14ac:dyDescent="0.25">
      <c r="A20" s="2">
        <v>2.5</v>
      </c>
      <c r="B20" s="2">
        <v>25</v>
      </c>
      <c r="C20" s="2" t="str">
        <f t="shared" si="0"/>
        <v>2.5 x 25</v>
      </c>
      <c r="D20" s="2">
        <f>COUNTIFS(Reaches!$I$2:$I$213,A20,Reaches!$J$2:$J$213,B20)</f>
        <v>1</v>
      </c>
      <c r="E20" s="2">
        <f>SUMIFS(Reaches!$D$2:$D$213,Reaches!$I$2:$I$213,A20,Reaches!$J$2:$J$213,B20)</f>
        <v>1941</v>
      </c>
    </row>
    <row r="21" spans="1:5" x14ac:dyDescent="0.25">
      <c r="A21" s="2">
        <v>2.5</v>
      </c>
      <c r="B21" s="2">
        <v>25.5</v>
      </c>
      <c r="C21" s="2" t="str">
        <f t="shared" si="0"/>
        <v>2.5 x 25.5</v>
      </c>
      <c r="D21" s="2">
        <f>COUNTIFS(Reaches!$I$2:$I$213,A21,Reaches!$J$2:$J$213,B21)</f>
        <v>3</v>
      </c>
      <c r="E21" s="2">
        <f>SUMIFS(Reaches!$D$2:$D$213,Reaches!$I$2:$I$213,A21,Reaches!$J$2:$J$213,B21)</f>
        <v>3436</v>
      </c>
    </row>
    <row r="22" spans="1:5" x14ac:dyDescent="0.25">
      <c r="A22" s="2">
        <v>2.5</v>
      </c>
      <c r="B22" s="2">
        <v>28.5</v>
      </c>
      <c r="C22" s="2" t="str">
        <f t="shared" si="0"/>
        <v>2.5 x 28.5</v>
      </c>
      <c r="D22" s="2">
        <f>COUNTIFS(Reaches!$I$2:$I$213,A22,Reaches!$J$2:$J$213,B22)</f>
        <v>1</v>
      </c>
      <c r="E22" s="2">
        <f>SUMIFS(Reaches!$D$2:$D$213,Reaches!$I$2:$I$213,A22,Reaches!$J$2:$J$213,B22)</f>
        <v>1411.69</v>
      </c>
    </row>
    <row r="23" spans="1:5" x14ac:dyDescent="0.25">
      <c r="A23" s="2">
        <v>2.5</v>
      </c>
      <c r="B23" s="2">
        <v>29</v>
      </c>
      <c r="C23" s="2" t="str">
        <f t="shared" si="0"/>
        <v>2.5 x 29</v>
      </c>
      <c r="D23" s="2">
        <f>COUNTIFS(Reaches!$I$2:$I$213,A23,Reaches!$J$2:$J$213,B23)</f>
        <v>6</v>
      </c>
      <c r="E23" s="2">
        <f>SUMIFS(Reaches!$D$2:$D$213,Reaches!$I$2:$I$213,A23,Reaches!$J$2:$J$213,B23)</f>
        <v>9404.4499999999989</v>
      </c>
    </row>
    <row r="24" spans="1:5" x14ac:dyDescent="0.25">
      <c r="A24" s="2">
        <v>2.5</v>
      </c>
      <c r="B24" s="2">
        <v>29.5</v>
      </c>
      <c r="C24" s="2" t="str">
        <f t="shared" si="0"/>
        <v>2.5 x 29.5</v>
      </c>
      <c r="D24" s="2">
        <f>COUNTIFS(Reaches!$I$2:$I$213,A24,Reaches!$J$2:$J$213,B24)</f>
        <v>2</v>
      </c>
      <c r="E24" s="2">
        <f>SUMIFS(Reaches!$D$2:$D$213,Reaches!$I$2:$I$213,A24,Reaches!$J$2:$J$213,B24)</f>
        <v>1996.29</v>
      </c>
    </row>
    <row r="25" spans="1:5" x14ac:dyDescent="0.25">
      <c r="A25" s="2">
        <v>2.5</v>
      </c>
      <c r="B25" s="2">
        <v>30.5</v>
      </c>
      <c r="C25" s="2" t="str">
        <f t="shared" si="0"/>
        <v>2.5 x 30.5</v>
      </c>
      <c r="D25" s="2">
        <f>COUNTIFS(Reaches!$I$2:$I$213,A25,Reaches!$J$2:$J$213,B25)</f>
        <v>4</v>
      </c>
      <c r="E25" s="2">
        <f>SUMIFS(Reaches!$D$2:$D$213,Reaches!$I$2:$I$213,A25,Reaches!$J$2:$J$213,B25)</f>
        <v>4187.79</v>
      </c>
    </row>
    <row r="26" spans="1:5" x14ac:dyDescent="0.25">
      <c r="A26" s="2">
        <v>2.5</v>
      </c>
      <c r="B26" s="2">
        <v>37</v>
      </c>
      <c r="C26" s="2" t="str">
        <f t="shared" si="0"/>
        <v>2.5 x 37</v>
      </c>
      <c r="D26" s="2">
        <f>COUNTIFS(Reaches!$I$2:$I$213,A26,Reaches!$J$2:$J$213,B26)</f>
        <v>4</v>
      </c>
      <c r="E26" s="2">
        <f>SUMIFS(Reaches!$D$2:$D$213,Reaches!$I$2:$I$213,A26,Reaches!$J$2:$J$213,B26)</f>
        <v>3019.44</v>
      </c>
    </row>
    <row r="27" spans="1:5" x14ac:dyDescent="0.25">
      <c r="A27" s="2">
        <v>2.5</v>
      </c>
      <c r="B27" s="2">
        <v>37.5</v>
      </c>
      <c r="C27" s="2" t="str">
        <f t="shared" si="0"/>
        <v>2.5 x 37.5</v>
      </c>
      <c r="D27" s="2">
        <f>COUNTIFS(Reaches!$I$2:$I$213,A27,Reaches!$J$2:$J$213,B27)</f>
        <v>1</v>
      </c>
      <c r="E27" s="2">
        <f>SUMIFS(Reaches!$D$2:$D$213,Reaches!$I$2:$I$213,A27,Reaches!$J$2:$J$213,B27)</f>
        <v>317.18</v>
      </c>
    </row>
    <row r="28" spans="1:5" x14ac:dyDescent="0.25">
      <c r="A28" s="2">
        <v>2.5</v>
      </c>
      <c r="B28" s="2">
        <v>38.5</v>
      </c>
      <c r="C28" s="2" t="str">
        <f t="shared" si="0"/>
        <v>2.5 x 38.5</v>
      </c>
      <c r="D28" s="2">
        <f>COUNTIFS(Reaches!$I$2:$I$213,A28,Reaches!$J$2:$J$213,B28)</f>
        <v>3</v>
      </c>
      <c r="E28" s="2">
        <f>SUMIFS(Reaches!$D$2:$D$213,Reaches!$I$2:$I$213,A28,Reaches!$J$2:$J$213,B28)</f>
        <v>2642</v>
      </c>
    </row>
    <row r="29" spans="1:5" x14ac:dyDescent="0.25">
      <c r="A29" s="2">
        <v>2.5</v>
      </c>
      <c r="B29" s="2">
        <v>40</v>
      </c>
      <c r="C29" s="2" t="str">
        <f t="shared" si="0"/>
        <v>2.5 x 40</v>
      </c>
      <c r="D29" s="2">
        <f>COUNTIFS(Reaches!$I$2:$I$213,A29,Reaches!$J$2:$J$213,B29)</f>
        <v>1</v>
      </c>
      <c r="E29" s="2">
        <f>SUMIFS(Reaches!$D$2:$D$213,Reaches!$I$2:$I$213,A29,Reaches!$J$2:$J$213,B29)</f>
        <v>1667.26</v>
      </c>
    </row>
    <row r="30" spans="1:5" x14ac:dyDescent="0.25">
      <c r="A30" s="2">
        <v>2.5</v>
      </c>
      <c r="B30" s="2">
        <v>40.5</v>
      </c>
      <c r="C30" s="2" t="str">
        <f t="shared" si="0"/>
        <v>2.5 x 40.5</v>
      </c>
      <c r="D30" s="2">
        <f>COUNTIFS(Reaches!$I$2:$I$213,A30,Reaches!$J$2:$J$213,B30)</f>
        <v>2</v>
      </c>
      <c r="E30" s="2">
        <f>SUMIFS(Reaches!$D$2:$D$213,Reaches!$I$2:$I$213,A30,Reaches!$J$2:$J$213,B30)</f>
        <v>1654.21</v>
      </c>
    </row>
    <row r="31" spans="1:5" x14ac:dyDescent="0.25">
      <c r="A31" s="2">
        <v>2.5</v>
      </c>
      <c r="B31" s="2">
        <v>41</v>
      </c>
      <c r="C31" s="2" t="str">
        <f t="shared" si="0"/>
        <v>2.5 x 41</v>
      </c>
      <c r="D31" s="2">
        <f>COUNTIFS(Reaches!$I$2:$I$213,A31,Reaches!$J$2:$J$213,B31)</f>
        <v>1</v>
      </c>
      <c r="E31" s="2">
        <f>SUMIFS(Reaches!$D$2:$D$213,Reaches!$I$2:$I$213,A31,Reaches!$J$2:$J$213,B31)</f>
        <v>3014.3</v>
      </c>
    </row>
    <row r="32" spans="1:5" x14ac:dyDescent="0.25">
      <c r="A32" s="2">
        <v>2.5</v>
      </c>
      <c r="B32" s="2">
        <v>42</v>
      </c>
      <c r="C32" s="2" t="str">
        <f t="shared" si="0"/>
        <v>2.5 x 42</v>
      </c>
      <c r="D32" s="2">
        <f>COUNTIFS(Reaches!$I$2:$I$213,A32,Reaches!$J$2:$J$213,B32)</f>
        <v>2</v>
      </c>
      <c r="E32" s="2">
        <f>SUMIFS(Reaches!$D$2:$D$213,Reaches!$I$2:$I$213,A32,Reaches!$J$2:$J$213,B32)</f>
        <v>2029.46</v>
      </c>
    </row>
    <row r="33" spans="1:5" x14ac:dyDescent="0.25">
      <c r="A33" s="2">
        <v>2.5</v>
      </c>
      <c r="B33" s="2">
        <v>43</v>
      </c>
      <c r="C33" s="2" t="str">
        <f t="shared" si="0"/>
        <v>2.5 x 43</v>
      </c>
      <c r="D33" s="2">
        <f>COUNTIFS(Reaches!$I$2:$I$213,A33,Reaches!$J$2:$J$213,B33)</f>
        <v>2</v>
      </c>
      <c r="E33" s="2">
        <f>SUMIFS(Reaches!$D$2:$D$213,Reaches!$I$2:$I$213,A33,Reaches!$J$2:$J$213,B33)</f>
        <v>1683</v>
      </c>
    </row>
    <row r="34" spans="1:5" x14ac:dyDescent="0.25">
      <c r="A34" s="2">
        <v>2.5</v>
      </c>
      <c r="B34" s="2">
        <v>44.5</v>
      </c>
      <c r="C34" s="2" t="str">
        <f t="shared" ref="C34:C65" si="1">TEXT(A34,"0.0")&amp;" x "&amp;IF(B34=INT(B34),TEXT(B34,"0"),TEXT(B34,"0.0"))</f>
        <v>2.5 x 44.5</v>
      </c>
      <c r="D34" s="2">
        <f>COUNTIFS(Reaches!$I$2:$I$213,A34,Reaches!$J$2:$J$213,B34)</f>
        <v>2</v>
      </c>
      <c r="E34" s="2">
        <f>SUMIFS(Reaches!$D$2:$D$213,Reaches!$I$2:$I$213,A34,Reaches!$J$2:$J$213,B34)</f>
        <v>2437.09</v>
      </c>
    </row>
    <row r="35" spans="1:5" x14ac:dyDescent="0.25">
      <c r="A35" s="2">
        <v>2.5</v>
      </c>
      <c r="B35" s="2">
        <v>45</v>
      </c>
      <c r="C35" s="2" t="str">
        <f t="shared" si="1"/>
        <v>2.5 x 45</v>
      </c>
      <c r="D35" s="2">
        <f>COUNTIFS(Reaches!$I$2:$I$213,A35,Reaches!$J$2:$J$213,B35)</f>
        <v>1</v>
      </c>
      <c r="E35" s="2">
        <f>SUMIFS(Reaches!$D$2:$D$213,Reaches!$I$2:$I$213,A35,Reaches!$J$2:$J$213,B35)</f>
        <v>1857.89</v>
      </c>
    </row>
    <row r="36" spans="1:5" x14ac:dyDescent="0.25">
      <c r="A36" s="2">
        <v>2.5</v>
      </c>
      <c r="B36" s="2">
        <v>46</v>
      </c>
      <c r="C36" s="2" t="str">
        <f t="shared" si="1"/>
        <v>2.5 x 46</v>
      </c>
      <c r="D36" s="2">
        <f>COUNTIFS(Reaches!$I$2:$I$213,A36,Reaches!$J$2:$J$213,B36)</f>
        <v>8</v>
      </c>
      <c r="E36" s="2">
        <f>SUMIFS(Reaches!$D$2:$D$213,Reaches!$I$2:$I$213,A36,Reaches!$J$2:$J$213,B36)</f>
        <v>5889.57</v>
      </c>
    </row>
    <row r="37" spans="1:5" x14ac:dyDescent="0.25">
      <c r="A37" s="2">
        <v>2.5</v>
      </c>
      <c r="B37" s="2">
        <v>46.5</v>
      </c>
      <c r="C37" s="2" t="str">
        <f t="shared" si="1"/>
        <v>2.5 x 46.5</v>
      </c>
      <c r="D37" s="2">
        <f>COUNTIFS(Reaches!$I$2:$I$213,A37,Reaches!$J$2:$J$213,B37)</f>
        <v>2</v>
      </c>
      <c r="E37" s="2">
        <f>SUMIFS(Reaches!$D$2:$D$213,Reaches!$I$2:$I$213,A37,Reaches!$J$2:$J$213,B37)</f>
        <v>2939</v>
      </c>
    </row>
    <row r="38" spans="1:5" x14ac:dyDescent="0.25">
      <c r="A38" s="2">
        <v>2.5</v>
      </c>
      <c r="B38" s="2">
        <v>47.5</v>
      </c>
      <c r="C38" s="2" t="str">
        <f t="shared" si="1"/>
        <v>2.5 x 47.5</v>
      </c>
      <c r="D38" s="2">
        <f>COUNTIFS(Reaches!$I$2:$I$213,A38,Reaches!$J$2:$J$213,B38)</f>
        <v>3</v>
      </c>
      <c r="E38" s="2">
        <f>SUMIFS(Reaches!$D$2:$D$213,Reaches!$I$2:$I$213,A38,Reaches!$J$2:$J$213,B38)</f>
        <v>2066</v>
      </c>
    </row>
    <row r="39" spans="1:5" x14ac:dyDescent="0.25">
      <c r="A39" s="2">
        <v>2.5</v>
      </c>
      <c r="B39" s="2">
        <v>49</v>
      </c>
      <c r="C39" s="2" t="str">
        <f t="shared" si="1"/>
        <v>2.5 x 49</v>
      </c>
      <c r="D39" s="2">
        <f>COUNTIFS(Reaches!$I$2:$I$213,A39,Reaches!$J$2:$J$213,B39)</f>
        <v>4</v>
      </c>
      <c r="E39" s="2">
        <f>SUMIFS(Reaches!$D$2:$D$213,Reaches!$I$2:$I$213,A39,Reaches!$J$2:$J$213,B39)</f>
        <v>3148.13</v>
      </c>
    </row>
    <row r="40" spans="1:5" x14ac:dyDescent="0.25">
      <c r="A40" s="2">
        <v>2.5</v>
      </c>
      <c r="B40" s="2">
        <v>49.5</v>
      </c>
      <c r="C40" s="2" t="str">
        <f t="shared" si="1"/>
        <v>2.5 x 49.5</v>
      </c>
      <c r="D40" s="2">
        <f>COUNTIFS(Reaches!$I$2:$I$213,A40,Reaches!$J$2:$J$213,B40)</f>
        <v>1</v>
      </c>
      <c r="E40" s="2">
        <f>SUMIFS(Reaches!$D$2:$D$213,Reaches!$I$2:$I$213,A40,Reaches!$J$2:$J$213,B40)</f>
        <v>1642.16</v>
      </c>
    </row>
    <row r="41" spans="1:5" x14ac:dyDescent="0.25">
      <c r="A41" s="2">
        <v>2.5</v>
      </c>
      <c r="B41" s="2">
        <v>50</v>
      </c>
      <c r="C41" s="2" t="str">
        <f t="shared" si="1"/>
        <v>2.5 x 50</v>
      </c>
      <c r="D41" s="2">
        <f>COUNTIFS(Reaches!$I$2:$I$213,A41,Reaches!$J$2:$J$213,B41)</f>
        <v>1</v>
      </c>
      <c r="E41" s="2">
        <f>SUMIFS(Reaches!$D$2:$D$213,Reaches!$I$2:$I$213,A41,Reaches!$J$2:$J$213,B41)</f>
        <v>1684.49</v>
      </c>
    </row>
    <row r="42" spans="1:5" x14ac:dyDescent="0.25">
      <c r="A42" s="2">
        <v>2.5</v>
      </c>
      <c r="B42" s="2">
        <v>52</v>
      </c>
      <c r="C42" s="2" t="str">
        <f t="shared" si="1"/>
        <v>2.5 x 52</v>
      </c>
      <c r="D42" s="2">
        <f>COUNTIFS(Reaches!$I$2:$I$213,A42,Reaches!$J$2:$J$213,B42)</f>
        <v>1</v>
      </c>
      <c r="E42" s="2">
        <f>SUMIFS(Reaches!$D$2:$D$213,Reaches!$I$2:$I$213,A42,Reaches!$J$2:$J$213,B42)</f>
        <v>794.13</v>
      </c>
    </row>
    <row r="43" spans="1:5" x14ac:dyDescent="0.25">
      <c r="A43" s="2">
        <v>2.5</v>
      </c>
      <c r="B43" s="2">
        <v>52.5</v>
      </c>
      <c r="C43" s="2" t="str">
        <f t="shared" si="1"/>
        <v>2.5 x 52.5</v>
      </c>
      <c r="D43" s="2">
        <f>COUNTIFS(Reaches!$I$2:$I$213,A43,Reaches!$J$2:$J$213,B43)</f>
        <v>1</v>
      </c>
      <c r="E43" s="2">
        <f>SUMIFS(Reaches!$D$2:$D$213,Reaches!$I$2:$I$213,A43,Reaches!$J$2:$J$213,B43)</f>
        <v>1096.3699999999999</v>
      </c>
    </row>
    <row r="44" spans="1:5" x14ac:dyDescent="0.25">
      <c r="A44" s="2">
        <v>2.5</v>
      </c>
      <c r="B44" s="2">
        <v>54</v>
      </c>
      <c r="C44" s="2" t="str">
        <f t="shared" si="1"/>
        <v>2.5 x 54</v>
      </c>
      <c r="D44" s="2">
        <f>COUNTIFS(Reaches!$I$2:$I$213,A44,Reaches!$J$2:$J$213,B44)</f>
        <v>2</v>
      </c>
      <c r="E44" s="2">
        <f>SUMIFS(Reaches!$D$2:$D$213,Reaches!$I$2:$I$213,A44,Reaches!$J$2:$J$213,B44)</f>
        <v>941.43</v>
      </c>
    </row>
    <row r="45" spans="1:5" x14ac:dyDescent="0.25">
      <c r="A45" s="2">
        <v>2.5</v>
      </c>
      <c r="B45" s="2">
        <v>56</v>
      </c>
      <c r="C45" s="2" t="str">
        <f t="shared" si="1"/>
        <v>2.5 x 56</v>
      </c>
      <c r="D45" s="2">
        <f>COUNTIFS(Reaches!$I$2:$I$213,A45,Reaches!$J$2:$J$213,B45)</f>
        <v>2</v>
      </c>
      <c r="E45" s="2">
        <f>SUMIFS(Reaches!$D$2:$D$213,Reaches!$I$2:$I$213,A45,Reaches!$J$2:$J$213,B45)</f>
        <v>1359.33</v>
      </c>
    </row>
    <row r="46" spans="1:5" x14ac:dyDescent="0.25">
      <c r="A46" s="2">
        <v>2.5</v>
      </c>
      <c r="B46" s="2">
        <v>57.5</v>
      </c>
      <c r="C46" s="2" t="str">
        <f t="shared" si="1"/>
        <v>2.5 x 57.5</v>
      </c>
      <c r="D46" s="2">
        <f>COUNTIFS(Reaches!$I$2:$I$213,A46,Reaches!$J$2:$J$213,B46)</f>
        <v>4</v>
      </c>
      <c r="E46" s="2">
        <f>SUMIFS(Reaches!$D$2:$D$213,Reaches!$I$2:$I$213,A46,Reaches!$J$2:$J$213,B46)</f>
        <v>3550.66</v>
      </c>
    </row>
    <row r="47" spans="1:5" x14ac:dyDescent="0.25">
      <c r="A47" s="2">
        <v>2.5</v>
      </c>
      <c r="B47" s="2">
        <v>58</v>
      </c>
      <c r="C47" s="2" t="str">
        <f t="shared" si="1"/>
        <v>2.5 x 58</v>
      </c>
      <c r="D47" s="2">
        <f>COUNTIFS(Reaches!$I$2:$I$213,A47,Reaches!$J$2:$J$213,B47)</f>
        <v>6</v>
      </c>
      <c r="E47" s="2">
        <f>SUMIFS(Reaches!$D$2:$D$213,Reaches!$I$2:$I$213,A47,Reaches!$J$2:$J$213,B47)</f>
        <v>8896.16</v>
      </c>
    </row>
    <row r="48" spans="1:5" x14ac:dyDescent="0.25">
      <c r="A48" s="2">
        <v>2.5</v>
      </c>
      <c r="B48" s="2">
        <v>58.5</v>
      </c>
      <c r="C48" s="2" t="str">
        <f t="shared" si="1"/>
        <v>2.5 x 58.5</v>
      </c>
      <c r="D48" s="2">
        <f>COUNTIFS(Reaches!$I$2:$I$213,A48,Reaches!$J$2:$J$213,B48)</f>
        <v>2</v>
      </c>
      <c r="E48" s="2">
        <f>SUMIFS(Reaches!$D$2:$D$213,Reaches!$I$2:$I$213,A48,Reaches!$J$2:$J$213,B48)</f>
        <v>1129.53</v>
      </c>
    </row>
    <row r="49" spans="1:5" x14ac:dyDescent="0.25">
      <c r="A49" s="2">
        <v>2.5</v>
      </c>
      <c r="B49" s="2">
        <v>60</v>
      </c>
      <c r="C49" s="2" t="str">
        <f t="shared" si="1"/>
        <v>2.5 x 60</v>
      </c>
      <c r="D49" s="2">
        <f>COUNTIFS(Reaches!$I$2:$I$213,A49,Reaches!$J$2:$J$213,B49)</f>
        <v>4</v>
      </c>
      <c r="E49" s="2">
        <f>SUMIFS(Reaches!$D$2:$D$213,Reaches!$I$2:$I$213,A49,Reaches!$J$2:$J$213,B49)</f>
        <v>4199.1100000000006</v>
      </c>
    </row>
    <row r="50" spans="1:5" x14ac:dyDescent="0.25">
      <c r="A50" s="2">
        <v>2.5</v>
      </c>
      <c r="B50" s="2">
        <v>60.5</v>
      </c>
      <c r="C50" s="2" t="str">
        <f t="shared" si="1"/>
        <v>2.5 x 60.5</v>
      </c>
      <c r="D50" s="2">
        <f>COUNTIFS(Reaches!$I$2:$I$213,A50,Reaches!$J$2:$J$213,B50)</f>
        <v>1</v>
      </c>
      <c r="E50" s="2">
        <f>SUMIFS(Reaches!$D$2:$D$213,Reaches!$I$2:$I$213,A50,Reaches!$J$2:$J$213,B50)</f>
        <v>264.26</v>
      </c>
    </row>
    <row r="51" spans="1:5" x14ac:dyDescent="0.25">
      <c r="A51" s="2">
        <v>2.5</v>
      </c>
      <c r="B51" s="2">
        <v>61.5</v>
      </c>
      <c r="C51" s="2" t="str">
        <f t="shared" si="1"/>
        <v>2.5 x 61.5</v>
      </c>
      <c r="D51" s="2">
        <f>COUNTIFS(Reaches!$I$2:$I$213,A51,Reaches!$J$2:$J$213,B51)</f>
        <v>1</v>
      </c>
      <c r="E51" s="2">
        <f>SUMIFS(Reaches!$D$2:$D$213,Reaches!$I$2:$I$213,A51,Reaches!$J$2:$J$213,B51)</f>
        <v>866.53</v>
      </c>
    </row>
    <row r="52" spans="1:5" x14ac:dyDescent="0.25">
      <c r="A52" s="2">
        <v>2.5</v>
      </c>
      <c r="B52" s="2">
        <v>65</v>
      </c>
      <c r="C52" s="2" t="str">
        <f t="shared" si="1"/>
        <v>2.5 x 65</v>
      </c>
      <c r="D52" s="2">
        <f>COUNTIFS(Reaches!$I$2:$I$213,A52,Reaches!$J$2:$J$213,B52)</f>
        <v>6</v>
      </c>
      <c r="E52" s="2">
        <f>SUMIFS(Reaches!$D$2:$D$213,Reaches!$I$2:$I$213,A52,Reaches!$J$2:$J$213,B52)</f>
        <v>4138.0199999999995</v>
      </c>
    </row>
    <row r="53" spans="1:5" x14ac:dyDescent="0.25">
      <c r="A53" s="2">
        <v>2.5</v>
      </c>
      <c r="B53" s="2">
        <v>67.5</v>
      </c>
      <c r="C53" s="2" t="str">
        <f t="shared" si="1"/>
        <v>2.5 x 67.5</v>
      </c>
      <c r="D53" s="2">
        <f>COUNTIFS(Reaches!$I$2:$I$213,A53,Reaches!$J$2:$J$213,B53)</f>
        <v>1</v>
      </c>
      <c r="E53" s="2">
        <f>SUMIFS(Reaches!$D$2:$D$213,Reaches!$I$2:$I$213,A53,Reaches!$J$2:$J$213,B53)</f>
        <v>994</v>
      </c>
    </row>
    <row r="54" spans="1:5" x14ac:dyDescent="0.25">
      <c r="A54" s="2">
        <v>2.5</v>
      </c>
      <c r="B54" s="2">
        <v>72.5</v>
      </c>
      <c r="C54" s="2" t="str">
        <f t="shared" si="1"/>
        <v>2.5 x 72.5</v>
      </c>
      <c r="D54" s="2">
        <f>COUNTIFS(Reaches!$I$2:$I$213,A54,Reaches!$J$2:$J$213,B54)</f>
        <v>1</v>
      </c>
      <c r="E54" s="2">
        <f>SUMIFS(Reaches!$D$2:$D$213,Reaches!$I$2:$I$213,A54,Reaches!$J$2:$J$213,B54)</f>
        <v>575.64</v>
      </c>
    </row>
    <row r="55" spans="1:5" x14ac:dyDescent="0.25">
      <c r="A55" s="2">
        <v>2.5</v>
      </c>
      <c r="B55" s="2">
        <v>74.5</v>
      </c>
      <c r="C55" s="2" t="str">
        <f t="shared" si="1"/>
        <v>2.5 x 74.5</v>
      </c>
      <c r="D55" s="2">
        <f>COUNTIFS(Reaches!$I$2:$I$213,A55,Reaches!$J$2:$J$213,B55)</f>
        <v>1</v>
      </c>
      <c r="E55" s="2">
        <f>SUMIFS(Reaches!$D$2:$D$213,Reaches!$I$2:$I$213,A55,Reaches!$J$2:$J$213,B55)</f>
        <v>901.17</v>
      </c>
    </row>
    <row r="56" spans="1:5" x14ac:dyDescent="0.25">
      <c r="A56" s="2">
        <v>2.5</v>
      </c>
      <c r="B56" s="2">
        <v>77.5</v>
      </c>
      <c r="C56" s="2" t="str">
        <f t="shared" si="1"/>
        <v>2.5 x 77.5</v>
      </c>
      <c r="D56" s="2">
        <f>COUNTIFS(Reaches!$I$2:$I$213,A56,Reaches!$J$2:$J$213,B56)</f>
        <v>1</v>
      </c>
      <c r="E56" s="2">
        <f>SUMIFS(Reaches!$D$2:$D$213,Reaches!$I$2:$I$213,A56,Reaches!$J$2:$J$213,B56)</f>
        <v>1944.81</v>
      </c>
    </row>
    <row r="57" spans="1:5" x14ac:dyDescent="0.25">
      <c r="A57" s="2">
        <v>2.5</v>
      </c>
      <c r="B57" s="2">
        <v>83.5</v>
      </c>
      <c r="C57" s="2" t="str">
        <f t="shared" si="1"/>
        <v>2.5 x 83.5</v>
      </c>
      <c r="D57" s="2">
        <f>COUNTIFS(Reaches!$I$2:$I$213,A57,Reaches!$J$2:$J$213,B57)</f>
        <v>1</v>
      </c>
      <c r="E57" s="2">
        <f>SUMIFS(Reaches!$D$2:$D$213,Reaches!$I$2:$I$213,A57,Reaches!$J$2:$J$213,B57)</f>
        <v>1648.82</v>
      </c>
    </row>
    <row r="58" spans="1:5" x14ac:dyDescent="0.25">
      <c r="A58" s="2">
        <v>2.5</v>
      </c>
      <c r="B58" s="2">
        <v>86.5</v>
      </c>
      <c r="C58" s="2" t="str">
        <f t="shared" si="1"/>
        <v>2.5 x 86.5</v>
      </c>
      <c r="D58" s="2">
        <f>COUNTIFS(Reaches!$I$2:$I$213,A58,Reaches!$J$2:$J$213,B58)</f>
        <v>5</v>
      </c>
      <c r="E58" s="2">
        <f>SUMIFS(Reaches!$D$2:$D$213,Reaches!$I$2:$I$213,A58,Reaches!$J$2:$J$213,B58)</f>
        <v>6956.75</v>
      </c>
    </row>
    <row r="59" spans="1:5" x14ac:dyDescent="0.25">
      <c r="A59" s="2">
        <v>2.5</v>
      </c>
      <c r="B59" s="2">
        <v>89.5</v>
      </c>
      <c r="C59" s="2" t="str">
        <f t="shared" si="1"/>
        <v>2.5 x 89.5</v>
      </c>
      <c r="D59" s="2">
        <f>COUNTIFS(Reaches!$I$2:$I$213,A59,Reaches!$J$2:$J$213,B59)</f>
        <v>1</v>
      </c>
      <c r="E59" s="2">
        <f>SUMIFS(Reaches!$D$2:$D$213,Reaches!$I$2:$I$213,A59,Reaches!$J$2:$J$213,B59)</f>
        <v>415.31</v>
      </c>
    </row>
    <row r="60" spans="1:5" x14ac:dyDescent="0.25">
      <c r="A60" s="2">
        <v>2.5</v>
      </c>
      <c r="B60" s="2">
        <v>90.5</v>
      </c>
      <c r="C60" s="2" t="str">
        <f t="shared" si="1"/>
        <v>2.5 x 90.5</v>
      </c>
      <c r="D60" s="2">
        <f>COUNTIFS(Reaches!$I$2:$I$213,A60,Reaches!$J$2:$J$213,B60)</f>
        <v>1</v>
      </c>
      <c r="E60" s="2">
        <f>SUMIFS(Reaches!$D$2:$D$213,Reaches!$I$2:$I$213,A60,Reaches!$J$2:$J$213,B60)</f>
        <v>415.94</v>
      </c>
    </row>
    <row r="61" spans="1:5" x14ac:dyDescent="0.25">
      <c r="A61" s="2">
        <v>2.5</v>
      </c>
      <c r="B61" s="2">
        <v>94</v>
      </c>
      <c r="C61" s="2" t="str">
        <f t="shared" si="1"/>
        <v>2.5 x 94</v>
      </c>
      <c r="D61" s="2">
        <f>COUNTIFS(Reaches!$I$2:$I$213,A61,Reaches!$J$2:$J$213,B61)</f>
        <v>5</v>
      </c>
      <c r="E61" s="2">
        <f>SUMIFS(Reaches!$D$2:$D$213,Reaches!$I$2:$I$213,A61,Reaches!$J$2:$J$213,B61)</f>
        <v>5630.9</v>
      </c>
    </row>
    <row r="62" spans="1:5" x14ac:dyDescent="0.25">
      <c r="A62" s="2">
        <v>2.5</v>
      </c>
      <c r="B62" s="2">
        <v>94.5</v>
      </c>
      <c r="C62" s="2" t="str">
        <f t="shared" si="1"/>
        <v>2.5 x 94.5</v>
      </c>
      <c r="D62" s="2">
        <f>COUNTIFS(Reaches!$I$2:$I$213,A62,Reaches!$J$2:$J$213,B62)</f>
        <v>2</v>
      </c>
      <c r="E62" s="2">
        <f>SUMIFS(Reaches!$D$2:$D$213,Reaches!$I$2:$I$213,A62,Reaches!$J$2:$J$213,B62)</f>
        <v>1969.41</v>
      </c>
    </row>
    <row r="63" spans="1:5" x14ac:dyDescent="0.25">
      <c r="A63" s="2">
        <v>2.5</v>
      </c>
      <c r="B63" s="2">
        <v>96</v>
      </c>
      <c r="C63" s="2" t="str">
        <f t="shared" si="1"/>
        <v>2.5 x 96</v>
      </c>
      <c r="D63" s="2">
        <f>COUNTIFS(Reaches!$I$2:$I$213,A63,Reaches!$J$2:$J$213,B63)</f>
        <v>1</v>
      </c>
      <c r="E63" s="2">
        <f>SUMIFS(Reaches!$D$2:$D$213,Reaches!$I$2:$I$213,A63,Reaches!$J$2:$J$213,B63)</f>
        <v>1305</v>
      </c>
    </row>
    <row r="64" spans="1:5" x14ac:dyDescent="0.25">
      <c r="A64" s="2">
        <v>2.5</v>
      </c>
      <c r="B64" s="2">
        <v>96.5</v>
      </c>
      <c r="C64" s="2" t="str">
        <f t="shared" si="1"/>
        <v>2.5 x 96.5</v>
      </c>
      <c r="D64" s="2">
        <f>COUNTIFS(Reaches!$I$2:$I$213,A64,Reaches!$J$2:$J$213,B64)</f>
        <v>1</v>
      </c>
      <c r="E64" s="2">
        <f>SUMIFS(Reaches!$D$2:$D$213,Reaches!$I$2:$I$213,A64,Reaches!$J$2:$J$213,B64)</f>
        <v>1455.85</v>
      </c>
    </row>
    <row r="65" spans="1:5" x14ac:dyDescent="0.25">
      <c r="A65" s="2">
        <v>2.5</v>
      </c>
      <c r="B65" s="2">
        <v>97</v>
      </c>
      <c r="C65" s="2" t="str">
        <f t="shared" si="1"/>
        <v>2.5 x 97</v>
      </c>
      <c r="D65" s="2">
        <f>COUNTIFS(Reaches!$I$2:$I$213,A65,Reaches!$J$2:$J$213,B65)</f>
        <v>2</v>
      </c>
      <c r="E65" s="2">
        <f>SUMIFS(Reaches!$D$2:$D$213,Reaches!$I$2:$I$213,A65,Reaches!$J$2:$J$213,B65)</f>
        <v>885.42000000000007</v>
      </c>
    </row>
    <row r="66" spans="1:5" x14ac:dyDescent="0.25">
      <c r="A66" s="2">
        <v>2.5</v>
      </c>
      <c r="B66" s="2">
        <v>100</v>
      </c>
      <c r="C66" s="2" t="str">
        <f t="shared" ref="C66:C97" si="2">TEXT(A66,"0.0")&amp;" x "&amp;IF(B66=INT(B66),TEXT(B66,"0"),TEXT(B66,"0.0"))</f>
        <v>2.5 x 100</v>
      </c>
      <c r="D66" s="2">
        <f>COUNTIFS(Reaches!$I$2:$I$213,A66,Reaches!$J$2:$J$213,B66)</f>
        <v>2</v>
      </c>
      <c r="E66" s="2">
        <f>SUMIFS(Reaches!$D$2:$D$213,Reaches!$I$2:$I$213,A66,Reaches!$J$2:$J$213,B66)</f>
        <v>3283.38</v>
      </c>
    </row>
    <row r="67" spans="1:5" x14ac:dyDescent="0.25">
      <c r="A67" s="2">
        <v>2.5</v>
      </c>
      <c r="B67" s="2">
        <v>102.5</v>
      </c>
      <c r="C67" s="2" t="str">
        <f t="shared" si="2"/>
        <v>2.5 x 102.5</v>
      </c>
      <c r="D67" s="2">
        <f>COUNTIFS(Reaches!$I$2:$I$213,A67,Reaches!$J$2:$J$213,B67)</f>
        <v>2</v>
      </c>
      <c r="E67" s="2">
        <f>SUMIFS(Reaches!$D$2:$D$213,Reaches!$I$2:$I$213,A67,Reaches!$J$2:$J$213,B67)</f>
        <v>3166</v>
      </c>
    </row>
    <row r="68" spans="1:5" x14ac:dyDescent="0.25">
      <c r="A68" s="2">
        <v>2.5</v>
      </c>
      <c r="B68" s="2">
        <v>107.5</v>
      </c>
      <c r="C68" s="2" t="str">
        <f t="shared" si="2"/>
        <v>2.5 x 107.5</v>
      </c>
      <c r="D68" s="2">
        <f>COUNTIFS(Reaches!$I$2:$I$213,A68,Reaches!$J$2:$J$213,B68)</f>
        <v>2</v>
      </c>
      <c r="E68" s="2">
        <f>SUMIFS(Reaches!$D$2:$D$213,Reaches!$I$2:$I$213,A68,Reaches!$J$2:$J$213,B68)</f>
        <v>1965.17</v>
      </c>
    </row>
    <row r="69" spans="1:5" x14ac:dyDescent="0.25">
      <c r="A69" s="2">
        <v>2.5</v>
      </c>
      <c r="B69" s="2">
        <v>109.5</v>
      </c>
      <c r="C69" s="2" t="str">
        <f t="shared" si="2"/>
        <v>2.5 x 109.5</v>
      </c>
      <c r="D69" s="2">
        <f>COUNTIFS(Reaches!$I$2:$I$213,A69,Reaches!$J$2:$J$213,B69)</f>
        <v>1</v>
      </c>
      <c r="E69" s="2">
        <f>SUMIFS(Reaches!$D$2:$D$213,Reaches!$I$2:$I$213,A69,Reaches!$J$2:$J$213,B69)</f>
        <v>765.7</v>
      </c>
    </row>
    <row r="70" spans="1:5" x14ac:dyDescent="0.25">
      <c r="A70" s="2">
        <v>2.5</v>
      </c>
      <c r="B70" s="2">
        <v>112.5</v>
      </c>
      <c r="C70" s="2" t="str">
        <f t="shared" si="2"/>
        <v>2.5 x 112.5</v>
      </c>
      <c r="D70" s="2">
        <f>COUNTIFS(Reaches!$I$2:$I$213,A70,Reaches!$J$2:$J$213,B70)</f>
        <v>1</v>
      </c>
      <c r="E70" s="2">
        <f>SUMIFS(Reaches!$D$2:$D$213,Reaches!$I$2:$I$213,A70,Reaches!$J$2:$J$213,B70)</f>
        <v>1113</v>
      </c>
    </row>
    <row r="71" spans="1:5" x14ac:dyDescent="0.25">
      <c r="A71" s="2">
        <v>2.5</v>
      </c>
      <c r="B71" s="2">
        <v>116</v>
      </c>
      <c r="C71" s="2" t="str">
        <f t="shared" si="2"/>
        <v>2.5 x 116</v>
      </c>
      <c r="D71" s="2">
        <f>COUNTIFS(Reaches!$I$2:$I$213,A71,Reaches!$J$2:$J$213,B71)</f>
        <v>6</v>
      </c>
      <c r="E71" s="2">
        <f>SUMIFS(Reaches!$D$2:$D$213,Reaches!$I$2:$I$213,A71,Reaches!$J$2:$J$213,B71)</f>
        <v>5337.75</v>
      </c>
    </row>
    <row r="72" spans="1:5" x14ac:dyDescent="0.25">
      <c r="A72" s="2">
        <v>2.5</v>
      </c>
      <c r="B72" s="2">
        <v>118</v>
      </c>
      <c r="C72" s="2" t="str">
        <f t="shared" si="2"/>
        <v>2.5 x 118</v>
      </c>
      <c r="D72" s="2">
        <f>COUNTIFS(Reaches!$I$2:$I$213,A72,Reaches!$J$2:$J$213,B72)</f>
        <v>1</v>
      </c>
      <c r="E72" s="2">
        <f>SUMIFS(Reaches!$D$2:$D$213,Reaches!$I$2:$I$213,A72,Reaches!$J$2:$J$213,B72)</f>
        <v>860.73</v>
      </c>
    </row>
    <row r="73" spans="1:5" x14ac:dyDescent="0.25">
      <c r="A73" s="2">
        <v>2.5</v>
      </c>
      <c r="B73" s="2">
        <v>124.5</v>
      </c>
      <c r="C73" s="2" t="str">
        <f t="shared" si="2"/>
        <v>2.5 x 124.5</v>
      </c>
      <c r="D73" s="2">
        <f>COUNTIFS(Reaches!$I$2:$I$213,A73,Reaches!$J$2:$J$213,B73)</f>
        <v>1</v>
      </c>
      <c r="E73" s="2">
        <f>SUMIFS(Reaches!$D$2:$D$213,Reaches!$I$2:$I$213,A73,Reaches!$J$2:$J$213,B73)</f>
        <v>728.95</v>
      </c>
    </row>
    <row r="74" spans="1:5" x14ac:dyDescent="0.25">
      <c r="A74" s="2">
        <v>2.5</v>
      </c>
      <c r="B74" s="2">
        <v>132.5</v>
      </c>
      <c r="C74" s="2" t="str">
        <f t="shared" si="2"/>
        <v>2.5 x 132.5</v>
      </c>
      <c r="D74" s="2">
        <f>COUNTIFS(Reaches!$I$2:$I$213,A74,Reaches!$J$2:$J$213,B74)</f>
        <v>2</v>
      </c>
      <c r="E74" s="2">
        <f>SUMIFS(Reaches!$D$2:$D$213,Reaches!$I$2:$I$213,A74,Reaches!$J$2:$J$213,B74)</f>
        <v>1829.7</v>
      </c>
    </row>
    <row r="75" spans="1:5" x14ac:dyDescent="0.25">
      <c r="A75" s="2">
        <v>2.5</v>
      </c>
      <c r="B75" s="2">
        <v>156.5</v>
      </c>
      <c r="C75" s="2" t="str">
        <f t="shared" si="2"/>
        <v>2.5 x 156.5</v>
      </c>
      <c r="D75" s="2">
        <f>COUNTIFS(Reaches!$I$2:$I$213,A75,Reaches!$J$2:$J$213,B75)</f>
        <v>3</v>
      </c>
      <c r="E75" s="2">
        <f>SUMIFS(Reaches!$D$2:$D$213,Reaches!$I$2:$I$213,A75,Reaches!$J$2:$J$213,B75)</f>
        <v>1910.4099999999999</v>
      </c>
    </row>
    <row r="76" spans="1:5" x14ac:dyDescent="0.25">
      <c r="A76" s="2">
        <v>2.5</v>
      </c>
      <c r="B76" s="2">
        <v>165.5</v>
      </c>
      <c r="C76" s="2" t="str">
        <f t="shared" si="2"/>
        <v>2.5 x 165.5</v>
      </c>
      <c r="D76" s="2">
        <f>COUNTIFS(Reaches!$I$2:$I$213,A76,Reaches!$J$2:$J$213,B76)</f>
        <v>1</v>
      </c>
      <c r="E76" s="2">
        <f>SUMIFS(Reaches!$D$2:$D$213,Reaches!$I$2:$I$213,A76,Reaches!$J$2:$J$213,B76)</f>
        <v>1248.98</v>
      </c>
    </row>
    <row r="77" spans="1:5" x14ac:dyDescent="0.25">
      <c r="A77" s="2">
        <v>2.5</v>
      </c>
      <c r="B77" s="2">
        <v>179.5</v>
      </c>
      <c r="C77" s="2" t="str">
        <f t="shared" si="2"/>
        <v>2.5 x 179.5</v>
      </c>
      <c r="D77" s="2">
        <f>COUNTIFS(Reaches!$I$2:$I$213,A77,Reaches!$J$2:$J$213,B77)</f>
        <v>6</v>
      </c>
      <c r="E77" s="2">
        <f>SUMIFS(Reaches!$D$2:$D$213,Reaches!$I$2:$I$213,A77,Reaches!$J$2:$J$213,B77)</f>
        <v>3705.8999999999996</v>
      </c>
    </row>
    <row r="78" spans="1:5" x14ac:dyDescent="0.25">
      <c r="A78" s="2">
        <v>2.5</v>
      </c>
      <c r="B78" s="2">
        <v>195.5</v>
      </c>
      <c r="C78" s="2" t="str">
        <f t="shared" si="2"/>
        <v>2.5 x 195.5</v>
      </c>
      <c r="D78" s="2">
        <f>COUNTIFS(Reaches!$I$2:$I$213,A78,Reaches!$J$2:$J$213,B78)</f>
        <v>1</v>
      </c>
      <c r="E78" s="2">
        <f>SUMIFS(Reaches!$D$2:$D$213,Reaches!$I$2:$I$213,A78,Reaches!$J$2:$J$213,B78)</f>
        <v>1008.71</v>
      </c>
    </row>
    <row r="79" spans="1:5" x14ac:dyDescent="0.25">
      <c r="A79" s="2">
        <v>2.5</v>
      </c>
      <c r="B79" s="2">
        <v>209</v>
      </c>
      <c r="C79" s="2" t="str">
        <f t="shared" si="2"/>
        <v>2.5 x 209</v>
      </c>
      <c r="D79" s="2">
        <f>COUNTIFS(Reaches!$I$2:$I$213,A79,Reaches!$J$2:$J$213,B79)</f>
        <v>3</v>
      </c>
      <c r="E79" s="2">
        <f>SUMIFS(Reaches!$D$2:$D$213,Reaches!$I$2:$I$213,A79,Reaches!$J$2:$J$213,B79)</f>
        <v>3262.08</v>
      </c>
    </row>
    <row r="80" spans="1:5" x14ac:dyDescent="0.25">
      <c r="A80" s="2">
        <v>2.5</v>
      </c>
      <c r="B80" s="2">
        <v>218.5</v>
      </c>
      <c r="C80" s="2" t="str">
        <f t="shared" si="2"/>
        <v>2.5 x 218.5</v>
      </c>
      <c r="D80" s="2">
        <f>COUNTIFS(Reaches!$I$2:$I$213,A80,Reaches!$J$2:$J$213,B80)</f>
        <v>1</v>
      </c>
      <c r="E80" s="2">
        <f>SUMIFS(Reaches!$D$2:$D$213,Reaches!$I$2:$I$213,A80,Reaches!$J$2:$J$213,B80)</f>
        <v>498.97</v>
      </c>
    </row>
    <row r="81" spans="1:5" x14ac:dyDescent="0.25">
      <c r="A81" s="2">
        <v>2.5</v>
      </c>
      <c r="B81" s="2">
        <v>238</v>
      </c>
      <c r="C81" s="2" t="str">
        <f t="shared" si="2"/>
        <v>2.5 x 238</v>
      </c>
      <c r="D81" s="2">
        <f>COUNTIFS(Reaches!$I$2:$I$213,A81,Reaches!$J$2:$J$213,B81)</f>
        <v>2</v>
      </c>
      <c r="E81" s="2">
        <f>SUMIFS(Reaches!$D$2:$D$213,Reaches!$I$2:$I$213,A81,Reaches!$J$2:$J$213,B81)</f>
        <v>2742.19</v>
      </c>
    </row>
    <row r="82" spans="1:5" x14ac:dyDescent="0.25">
      <c r="A82" s="2">
        <v>2.5</v>
      </c>
      <c r="B82" s="2">
        <v>253</v>
      </c>
      <c r="C82" s="2" t="str">
        <f t="shared" si="2"/>
        <v>2.5 x 253</v>
      </c>
      <c r="D82" s="2">
        <f>COUNTIFS(Reaches!$I$2:$I$213,A82,Reaches!$J$2:$J$213,B82)</f>
        <v>1</v>
      </c>
      <c r="E82" s="2">
        <f>SUMIFS(Reaches!$D$2:$D$213,Reaches!$I$2:$I$213,A82,Reaches!$J$2:$J$213,B82)</f>
        <v>108.94</v>
      </c>
    </row>
    <row r="83" spans="1:5" x14ac:dyDescent="0.25">
      <c r="A83" s="2">
        <v>2.5</v>
      </c>
      <c r="B83" s="2">
        <v>267</v>
      </c>
      <c r="C83" s="2" t="str">
        <f t="shared" si="2"/>
        <v>2.5 x 267</v>
      </c>
      <c r="D83" s="2">
        <f>COUNTIFS(Reaches!$I$2:$I$213,A83,Reaches!$J$2:$J$213,B83)</f>
        <v>1</v>
      </c>
      <c r="E83" s="2">
        <f>SUMIFS(Reaches!$D$2:$D$213,Reaches!$I$2:$I$213,A83,Reaches!$J$2:$J$213,B83)</f>
        <v>85.73</v>
      </c>
    </row>
    <row r="84" spans="1:5" x14ac:dyDescent="0.25">
      <c r="A84" s="2">
        <v>2.5</v>
      </c>
      <c r="B84" s="2">
        <v>268</v>
      </c>
      <c r="C84" s="2" t="str">
        <f t="shared" si="2"/>
        <v>2.5 x 268</v>
      </c>
      <c r="D84" s="2">
        <f>COUNTIFS(Reaches!$I$2:$I$213,A84,Reaches!$J$2:$J$213,B84)</f>
        <v>1</v>
      </c>
      <c r="E84" s="2">
        <f>SUMIFS(Reaches!$D$2:$D$213,Reaches!$I$2:$I$213,A84,Reaches!$J$2:$J$213,B84)</f>
        <v>2499</v>
      </c>
    </row>
    <row r="85" spans="1:5" x14ac:dyDescent="0.25">
      <c r="A85" s="2">
        <v>2.5</v>
      </c>
      <c r="B85" s="2">
        <v>317.5</v>
      </c>
      <c r="C85" s="2" t="str">
        <f t="shared" si="2"/>
        <v>2.5 x 317.5</v>
      </c>
      <c r="D85" s="2">
        <f>COUNTIFS(Reaches!$I$2:$I$213,A85,Reaches!$J$2:$J$213,B85)</f>
        <v>1</v>
      </c>
      <c r="E85" s="2">
        <f>SUMIFS(Reaches!$D$2:$D$213,Reaches!$I$2:$I$213,A85,Reaches!$J$2:$J$213,B85)</f>
        <v>1218.3699999999999</v>
      </c>
    </row>
    <row r="86" spans="1:5" x14ac:dyDescent="0.25">
      <c r="A86" s="2">
        <v>2.5</v>
      </c>
      <c r="B86" s="2">
        <v>343</v>
      </c>
      <c r="C86" s="2" t="str">
        <f t="shared" si="2"/>
        <v>2.5 x 343</v>
      </c>
      <c r="D86" s="2">
        <f>COUNTIFS(Reaches!$I$2:$I$213,A86,Reaches!$J$2:$J$213,B86)</f>
        <v>1</v>
      </c>
      <c r="E86" s="2">
        <f>SUMIFS(Reaches!$D$2:$D$213,Reaches!$I$2:$I$213,A86,Reaches!$J$2:$J$213,B86)</f>
        <v>283.95999999999998</v>
      </c>
    </row>
    <row r="87" spans="1:5" x14ac:dyDescent="0.25">
      <c r="A87" s="2">
        <v>2.5</v>
      </c>
      <c r="B87" s="2">
        <v>488</v>
      </c>
      <c r="C87" s="2" t="str">
        <f t="shared" si="2"/>
        <v>2.5 x 488</v>
      </c>
      <c r="D87" s="2">
        <f>COUNTIFS(Reaches!$I$2:$I$213,A87,Reaches!$J$2:$J$213,B87)</f>
        <v>1</v>
      </c>
      <c r="E87" s="2">
        <f>SUMIFS(Reaches!$D$2:$D$213,Reaches!$I$2:$I$213,A87,Reaches!$J$2:$J$213,B87)</f>
        <v>1012.2</v>
      </c>
    </row>
    <row r="88" spans="1:5" x14ac:dyDescent="0.25">
      <c r="A88" s="2">
        <v>3</v>
      </c>
      <c r="B88" s="2">
        <v>89.5</v>
      </c>
      <c r="C88" s="2" t="str">
        <f t="shared" si="2"/>
        <v>3.0 x 89.5</v>
      </c>
      <c r="D88" s="2">
        <f>COUNTIFS(Reaches!$I$2:$I$213,A88,Reaches!$J$2:$J$213,B88)</f>
        <v>1</v>
      </c>
      <c r="E88" s="2">
        <f>SUMIFS(Reaches!$D$2:$D$213,Reaches!$I$2:$I$213,A88,Reaches!$J$2:$J$213,B88)</f>
        <v>1166.26</v>
      </c>
    </row>
    <row r="89" spans="1:5" x14ac:dyDescent="0.25">
      <c r="A89" s="2">
        <v>3</v>
      </c>
      <c r="B89" s="2">
        <v>218.5</v>
      </c>
      <c r="C89" s="2" t="str">
        <f t="shared" si="2"/>
        <v>3.0 x 218.5</v>
      </c>
      <c r="D89" s="2">
        <f>COUNTIFS(Reaches!$I$2:$I$213,A89,Reaches!$J$2:$J$213,B89)</f>
        <v>1</v>
      </c>
      <c r="E89" s="2">
        <f>SUMIFS(Reaches!$D$2:$D$213,Reaches!$I$2:$I$213,A89,Reaches!$J$2:$J$213,B89)</f>
        <v>920.2</v>
      </c>
    </row>
    <row r="90" spans="1:5" x14ac:dyDescent="0.25">
      <c r="A90" s="1" t="s">
        <v>286</v>
      </c>
      <c r="B90" s="1"/>
      <c r="C90" s="1"/>
      <c r="D90" s="1">
        <f>SUM(D2:D89)</f>
        <v>212</v>
      </c>
      <c r="E90" s="1">
        <f>SUM(E2:E89)</f>
        <v>221345.84000000011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8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2" customWidth="1"/>
    <col min="2" max="2" width="13" customWidth="1"/>
    <col min="3" max="3" width="12" customWidth="1"/>
    <col min="4" max="4" width="11" customWidth="1"/>
    <col min="5" max="5" width="10" customWidth="1"/>
    <col min="6" max="6" width="12" customWidth="1"/>
    <col min="7" max="8" width="13" customWidth="1"/>
  </cols>
  <sheetData>
    <row r="1" spans="1:8" ht="42" customHeight="1" x14ac:dyDescent="0.25">
      <c r="A1" s="3" t="s">
        <v>287</v>
      </c>
      <c r="B1" s="3" t="s">
        <v>11</v>
      </c>
      <c r="C1" s="3" t="s">
        <v>20</v>
      </c>
      <c r="D1" s="3" t="s">
        <v>19</v>
      </c>
      <c r="E1" s="3" t="s">
        <v>288</v>
      </c>
      <c r="F1" s="3" t="s">
        <v>289</v>
      </c>
      <c r="G1" s="3" t="s">
        <v>290</v>
      </c>
      <c r="H1" s="3" t="s">
        <v>291</v>
      </c>
    </row>
    <row r="2" spans="1:8" x14ac:dyDescent="0.25">
      <c r="A2" s="2" t="s">
        <v>292</v>
      </c>
      <c r="B2" s="2" t="s">
        <v>24</v>
      </c>
      <c r="C2" s="2">
        <v>299.39999999999998</v>
      </c>
      <c r="D2" s="2">
        <v>89.5</v>
      </c>
      <c r="E2" s="2">
        <v>-0.5</v>
      </c>
      <c r="F2" s="2">
        <v>2.5</v>
      </c>
      <c r="G2" s="2">
        <v>1.05</v>
      </c>
      <c r="H2" s="2">
        <f t="shared" ref="H2:H16" si="0">E2-$B$18</f>
        <v>-1.2</v>
      </c>
    </row>
    <row r="3" spans="1:8" x14ac:dyDescent="0.25">
      <c r="A3" s="2" t="s">
        <v>293</v>
      </c>
      <c r="B3" s="2" t="s">
        <v>58</v>
      </c>
      <c r="C3" s="2">
        <v>79.900000000000006</v>
      </c>
      <c r="D3" s="2">
        <v>29</v>
      </c>
      <c r="E3" s="2">
        <v>3.05</v>
      </c>
      <c r="F3" s="2">
        <v>5.82</v>
      </c>
      <c r="G3" s="2">
        <v>0.92</v>
      </c>
      <c r="H3" s="2">
        <f t="shared" si="0"/>
        <v>2.3499999999999996</v>
      </c>
    </row>
    <row r="4" spans="1:8" x14ac:dyDescent="0.25">
      <c r="A4" s="2" t="s">
        <v>294</v>
      </c>
      <c r="B4" s="2" t="s">
        <v>255</v>
      </c>
      <c r="C4" s="2">
        <v>1461</v>
      </c>
      <c r="D4" s="2">
        <v>488</v>
      </c>
      <c r="E4" s="2">
        <v>0.99</v>
      </c>
      <c r="F4" s="2">
        <v>3.49</v>
      </c>
      <c r="G4" s="2">
        <v>0.97</v>
      </c>
      <c r="H4" s="2">
        <f t="shared" si="0"/>
        <v>0.29000000000000004</v>
      </c>
    </row>
    <row r="5" spans="1:8" x14ac:dyDescent="0.25">
      <c r="A5" s="2" t="s">
        <v>295</v>
      </c>
      <c r="B5" s="2" t="s">
        <v>263</v>
      </c>
      <c r="C5" s="2">
        <v>263.8</v>
      </c>
      <c r="D5" s="2">
        <v>90.5</v>
      </c>
      <c r="E5" s="2">
        <v>-0.35</v>
      </c>
      <c r="F5" s="2">
        <v>4.21</v>
      </c>
      <c r="G5" s="2">
        <v>0.95</v>
      </c>
      <c r="H5" s="2">
        <f t="shared" si="0"/>
        <v>-1.0499999999999998</v>
      </c>
    </row>
    <row r="6" spans="1:8" x14ac:dyDescent="0.25">
      <c r="A6" s="2" t="s">
        <v>296</v>
      </c>
      <c r="B6" s="2" t="s">
        <v>273</v>
      </c>
      <c r="C6" s="2">
        <v>149.19999999999999</v>
      </c>
      <c r="D6" s="2">
        <v>52.5</v>
      </c>
      <c r="E6" s="2">
        <v>0.77</v>
      </c>
      <c r="F6" s="2">
        <v>4.99</v>
      </c>
      <c r="G6" s="2">
        <v>0.94</v>
      </c>
      <c r="H6" s="2">
        <f t="shared" si="0"/>
        <v>7.0000000000000062E-2</v>
      </c>
    </row>
    <row r="7" spans="1:8" x14ac:dyDescent="0.25">
      <c r="A7" s="2" t="s">
        <v>297</v>
      </c>
      <c r="B7" s="2" t="s">
        <v>212</v>
      </c>
      <c r="C7" s="2">
        <v>1022</v>
      </c>
      <c r="D7" s="2">
        <v>343</v>
      </c>
      <c r="E7" s="2">
        <v>0.09</v>
      </c>
      <c r="F7" s="2">
        <v>4.01</v>
      </c>
      <c r="G7" s="2">
        <v>0.97</v>
      </c>
      <c r="H7" s="2">
        <f t="shared" si="0"/>
        <v>-0.61</v>
      </c>
    </row>
    <row r="8" spans="1:8" x14ac:dyDescent="0.25">
      <c r="A8" s="2" t="s">
        <v>298</v>
      </c>
      <c r="B8" s="2" t="s">
        <v>227</v>
      </c>
      <c r="C8" s="2">
        <v>332.6</v>
      </c>
      <c r="D8" s="2">
        <v>94</v>
      </c>
      <c r="E8" s="2">
        <v>3.19</v>
      </c>
      <c r="F8" s="2">
        <v>5.68</v>
      </c>
      <c r="G8" s="2">
        <v>1.08</v>
      </c>
      <c r="H8" s="2">
        <f t="shared" si="0"/>
        <v>2.4900000000000002</v>
      </c>
    </row>
    <row r="9" spans="1:8" x14ac:dyDescent="0.25">
      <c r="A9" s="2" t="s">
        <v>299</v>
      </c>
      <c r="B9" s="2" t="s">
        <v>65</v>
      </c>
      <c r="C9" s="2">
        <v>996</v>
      </c>
      <c r="D9" s="2">
        <v>218.5</v>
      </c>
      <c r="E9" s="2">
        <v>-0.7</v>
      </c>
      <c r="F9" s="2">
        <v>2.2999999999999998</v>
      </c>
      <c r="G9" s="2">
        <v>1.28</v>
      </c>
      <c r="H9" s="2">
        <f t="shared" si="0"/>
        <v>-1.4</v>
      </c>
    </row>
    <row r="10" spans="1:8" x14ac:dyDescent="0.25">
      <c r="A10" s="2" t="s">
        <v>300</v>
      </c>
      <c r="B10" s="2" t="s">
        <v>168</v>
      </c>
      <c r="C10" s="2">
        <v>313.39999999999998</v>
      </c>
      <c r="D10" s="2">
        <v>49.5</v>
      </c>
      <c r="E10" s="2">
        <v>47.61</v>
      </c>
      <c r="F10" s="2">
        <v>50.11</v>
      </c>
      <c r="G10" s="2">
        <v>1.6</v>
      </c>
      <c r="H10" s="2">
        <f t="shared" si="0"/>
        <v>46.91</v>
      </c>
    </row>
    <row r="11" spans="1:8" x14ac:dyDescent="0.25">
      <c r="A11" s="2" t="s">
        <v>301</v>
      </c>
      <c r="B11" s="2" t="s">
        <v>184</v>
      </c>
      <c r="C11" s="2">
        <v>105.1</v>
      </c>
      <c r="D11" s="2">
        <v>37.5</v>
      </c>
      <c r="E11" s="2">
        <v>1.47</v>
      </c>
      <c r="F11" s="2">
        <v>4.66</v>
      </c>
      <c r="G11" s="2">
        <v>0.93</v>
      </c>
      <c r="H11" s="2">
        <f t="shared" si="0"/>
        <v>0.77</v>
      </c>
    </row>
    <row r="12" spans="1:8" x14ac:dyDescent="0.25">
      <c r="A12" s="2" t="s">
        <v>302</v>
      </c>
      <c r="B12" s="2" t="s">
        <v>203</v>
      </c>
      <c r="C12" s="2">
        <v>0</v>
      </c>
      <c r="D12" s="2">
        <v>10</v>
      </c>
      <c r="E12" s="2">
        <v>5.46</v>
      </c>
      <c r="F12" s="2">
        <v>7.96</v>
      </c>
      <c r="G12" s="2">
        <v>0</v>
      </c>
      <c r="H12" s="2">
        <f t="shared" si="0"/>
        <v>4.76</v>
      </c>
    </row>
    <row r="13" spans="1:8" x14ac:dyDescent="0.25">
      <c r="A13" s="2" t="s">
        <v>303</v>
      </c>
      <c r="B13" s="2" t="s">
        <v>88</v>
      </c>
      <c r="C13" s="2">
        <v>794.7</v>
      </c>
      <c r="D13" s="2">
        <v>267</v>
      </c>
      <c r="E13" s="2">
        <v>-1.48</v>
      </c>
      <c r="F13" s="2">
        <v>3.4</v>
      </c>
      <c r="G13" s="2">
        <v>0.97</v>
      </c>
      <c r="H13" s="2">
        <f t="shared" si="0"/>
        <v>-2.1799999999999997</v>
      </c>
    </row>
    <row r="14" spans="1:8" x14ac:dyDescent="0.25">
      <c r="A14" s="2" t="s">
        <v>304</v>
      </c>
      <c r="B14" s="2" t="s">
        <v>105</v>
      </c>
      <c r="C14" s="2">
        <v>752.5</v>
      </c>
      <c r="D14" s="2">
        <v>253</v>
      </c>
      <c r="E14" s="2">
        <v>-0.55000000000000004</v>
      </c>
      <c r="F14" s="2">
        <v>3.95</v>
      </c>
      <c r="G14" s="2">
        <v>0.97</v>
      </c>
      <c r="H14" s="2">
        <f t="shared" si="0"/>
        <v>-1.25</v>
      </c>
    </row>
    <row r="15" spans="1:8" x14ac:dyDescent="0.25">
      <c r="A15" s="2" t="s">
        <v>305</v>
      </c>
      <c r="B15" s="2" t="s">
        <v>123</v>
      </c>
      <c r="C15" s="2">
        <v>153.6</v>
      </c>
      <c r="D15" s="2">
        <v>46</v>
      </c>
      <c r="E15" s="2">
        <v>0.43</v>
      </c>
      <c r="F15" s="2">
        <v>2.93</v>
      </c>
      <c r="G15" s="2">
        <v>1.04</v>
      </c>
      <c r="H15" s="2">
        <f t="shared" si="0"/>
        <v>-0.26999999999999996</v>
      </c>
    </row>
    <row r="16" spans="1:8" x14ac:dyDescent="0.25">
      <c r="A16" s="2" t="s">
        <v>306</v>
      </c>
      <c r="B16" s="2" t="s">
        <v>130</v>
      </c>
      <c r="C16" s="2">
        <v>273.39999999999998</v>
      </c>
      <c r="D16" s="2">
        <v>58</v>
      </c>
      <c r="E16" s="2">
        <v>2.66</v>
      </c>
      <c r="F16" s="2">
        <v>5.16</v>
      </c>
      <c r="G16" s="2">
        <v>1.31</v>
      </c>
      <c r="H16" s="2">
        <f t="shared" si="0"/>
        <v>1.9600000000000002</v>
      </c>
    </row>
    <row r="17" spans="1:8" x14ac:dyDescent="0.25">
      <c r="A17" s="2"/>
      <c r="B17" s="2"/>
      <c r="C17" s="2"/>
      <c r="D17" s="2"/>
      <c r="E17" s="2"/>
      <c r="F17" s="2"/>
      <c r="G17" s="2"/>
      <c r="H17" s="2"/>
    </row>
    <row r="18" spans="1:8" x14ac:dyDescent="0.25">
      <c r="A18" s="2" t="s">
        <v>307</v>
      </c>
      <c r="B18" s="4">
        <v>0.7</v>
      </c>
      <c r="C18" s="2"/>
      <c r="D18" s="2"/>
      <c r="E18" s="2"/>
      <c r="F18" s="2"/>
      <c r="G18" s="2"/>
      <c r="H18" s="2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63"/>
  <sheetViews>
    <sheetView workbookViewId="0">
      <pane xSplit="4" ySplit="1" topLeftCell="E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5" customWidth="1"/>
    <col min="2" max="2" width="18" customWidth="1"/>
    <col min="3" max="3" width="13" customWidth="1"/>
    <col min="4" max="4" width="12" customWidth="1"/>
    <col min="5" max="5" width="10" customWidth="1"/>
    <col min="6" max="7" width="11" customWidth="1"/>
    <col min="8" max="8" width="10" customWidth="1"/>
    <col min="9" max="9" width="7" customWidth="1"/>
    <col min="10" max="11" width="9" customWidth="1"/>
    <col min="12" max="12" width="15" customWidth="1"/>
    <col min="13" max="14" width="11" customWidth="1"/>
    <col min="15" max="15" width="10" customWidth="1"/>
    <col min="16" max="16" width="9" customWidth="1"/>
    <col min="17" max="18" width="10" customWidth="1"/>
    <col min="19" max="19" width="9" customWidth="1"/>
    <col min="20" max="20" width="10" customWidth="1"/>
    <col min="21" max="21" width="12" customWidth="1"/>
    <col min="22" max="22" width="20" customWidth="1"/>
    <col min="23" max="23" width="9" customWidth="1"/>
    <col min="24" max="24" width="10" customWidth="1"/>
    <col min="25" max="26" width="11" customWidth="1"/>
  </cols>
  <sheetData>
    <row r="1" spans="1:26" ht="42" customHeight="1" x14ac:dyDescent="0.25">
      <c r="A1" s="3" t="s">
        <v>308</v>
      </c>
      <c r="B1" s="3" t="s">
        <v>309</v>
      </c>
      <c r="C1" s="3" t="s">
        <v>11</v>
      </c>
      <c r="D1" s="3" t="s">
        <v>10</v>
      </c>
      <c r="E1" s="3" t="s">
        <v>310</v>
      </c>
      <c r="F1" s="3" t="s">
        <v>20</v>
      </c>
      <c r="G1" s="3" t="s">
        <v>311</v>
      </c>
      <c r="H1" s="3" t="s">
        <v>312</v>
      </c>
      <c r="I1" s="3" t="s">
        <v>313</v>
      </c>
      <c r="J1" s="3" t="s">
        <v>314</v>
      </c>
      <c r="K1" s="3" t="s">
        <v>315</v>
      </c>
      <c r="L1" s="3" t="s">
        <v>316</v>
      </c>
      <c r="M1" s="3" t="s">
        <v>317</v>
      </c>
      <c r="N1" s="3" t="s">
        <v>318</v>
      </c>
      <c r="O1" s="3" t="s">
        <v>14</v>
      </c>
      <c r="P1" s="3" t="s">
        <v>319</v>
      </c>
      <c r="Q1" s="3" t="s">
        <v>320</v>
      </c>
      <c r="R1" s="3" t="s">
        <v>321</v>
      </c>
      <c r="S1" s="3" t="s">
        <v>322</v>
      </c>
      <c r="T1" s="3" t="s">
        <v>323</v>
      </c>
      <c r="U1" s="3" t="s">
        <v>324</v>
      </c>
      <c r="V1" s="3" t="s">
        <v>325</v>
      </c>
      <c r="W1" s="3" t="s">
        <v>326</v>
      </c>
      <c r="X1" s="3" t="s">
        <v>327</v>
      </c>
      <c r="Y1" s="3" t="s">
        <v>328</v>
      </c>
      <c r="Z1" s="3" t="s">
        <v>329</v>
      </c>
    </row>
    <row r="2" spans="1:26" x14ac:dyDescent="0.25">
      <c r="A2" s="2">
        <v>1</v>
      </c>
      <c r="B2" s="2" t="s">
        <v>330</v>
      </c>
      <c r="C2" s="2" t="s">
        <v>24</v>
      </c>
      <c r="D2" s="2" t="s">
        <v>31</v>
      </c>
      <c r="E2" s="2">
        <v>8194.5</v>
      </c>
      <c r="F2" s="2">
        <v>299.39999999999998</v>
      </c>
      <c r="G2" s="2">
        <v>89.5</v>
      </c>
      <c r="H2" s="2">
        <v>3</v>
      </c>
      <c r="I2" s="2">
        <v>23</v>
      </c>
      <c r="J2" s="2">
        <v>4</v>
      </c>
      <c r="K2" s="2">
        <v>3</v>
      </c>
      <c r="L2" s="2" t="str">
        <f t="shared" ref="L2:L33" si="0">I2&amp;" x "&amp;TEXT(J2,"0")&amp;" x "&amp;TEXT(K2,"0.0")</f>
        <v>23 x 4 x 3.0</v>
      </c>
      <c r="M2" s="2">
        <f t="shared" ref="M2:M33" si="1">I2*J2+(I2+1)*0.25</f>
        <v>98</v>
      </c>
      <c r="N2" s="2">
        <v>32</v>
      </c>
      <c r="O2" s="2">
        <v>2.3E-3</v>
      </c>
      <c r="P2" s="2">
        <v>1</v>
      </c>
      <c r="Q2" s="2">
        <v>1.97</v>
      </c>
      <c r="R2" s="2">
        <f t="shared" ref="R2:R33" si="2">Q2/K2</f>
        <v>0.65666666666666662</v>
      </c>
      <c r="S2" s="2" t="s">
        <v>331</v>
      </c>
      <c r="T2" s="2">
        <v>1.57</v>
      </c>
      <c r="U2" s="2" t="s">
        <v>332</v>
      </c>
      <c r="V2" s="2" t="s">
        <v>333</v>
      </c>
      <c r="W2" s="2">
        <v>0</v>
      </c>
      <c r="X2" s="2">
        <v>0</v>
      </c>
      <c r="Y2" s="2">
        <v>0</v>
      </c>
      <c r="Z2" s="2">
        <v>0</v>
      </c>
    </row>
    <row r="3" spans="1:26" x14ac:dyDescent="0.25">
      <c r="A3" s="2">
        <v>2</v>
      </c>
      <c r="B3" s="2" t="s">
        <v>334</v>
      </c>
      <c r="C3" s="2" t="s">
        <v>24</v>
      </c>
      <c r="D3" s="2" t="s">
        <v>29</v>
      </c>
      <c r="E3" s="2">
        <v>6398.2</v>
      </c>
      <c r="F3" s="2">
        <v>173.7</v>
      </c>
      <c r="G3" s="2">
        <v>60.5</v>
      </c>
      <c r="H3" s="2">
        <v>2.5</v>
      </c>
      <c r="I3" s="2">
        <v>16</v>
      </c>
      <c r="J3" s="2">
        <v>4</v>
      </c>
      <c r="K3" s="2">
        <v>2.5</v>
      </c>
      <c r="L3" s="2" t="str">
        <f t="shared" si="0"/>
        <v>16 x 4 x 2.5</v>
      </c>
      <c r="M3" s="2">
        <f t="shared" si="1"/>
        <v>68.25</v>
      </c>
      <c r="N3" s="2">
        <v>45</v>
      </c>
      <c r="O3" s="2">
        <v>1E-3</v>
      </c>
      <c r="P3" s="2">
        <v>4.5999999999999996</v>
      </c>
      <c r="Q3" s="2">
        <v>1.86</v>
      </c>
      <c r="R3" s="2">
        <f t="shared" si="2"/>
        <v>0.74399999999999999</v>
      </c>
      <c r="S3" s="2" t="s">
        <v>331</v>
      </c>
      <c r="T3" s="2">
        <v>1.87</v>
      </c>
      <c r="U3" s="2" t="s">
        <v>335</v>
      </c>
      <c r="V3" s="2" t="s">
        <v>336</v>
      </c>
      <c r="W3" s="2">
        <v>1</v>
      </c>
      <c r="X3" s="2">
        <v>1</v>
      </c>
      <c r="Y3" s="2">
        <v>2</v>
      </c>
      <c r="Z3" s="2">
        <v>2</v>
      </c>
    </row>
    <row r="4" spans="1:26" x14ac:dyDescent="0.25">
      <c r="A4" s="2">
        <v>3</v>
      </c>
      <c r="B4" s="2" t="s">
        <v>337</v>
      </c>
      <c r="C4" s="2" t="s">
        <v>24</v>
      </c>
      <c r="D4" s="2" t="s">
        <v>26</v>
      </c>
      <c r="E4" s="2">
        <v>3070.8</v>
      </c>
      <c r="F4" s="2">
        <v>173.7</v>
      </c>
      <c r="G4" s="2">
        <v>29</v>
      </c>
      <c r="H4" s="2">
        <v>2.5</v>
      </c>
      <c r="I4" s="2">
        <v>8</v>
      </c>
      <c r="J4" s="2">
        <v>4</v>
      </c>
      <c r="K4" s="2">
        <v>2.5</v>
      </c>
      <c r="L4" s="2" t="str">
        <f t="shared" si="0"/>
        <v>8 x 4 x 2.5</v>
      </c>
      <c r="M4" s="2">
        <f t="shared" si="1"/>
        <v>34.25</v>
      </c>
      <c r="N4" s="2">
        <v>45</v>
      </c>
      <c r="O4" s="2">
        <v>5.7999999999999996E-3</v>
      </c>
      <c r="P4" s="2">
        <v>0.3</v>
      </c>
      <c r="Q4" s="2">
        <v>2.25</v>
      </c>
      <c r="R4" s="2">
        <f t="shared" si="2"/>
        <v>0.9</v>
      </c>
      <c r="S4" s="2" t="s">
        <v>338</v>
      </c>
      <c r="T4" s="2">
        <v>1.75</v>
      </c>
      <c r="U4" s="2" t="s">
        <v>332</v>
      </c>
      <c r="V4" s="2" t="s">
        <v>333</v>
      </c>
      <c r="W4" s="2">
        <v>0</v>
      </c>
      <c r="X4" s="2">
        <v>0</v>
      </c>
      <c r="Y4" s="2">
        <v>0</v>
      </c>
      <c r="Z4" s="2">
        <v>0</v>
      </c>
    </row>
    <row r="5" spans="1:26" x14ac:dyDescent="0.25">
      <c r="A5" s="2">
        <v>4</v>
      </c>
      <c r="B5" s="2" t="s">
        <v>334</v>
      </c>
      <c r="C5" s="2" t="s">
        <v>33</v>
      </c>
      <c r="D5" s="2" t="s">
        <v>40</v>
      </c>
      <c r="E5" s="2">
        <v>7119.6</v>
      </c>
      <c r="F5" s="2">
        <v>215.3</v>
      </c>
      <c r="G5" s="2">
        <v>54</v>
      </c>
      <c r="H5" s="2">
        <v>2.5</v>
      </c>
      <c r="I5" s="2">
        <v>14</v>
      </c>
      <c r="J5" s="2">
        <v>4</v>
      </c>
      <c r="K5" s="2">
        <v>2.5</v>
      </c>
      <c r="L5" s="2" t="str">
        <f t="shared" si="0"/>
        <v>14 x 4 x 2.5</v>
      </c>
      <c r="M5" s="2">
        <f t="shared" si="1"/>
        <v>59.75</v>
      </c>
      <c r="N5" s="2">
        <v>45</v>
      </c>
      <c r="O5" s="2">
        <v>1.9E-3</v>
      </c>
      <c r="P5" s="2">
        <v>21.5</v>
      </c>
      <c r="Q5" s="2">
        <v>1.86</v>
      </c>
      <c r="R5" s="2">
        <f t="shared" si="2"/>
        <v>0.74399999999999999</v>
      </c>
      <c r="S5" s="2" t="s">
        <v>331</v>
      </c>
      <c r="T5" s="2">
        <v>1.87</v>
      </c>
      <c r="U5" s="2" t="s">
        <v>335</v>
      </c>
      <c r="V5" s="2" t="s">
        <v>339</v>
      </c>
      <c r="W5" s="2">
        <v>11</v>
      </c>
      <c r="X5" s="2">
        <v>1</v>
      </c>
      <c r="Y5" s="2">
        <v>22</v>
      </c>
      <c r="Z5" s="2">
        <v>1</v>
      </c>
    </row>
    <row r="6" spans="1:26" x14ac:dyDescent="0.25">
      <c r="A6" s="2">
        <v>5</v>
      </c>
      <c r="B6" s="2" t="s">
        <v>337</v>
      </c>
      <c r="C6" s="2" t="s">
        <v>33</v>
      </c>
      <c r="D6" s="2" t="s">
        <v>36</v>
      </c>
      <c r="E6" s="2">
        <v>3345.8</v>
      </c>
      <c r="F6" s="2">
        <v>131.9</v>
      </c>
      <c r="G6" s="2">
        <v>30.5</v>
      </c>
      <c r="H6" s="2">
        <v>2.5</v>
      </c>
      <c r="I6" s="2">
        <v>8</v>
      </c>
      <c r="J6" s="2">
        <v>4</v>
      </c>
      <c r="K6" s="2">
        <v>2.5</v>
      </c>
      <c r="L6" s="2" t="str">
        <f t="shared" si="0"/>
        <v>8 x 4 x 2.5</v>
      </c>
      <c r="M6" s="2">
        <f t="shared" si="1"/>
        <v>34.25</v>
      </c>
      <c r="N6" s="2">
        <v>45</v>
      </c>
      <c r="O6" s="2">
        <v>2.3999999999999998E-3</v>
      </c>
      <c r="P6" s="2">
        <v>1.6</v>
      </c>
      <c r="Q6" s="2">
        <v>1.87</v>
      </c>
      <c r="R6" s="2">
        <f t="shared" si="2"/>
        <v>0.748</v>
      </c>
      <c r="S6" s="2" t="s">
        <v>338</v>
      </c>
      <c r="T6" s="2">
        <v>1.87</v>
      </c>
      <c r="U6" s="2" t="s">
        <v>332</v>
      </c>
      <c r="V6" s="2" t="s">
        <v>333</v>
      </c>
      <c r="W6" s="2">
        <v>0</v>
      </c>
      <c r="X6" s="2">
        <v>0</v>
      </c>
      <c r="Y6" s="2">
        <v>0</v>
      </c>
      <c r="Z6" s="2">
        <v>0</v>
      </c>
    </row>
    <row r="7" spans="1:26" x14ac:dyDescent="0.25">
      <c r="A7" s="2">
        <v>6</v>
      </c>
      <c r="B7" s="2" t="s">
        <v>334</v>
      </c>
      <c r="C7" s="2" t="s">
        <v>48</v>
      </c>
      <c r="D7" s="2" t="s">
        <v>54</v>
      </c>
      <c r="E7" s="2">
        <v>6769.7</v>
      </c>
      <c r="F7" s="2">
        <v>198.9</v>
      </c>
      <c r="G7" s="2">
        <v>44.5</v>
      </c>
      <c r="H7" s="2">
        <v>2.5</v>
      </c>
      <c r="I7" s="2">
        <v>12</v>
      </c>
      <c r="J7" s="2">
        <v>4</v>
      </c>
      <c r="K7" s="2">
        <v>2.5</v>
      </c>
      <c r="L7" s="2" t="str">
        <f t="shared" si="0"/>
        <v>12 x 4 x 2.5</v>
      </c>
      <c r="M7" s="2">
        <f t="shared" si="1"/>
        <v>51.25</v>
      </c>
      <c r="N7" s="2">
        <v>45</v>
      </c>
      <c r="O7" s="2">
        <v>3.5999999999999999E-3</v>
      </c>
      <c r="P7" s="2">
        <v>43.2</v>
      </c>
      <c r="Q7" s="2">
        <v>1.87</v>
      </c>
      <c r="R7" s="2">
        <f t="shared" si="2"/>
        <v>0.748</v>
      </c>
      <c r="S7" s="2" t="s">
        <v>338</v>
      </c>
      <c r="T7" s="2">
        <v>1.66</v>
      </c>
      <c r="U7" s="2" t="s">
        <v>332</v>
      </c>
      <c r="V7" s="2" t="s">
        <v>333</v>
      </c>
      <c r="W7" s="2">
        <v>0</v>
      </c>
      <c r="X7" s="2">
        <v>0</v>
      </c>
      <c r="Y7" s="2">
        <v>0</v>
      </c>
      <c r="Z7" s="2">
        <v>0</v>
      </c>
    </row>
    <row r="8" spans="1:26" x14ac:dyDescent="0.25">
      <c r="A8" s="2">
        <v>7</v>
      </c>
      <c r="B8" s="2" t="s">
        <v>337</v>
      </c>
      <c r="C8" s="2" t="s">
        <v>48</v>
      </c>
      <c r="D8" s="2" t="s">
        <v>50</v>
      </c>
      <c r="E8" s="2">
        <v>3023.4</v>
      </c>
      <c r="F8" s="2">
        <v>114.8</v>
      </c>
      <c r="G8" s="2">
        <v>20.5</v>
      </c>
      <c r="H8" s="2">
        <v>2.5</v>
      </c>
      <c r="I8" s="2">
        <v>6</v>
      </c>
      <c r="J8" s="2">
        <v>4</v>
      </c>
      <c r="K8" s="2">
        <v>2.5</v>
      </c>
      <c r="L8" s="2" t="str">
        <f t="shared" si="0"/>
        <v>6 x 4 x 2.5</v>
      </c>
      <c r="M8" s="2">
        <f t="shared" si="1"/>
        <v>25.75</v>
      </c>
      <c r="N8" s="2">
        <v>45</v>
      </c>
      <c r="O8" s="2">
        <v>4.4999999999999997E-3</v>
      </c>
      <c r="P8" s="2">
        <v>13.8</v>
      </c>
      <c r="Q8" s="2">
        <v>2.06</v>
      </c>
      <c r="R8" s="2">
        <f t="shared" si="2"/>
        <v>0.82400000000000007</v>
      </c>
      <c r="S8" s="2" t="s">
        <v>338</v>
      </c>
      <c r="T8" s="2">
        <v>1.85</v>
      </c>
      <c r="U8" s="2" t="s">
        <v>332</v>
      </c>
      <c r="V8" s="2" t="s">
        <v>333</v>
      </c>
      <c r="W8" s="2">
        <v>0</v>
      </c>
      <c r="X8" s="2">
        <v>0</v>
      </c>
      <c r="Y8" s="2">
        <v>0</v>
      </c>
      <c r="Z8" s="2">
        <v>0</v>
      </c>
    </row>
    <row r="9" spans="1:26" x14ac:dyDescent="0.25">
      <c r="A9" s="2">
        <v>8</v>
      </c>
      <c r="B9" s="2" t="s">
        <v>330</v>
      </c>
      <c r="C9" s="2" t="s">
        <v>58</v>
      </c>
      <c r="D9" s="2" t="s">
        <v>63</v>
      </c>
      <c r="E9" s="2">
        <v>6507.5</v>
      </c>
      <c r="F9" s="2">
        <v>79.900000000000006</v>
      </c>
      <c r="G9" s="2">
        <v>29</v>
      </c>
      <c r="H9" s="2">
        <v>2.5</v>
      </c>
      <c r="I9" s="2">
        <v>8</v>
      </c>
      <c r="J9" s="2">
        <v>4</v>
      </c>
      <c r="K9" s="2">
        <v>2.5</v>
      </c>
      <c r="L9" s="2" t="str">
        <f t="shared" si="0"/>
        <v>8 x 4 x 2.5</v>
      </c>
      <c r="M9" s="2">
        <f t="shared" si="1"/>
        <v>34.25</v>
      </c>
      <c r="N9" s="2">
        <v>32</v>
      </c>
      <c r="O9" s="2">
        <v>1E-3</v>
      </c>
      <c r="P9" s="2">
        <v>9.5</v>
      </c>
      <c r="Q9" s="2">
        <v>1.87</v>
      </c>
      <c r="R9" s="2">
        <f t="shared" si="2"/>
        <v>0.748</v>
      </c>
      <c r="S9" s="2" t="s">
        <v>331</v>
      </c>
      <c r="T9" s="2">
        <v>1.87</v>
      </c>
      <c r="U9" s="2" t="s">
        <v>332</v>
      </c>
      <c r="V9" s="2" t="s">
        <v>333</v>
      </c>
      <c r="W9" s="2">
        <v>0</v>
      </c>
      <c r="X9" s="2">
        <v>0</v>
      </c>
      <c r="Y9" s="2">
        <v>0</v>
      </c>
      <c r="Z9" s="2">
        <v>0</v>
      </c>
    </row>
    <row r="10" spans="1:26" x14ac:dyDescent="0.25">
      <c r="A10" s="2">
        <v>9</v>
      </c>
      <c r="B10" s="2" t="s">
        <v>334</v>
      </c>
      <c r="C10" s="2" t="s">
        <v>58</v>
      </c>
      <c r="D10" s="2" t="s">
        <v>62</v>
      </c>
      <c r="E10" s="2">
        <v>4562.3</v>
      </c>
      <c r="F10" s="2">
        <v>79.900000000000006</v>
      </c>
      <c r="G10" s="2">
        <v>19.5</v>
      </c>
      <c r="H10" s="2">
        <v>2.5</v>
      </c>
      <c r="I10" s="2">
        <v>5</v>
      </c>
      <c r="J10" s="2">
        <v>4</v>
      </c>
      <c r="K10" s="2">
        <v>2.5</v>
      </c>
      <c r="L10" s="2" t="str">
        <f t="shared" si="0"/>
        <v>5 x 4 x 2.5</v>
      </c>
      <c r="M10" s="2">
        <f t="shared" si="1"/>
        <v>21.5</v>
      </c>
      <c r="N10" s="2">
        <v>45</v>
      </c>
      <c r="O10" s="2">
        <v>7.0000000000000001E-3</v>
      </c>
      <c r="P10" s="2">
        <v>10.199999999999999</v>
      </c>
      <c r="Q10" s="2">
        <v>1.82</v>
      </c>
      <c r="R10" s="2">
        <f t="shared" si="2"/>
        <v>0.72799999999999998</v>
      </c>
      <c r="S10" s="2" t="s">
        <v>338</v>
      </c>
      <c r="T10" s="2">
        <v>1.32</v>
      </c>
      <c r="U10" s="2" t="s">
        <v>332</v>
      </c>
      <c r="V10" s="2" t="s">
        <v>333</v>
      </c>
      <c r="W10" s="2">
        <v>0</v>
      </c>
      <c r="X10" s="2">
        <v>0</v>
      </c>
      <c r="Y10" s="2">
        <v>0</v>
      </c>
      <c r="Z10" s="2">
        <v>0</v>
      </c>
    </row>
    <row r="11" spans="1:26" x14ac:dyDescent="0.25">
      <c r="A11" s="2">
        <v>10</v>
      </c>
      <c r="B11" s="2" t="s">
        <v>337</v>
      </c>
      <c r="C11" s="2" t="s">
        <v>58</v>
      </c>
      <c r="D11" s="2" t="s">
        <v>57</v>
      </c>
      <c r="E11" s="2">
        <v>1169.2</v>
      </c>
      <c r="F11" s="2">
        <v>65.900000000000006</v>
      </c>
      <c r="G11" s="2">
        <v>12.5</v>
      </c>
      <c r="H11" s="2">
        <v>2.5</v>
      </c>
      <c r="I11" s="2">
        <v>4</v>
      </c>
      <c r="J11" s="2">
        <v>4</v>
      </c>
      <c r="K11" s="2">
        <v>2.5</v>
      </c>
      <c r="L11" s="2" t="str">
        <f t="shared" si="0"/>
        <v>4 x 4 x 2.5</v>
      </c>
      <c r="M11" s="2">
        <f t="shared" si="1"/>
        <v>17.25</v>
      </c>
      <c r="N11" s="2">
        <v>45</v>
      </c>
      <c r="O11" s="2">
        <v>4.4999999999999997E-3</v>
      </c>
      <c r="P11" s="2">
        <v>2.1</v>
      </c>
      <c r="Q11" s="2">
        <v>1.86</v>
      </c>
      <c r="R11" s="2">
        <f t="shared" si="2"/>
        <v>0.74399999999999999</v>
      </c>
      <c r="S11" s="2" t="s">
        <v>338</v>
      </c>
      <c r="T11" s="2">
        <v>1.86</v>
      </c>
      <c r="U11" s="2" t="s">
        <v>332</v>
      </c>
      <c r="V11" s="2" t="s">
        <v>333</v>
      </c>
      <c r="W11" s="2">
        <v>0</v>
      </c>
      <c r="X11" s="2">
        <v>0</v>
      </c>
      <c r="Y11" s="2">
        <v>0</v>
      </c>
      <c r="Z11" s="2">
        <v>0</v>
      </c>
    </row>
    <row r="12" spans="1:26" x14ac:dyDescent="0.25">
      <c r="A12" s="2">
        <v>11</v>
      </c>
      <c r="B12" s="2" t="s">
        <v>330</v>
      </c>
      <c r="C12" s="2" t="s">
        <v>65</v>
      </c>
      <c r="D12" s="2" t="s">
        <v>76</v>
      </c>
      <c r="E12" s="2">
        <v>8039.4</v>
      </c>
      <c r="F12" s="2">
        <v>996</v>
      </c>
      <c r="G12" s="2">
        <v>218.5</v>
      </c>
      <c r="H12" s="2">
        <v>3</v>
      </c>
      <c r="I12" s="2">
        <v>55</v>
      </c>
      <c r="J12" s="2">
        <v>4</v>
      </c>
      <c r="K12" s="2">
        <v>3</v>
      </c>
      <c r="L12" s="2" t="str">
        <f t="shared" si="0"/>
        <v>55 x 4 x 3.0</v>
      </c>
      <c r="M12" s="2">
        <f t="shared" si="1"/>
        <v>234</v>
      </c>
      <c r="N12" s="2">
        <v>32</v>
      </c>
      <c r="O12" s="2">
        <v>3.2000000000000002E-3</v>
      </c>
      <c r="P12" s="2">
        <v>16.7</v>
      </c>
      <c r="Q12" s="2">
        <v>2.1</v>
      </c>
      <c r="R12" s="2">
        <f t="shared" si="2"/>
        <v>0.70000000000000007</v>
      </c>
      <c r="S12" s="2" t="s">
        <v>331</v>
      </c>
      <c r="T12" s="2">
        <v>1.71</v>
      </c>
      <c r="U12" s="2" t="s">
        <v>332</v>
      </c>
      <c r="V12" s="2" t="s">
        <v>333</v>
      </c>
      <c r="W12" s="2">
        <v>0</v>
      </c>
      <c r="X12" s="2">
        <v>0</v>
      </c>
      <c r="Y12" s="2">
        <v>0</v>
      </c>
      <c r="Z12" s="2">
        <v>0</v>
      </c>
    </row>
    <row r="13" spans="1:26" x14ac:dyDescent="0.25">
      <c r="A13" s="2">
        <v>12</v>
      </c>
      <c r="B13" s="2" t="s">
        <v>334</v>
      </c>
      <c r="C13" s="2" t="s">
        <v>65</v>
      </c>
      <c r="D13" s="2" t="s">
        <v>75</v>
      </c>
      <c r="E13" s="2">
        <v>6695.6</v>
      </c>
      <c r="F13" s="2">
        <v>996</v>
      </c>
      <c r="G13" s="2">
        <v>218.5</v>
      </c>
      <c r="H13" s="2">
        <v>2.5</v>
      </c>
      <c r="I13" s="2">
        <v>55</v>
      </c>
      <c r="J13" s="2">
        <v>4</v>
      </c>
      <c r="K13" s="2">
        <v>2.5</v>
      </c>
      <c r="L13" s="2" t="str">
        <f t="shared" si="0"/>
        <v>55 x 4 x 2.5</v>
      </c>
      <c r="M13" s="2">
        <f t="shared" si="1"/>
        <v>234</v>
      </c>
      <c r="N13" s="2">
        <v>45</v>
      </c>
      <c r="O13" s="2">
        <v>2.3999999999999998E-3</v>
      </c>
      <c r="P13" s="2">
        <v>10</v>
      </c>
      <c r="Q13" s="2">
        <v>1.99</v>
      </c>
      <c r="R13" s="2">
        <f t="shared" si="2"/>
        <v>0.79600000000000004</v>
      </c>
      <c r="S13" s="2" t="s">
        <v>338</v>
      </c>
      <c r="T13" s="2">
        <v>1.87</v>
      </c>
      <c r="U13" s="2" t="s">
        <v>335</v>
      </c>
      <c r="V13" s="2" t="s">
        <v>340</v>
      </c>
      <c r="W13" s="2">
        <v>18</v>
      </c>
      <c r="X13" s="2">
        <v>1</v>
      </c>
      <c r="Y13" s="2">
        <v>72</v>
      </c>
      <c r="Z13" s="2">
        <v>1</v>
      </c>
    </row>
    <row r="14" spans="1:26" x14ac:dyDescent="0.25">
      <c r="A14" s="2">
        <v>13</v>
      </c>
      <c r="B14" s="2" t="s">
        <v>337</v>
      </c>
      <c r="C14" s="2" t="s">
        <v>65</v>
      </c>
      <c r="D14" s="2" t="s">
        <v>68</v>
      </c>
      <c r="E14" s="2">
        <v>2964</v>
      </c>
      <c r="F14" s="2">
        <v>916.7</v>
      </c>
      <c r="G14" s="2">
        <v>179.5</v>
      </c>
      <c r="H14" s="2">
        <v>2.5</v>
      </c>
      <c r="I14" s="2">
        <v>45</v>
      </c>
      <c r="J14" s="2">
        <v>4</v>
      </c>
      <c r="K14" s="2">
        <v>2.5</v>
      </c>
      <c r="L14" s="2" t="str">
        <f t="shared" si="0"/>
        <v>45 x 4 x 2.5</v>
      </c>
      <c r="M14" s="2">
        <f t="shared" si="1"/>
        <v>191.5</v>
      </c>
      <c r="N14" s="2">
        <v>45</v>
      </c>
      <c r="O14" s="2">
        <v>3.0000000000000001E-3</v>
      </c>
      <c r="P14" s="2">
        <v>2.8</v>
      </c>
      <c r="Q14" s="2">
        <v>2.15</v>
      </c>
      <c r="R14" s="2">
        <f t="shared" si="2"/>
        <v>0.86</v>
      </c>
      <c r="S14" s="2" t="s">
        <v>338</v>
      </c>
      <c r="T14" s="2">
        <v>1.87</v>
      </c>
      <c r="U14" s="2" t="s">
        <v>332</v>
      </c>
      <c r="V14" s="2" t="s">
        <v>333</v>
      </c>
      <c r="W14" s="2">
        <v>0</v>
      </c>
      <c r="X14" s="2">
        <v>0</v>
      </c>
      <c r="Y14" s="2">
        <v>0</v>
      </c>
      <c r="Z14" s="2">
        <v>0</v>
      </c>
    </row>
    <row r="15" spans="1:26" x14ac:dyDescent="0.25">
      <c r="A15" s="2">
        <v>14</v>
      </c>
      <c r="B15" s="2" t="s">
        <v>337</v>
      </c>
      <c r="C15" s="2" t="s">
        <v>78</v>
      </c>
      <c r="D15" s="2" t="s">
        <v>83</v>
      </c>
      <c r="E15" s="2">
        <v>8933.1</v>
      </c>
      <c r="F15" s="2">
        <v>637.1</v>
      </c>
      <c r="G15" s="2">
        <v>100</v>
      </c>
      <c r="H15" s="2">
        <v>2.5</v>
      </c>
      <c r="I15" s="2">
        <v>25</v>
      </c>
      <c r="J15" s="2">
        <v>4</v>
      </c>
      <c r="K15" s="2">
        <v>2.5</v>
      </c>
      <c r="L15" s="2" t="str">
        <f t="shared" si="0"/>
        <v>25 x 4 x 2.5</v>
      </c>
      <c r="M15" s="2">
        <f t="shared" si="1"/>
        <v>106.5</v>
      </c>
      <c r="N15" s="2">
        <v>45</v>
      </c>
      <c r="O15" s="2">
        <v>4.7000000000000002E-3</v>
      </c>
      <c r="P15" s="2">
        <v>14.8</v>
      </c>
      <c r="Q15" s="2">
        <v>2.5099999999999998</v>
      </c>
      <c r="R15" s="2">
        <f t="shared" si="2"/>
        <v>1.004</v>
      </c>
      <c r="S15" s="2" t="s">
        <v>338</v>
      </c>
      <c r="T15" s="2">
        <v>1.87</v>
      </c>
      <c r="U15" s="2" t="s">
        <v>332</v>
      </c>
      <c r="V15" s="2" t="s">
        <v>333</v>
      </c>
      <c r="W15" s="2">
        <v>0</v>
      </c>
      <c r="X15" s="2">
        <v>0</v>
      </c>
      <c r="Y15" s="2">
        <v>0</v>
      </c>
      <c r="Z15" s="2">
        <v>0</v>
      </c>
    </row>
    <row r="16" spans="1:26" x14ac:dyDescent="0.25">
      <c r="A16" s="2">
        <v>15</v>
      </c>
      <c r="B16" s="2" t="s">
        <v>330</v>
      </c>
      <c r="C16" s="2" t="s">
        <v>88</v>
      </c>
      <c r="D16" s="2" t="s">
        <v>103</v>
      </c>
      <c r="E16" s="2">
        <v>13878.4</v>
      </c>
      <c r="F16" s="2">
        <v>794.7</v>
      </c>
      <c r="G16" s="2">
        <v>267</v>
      </c>
      <c r="H16" s="2">
        <v>2.5</v>
      </c>
      <c r="I16" s="2">
        <v>67</v>
      </c>
      <c r="J16" s="2">
        <v>4</v>
      </c>
      <c r="K16" s="2">
        <v>2.5</v>
      </c>
      <c r="L16" s="2" t="str">
        <f t="shared" si="0"/>
        <v>67 x 4 x 2.5</v>
      </c>
      <c r="M16" s="2">
        <f t="shared" si="1"/>
        <v>285</v>
      </c>
      <c r="N16" s="2">
        <v>32</v>
      </c>
      <c r="O16" s="2">
        <v>1E-3</v>
      </c>
      <c r="P16" s="2">
        <v>1.9</v>
      </c>
      <c r="Q16" s="2">
        <v>1.89</v>
      </c>
      <c r="R16" s="2">
        <f t="shared" si="2"/>
        <v>0.75600000000000001</v>
      </c>
      <c r="S16" s="2" t="s">
        <v>331</v>
      </c>
      <c r="T16" s="2">
        <v>1.87</v>
      </c>
      <c r="U16" s="2" t="s">
        <v>332</v>
      </c>
      <c r="V16" s="2" t="s">
        <v>333</v>
      </c>
      <c r="W16" s="2">
        <v>0</v>
      </c>
      <c r="X16" s="2">
        <v>0</v>
      </c>
      <c r="Y16" s="2">
        <v>0</v>
      </c>
      <c r="Z16" s="2">
        <v>0</v>
      </c>
    </row>
    <row r="17" spans="1:26" x14ac:dyDescent="0.25">
      <c r="A17" s="2">
        <v>16</v>
      </c>
      <c r="B17" s="2" t="s">
        <v>334</v>
      </c>
      <c r="C17" s="2" t="s">
        <v>88</v>
      </c>
      <c r="D17" s="2" t="s">
        <v>97</v>
      </c>
      <c r="E17" s="2">
        <v>10760.6</v>
      </c>
      <c r="F17" s="2">
        <v>347.7</v>
      </c>
      <c r="G17" s="2">
        <v>65</v>
      </c>
      <c r="H17" s="2">
        <v>2.5</v>
      </c>
      <c r="I17" s="2">
        <v>17</v>
      </c>
      <c r="J17" s="2">
        <v>4</v>
      </c>
      <c r="K17" s="2">
        <v>2.5</v>
      </c>
      <c r="L17" s="2" t="str">
        <f t="shared" si="0"/>
        <v>17 x 4 x 2.5</v>
      </c>
      <c r="M17" s="2">
        <f t="shared" si="1"/>
        <v>72.5</v>
      </c>
      <c r="N17" s="2">
        <v>45</v>
      </c>
      <c r="O17" s="2">
        <v>4.1000000000000003E-3</v>
      </c>
      <c r="P17" s="2">
        <v>5</v>
      </c>
      <c r="Q17" s="2">
        <v>2.16</v>
      </c>
      <c r="R17" s="2">
        <f t="shared" si="2"/>
        <v>0.8640000000000001</v>
      </c>
      <c r="S17" s="2" t="s">
        <v>338</v>
      </c>
      <c r="T17" s="2">
        <v>1.77</v>
      </c>
      <c r="U17" s="2" t="s">
        <v>335</v>
      </c>
      <c r="V17" s="2" t="s">
        <v>341</v>
      </c>
      <c r="W17" s="2">
        <v>2</v>
      </c>
      <c r="X17" s="2">
        <v>1</v>
      </c>
      <c r="Y17" s="2">
        <v>4</v>
      </c>
      <c r="Z17" s="2">
        <v>1</v>
      </c>
    </row>
    <row r="18" spans="1:26" x14ac:dyDescent="0.25">
      <c r="A18" s="2">
        <v>17</v>
      </c>
      <c r="B18" s="2" t="s">
        <v>337</v>
      </c>
      <c r="C18" s="2" t="s">
        <v>88</v>
      </c>
      <c r="D18" s="2" t="s">
        <v>94</v>
      </c>
      <c r="E18" s="2">
        <v>8414.1</v>
      </c>
      <c r="F18" s="2">
        <v>327.39999999999998</v>
      </c>
      <c r="G18" s="2">
        <v>65</v>
      </c>
      <c r="H18" s="2">
        <v>2.5</v>
      </c>
      <c r="I18" s="2">
        <v>17</v>
      </c>
      <c r="J18" s="2">
        <v>4</v>
      </c>
      <c r="K18" s="2">
        <v>2.5</v>
      </c>
      <c r="L18" s="2" t="str">
        <f t="shared" si="0"/>
        <v>17 x 4 x 2.5</v>
      </c>
      <c r="M18" s="2">
        <f t="shared" si="1"/>
        <v>72.5</v>
      </c>
      <c r="N18" s="2">
        <v>45</v>
      </c>
      <c r="O18" s="2">
        <v>3.0999999999999999E-3</v>
      </c>
      <c r="P18" s="2">
        <v>37</v>
      </c>
      <c r="Q18" s="2">
        <v>2.0699999999999998</v>
      </c>
      <c r="R18" s="2">
        <f t="shared" si="2"/>
        <v>0.82799999999999996</v>
      </c>
      <c r="S18" s="2" t="s">
        <v>338</v>
      </c>
      <c r="T18" s="2">
        <v>1.87</v>
      </c>
      <c r="U18" s="2" t="s">
        <v>335</v>
      </c>
      <c r="V18" s="2" t="s">
        <v>342</v>
      </c>
      <c r="W18" s="2">
        <v>4</v>
      </c>
      <c r="X18" s="2">
        <v>1</v>
      </c>
      <c r="Y18" s="2">
        <v>8</v>
      </c>
      <c r="Z18" s="2">
        <v>1.5</v>
      </c>
    </row>
    <row r="19" spans="1:26" x14ac:dyDescent="0.25">
      <c r="A19" s="2">
        <v>18</v>
      </c>
      <c r="B19" s="2" t="s">
        <v>330</v>
      </c>
      <c r="C19" s="2" t="s">
        <v>105</v>
      </c>
      <c r="D19" s="2" t="s">
        <v>114</v>
      </c>
      <c r="E19" s="2">
        <v>8273.4</v>
      </c>
      <c r="F19" s="2">
        <v>752.5</v>
      </c>
      <c r="G19" s="2">
        <v>253</v>
      </c>
      <c r="H19" s="2">
        <v>2.5</v>
      </c>
      <c r="I19" s="2">
        <v>64</v>
      </c>
      <c r="J19" s="2">
        <v>4</v>
      </c>
      <c r="K19" s="2">
        <v>2.5</v>
      </c>
      <c r="L19" s="2" t="str">
        <f t="shared" si="0"/>
        <v>64 x 4 x 2.5</v>
      </c>
      <c r="M19" s="2">
        <f t="shared" si="1"/>
        <v>272.25</v>
      </c>
      <c r="N19" s="2">
        <v>32</v>
      </c>
      <c r="O19" s="2">
        <v>1E-3</v>
      </c>
      <c r="P19" s="2">
        <v>10.1</v>
      </c>
      <c r="Q19" s="2">
        <v>1.88</v>
      </c>
      <c r="R19" s="2">
        <f t="shared" si="2"/>
        <v>0.752</v>
      </c>
      <c r="S19" s="2" t="s">
        <v>331</v>
      </c>
      <c r="T19" s="2">
        <v>1.87</v>
      </c>
      <c r="U19" s="2" t="s">
        <v>332</v>
      </c>
      <c r="V19" s="2" t="s">
        <v>333</v>
      </c>
      <c r="W19" s="2">
        <v>0</v>
      </c>
      <c r="X19" s="2">
        <v>0</v>
      </c>
      <c r="Y19" s="2">
        <v>0</v>
      </c>
      <c r="Z19" s="2">
        <v>0</v>
      </c>
    </row>
    <row r="20" spans="1:26" x14ac:dyDescent="0.25">
      <c r="A20" s="2">
        <v>19</v>
      </c>
      <c r="B20" s="2" t="s">
        <v>334</v>
      </c>
      <c r="C20" s="2" t="s">
        <v>105</v>
      </c>
      <c r="D20" s="2" t="s">
        <v>109</v>
      </c>
      <c r="E20" s="2">
        <v>5334.4</v>
      </c>
      <c r="F20" s="2">
        <v>559.79999999999995</v>
      </c>
      <c r="G20" s="2">
        <v>116</v>
      </c>
      <c r="H20" s="2">
        <v>2.5</v>
      </c>
      <c r="I20" s="2">
        <v>29</v>
      </c>
      <c r="J20" s="2">
        <v>4</v>
      </c>
      <c r="K20" s="2">
        <v>2.5</v>
      </c>
      <c r="L20" s="2" t="str">
        <f t="shared" si="0"/>
        <v>29 x 4 x 2.5</v>
      </c>
      <c r="M20" s="2">
        <f t="shared" si="1"/>
        <v>123.5</v>
      </c>
      <c r="N20" s="2">
        <v>45</v>
      </c>
      <c r="O20" s="2">
        <v>3.7000000000000002E-3</v>
      </c>
      <c r="P20" s="2">
        <v>18.8</v>
      </c>
      <c r="Q20" s="2">
        <v>2.08</v>
      </c>
      <c r="R20" s="2">
        <f t="shared" si="2"/>
        <v>0.83200000000000007</v>
      </c>
      <c r="S20" s="2" t="s">
        <v>338</v>
      </c>
      <c r="T20" s="2">
        <v>1.71</v>
      </c>
      <c r="U20" s="2" t="s">
        <v>335</v>
      </c>
      <c r="V20" s="2" t="s">
        <v>343</v>
      </c>
      <c r="W20" s="2">
        <v>3</v>
      </c>
      <c r="X20" s="2">
        <v>1</v>
      </c>
      <c r="Y20" s="2">
        <v>6</v>
      </c>
      <c r="Z20" s="2">
        <v>1</v>
      </c>
    </row>
    <row r="21" spans="1:26" x14ac:dyDescent="0.25">
      <c r="A21" s="2">
        <v>20</v>
      </c>
      <c r="B21" s="2" t="s">
        <v>337</v>
      </c>
      <c r="C21" s="2" t="s">
        <v>105</v>
      </c>
      <c r="D21" s="2" t="s">
        <v>107</v>
      </c>
      <c r="E21" s="2">
        <v>2783.8</v>
      </c>
      <c r="F21" s="2">
        <v>554.4</v>
      </c>
      <c r="G21" s="2">
        <v>116</v>
      </c>
      <c r="H21" s="2">
        <v>2.5</v>
      </c>
      <c r="I21" s="2">
        <v>29</v>
      </c>
      <c r="J21" s="2">
        <v>4</v>
      </c>
      <c r="K21" s="2">
        <v>2.5</v>
      </c>
      <c r="L21" s="2" t="str">
        <f t="shared" si="0"/>
        <v>29 x 4 x 2.5</v>
      </c>
      <c r="M21" s="2">
        <f t="shared" si="1"/>
        <v>123.5</v>
      </c>
      <c r="N21" s="2">
        <v>45</v>
      </c>
      <c r="O21" s="2">
        <v>2.5999999999999999E-3</v>
      </c>
      <c r="P21" s="2">
        <v>16.100000000000001</v>
      </c>
      <c r="Q21" s="2">
        <v>2.06</v>
      </c>
      <c r="R21" s="2">
        <f t="shared" si="2"/>
        <v>0.82400000000000007</v>
      </c>
      <c r="S21" s="2" t="s">
        <v>338</v>
      </c>
      <c r="T21" s="2">
        <v>1.87</v>
      </c>
      <c r="U21" s="2" t="s">
        <v>332</v>
      </c>
      <c r="V21" s="2" t="s">
        <v>333</v>
      </c>
      <c r="W21" s="2">
        <v>0</v>
      </c>
      <c r="X21" s="2">
        <v>0</v>
      </c>
      <c r="Y21" s="2">
        <v>0</v>
      </c>
      <c r="Z21" s="2">
        <v>0</v>
      </c>
    </row>
    <row r="22" spans="1:26" x14ac:dyDescent="0.25">
      <c r="A22" s="2">
        <v>21</v>
      </c>
      <c r="B22" s="2" t="s">
        <v>334</v>
      </c>
      <c r="C22" s="2" t="s">
        <v>116</v>
      </c>
      <c r="D22" s="2" t="s">
        <v>119</v>
      </c>
      <c r="E22" s="2">
        <v>7208.1</v>
      </c>
      <c r="F22" s="2">
        <v>239.4</v>
      </c>
      <c r="G22" s="2">
        <v>46</v>
      </c>
      <c r="H22" s="2">
        <v>2.5</v>
      </c>
      <c r="I22" s="2">
        <v>12</v>
      </c>
      <c r="J22" s="2">
        <v>4</v>
      </c>
      <c r="K22" s="2">
        <v>2.5</v>
      </c>
      <c r="L22" s="2" t="str">
        <f t="shared" si="0"/>
        <v>12 x 4 x 2.5</v>
      </c>
      <c r="M22" s="2">
        <f t="shared" si="1"/>
        <v>51.25</v>
      </c>
      <c r="N22" s="2">
        <v>45</v>
      </c>
      <c r="O22" s="2">
        <v>6.6E-3</v>
      </c>
      <c r="P22" s="2">
        <v>1.2</v>
      </c>
      <c r="Q22" s="2">
        <v>2.12</v>
      </c>
      <c r="R22" s="2">
        <f t="shared" si="2"/>
        <v>0.84800000000000009</v>
      </c>
      <c r="S22" s="2" t="s">
        <v>338</v>
      </c>
      <c r="T22" s="2">
        <v>1.52</v>
      </c>
      <c r="U22" s="2" t="s">
        <v>335</v>
      </c>
      <c r="V22" s="2" t="s">
        <v>344</v>
      </c>
      <c r="W22" s="2">
        <v>3</v>
      </c>
      <c r="X22" s="2">
        <v>1</v>
      </c>
      <c r="Y22" s="2">
        <v>4.5</v>
      </c>
      <c r="Z22" s="2">
        <v>1</v>
      </c>
    </row>
    <row r="23" spans="1:26" x14ac:dyDescent="0.25">
      <c r="A23" s="2">
        <v>22</v>
      </c>
      <c r="B23" s="2" t="s">
        <v>337</v>
      </c>
      <c r="C23" s="2" t="s">
        <v>116</v>
      </c>
      <c r="D23" s="2" t="s">
        <v>115</v>
      </c>
      <c r="E23" s="2">
        <v>4747.7</v>
      </c>
      <c r="F23" s="2">
        <v>127</v>
      </c>
      <c r="G23" s="2">
        <v>20.5</v>
      </c>
      <c r="H23" s="2">
        <v>2.5</v>
      </c>
      <c r="I23" s="2">
        <v>6</v>
      </c>
      <c r="J23" s="2">
        <v>4</v>
      </c>
      <c r="K23" s="2">
        <v>2.5</v>
      </c>
      <c r="L23" s="2" t="str">
        <f t="shared" si="0"/>
        <v>6 x 4 x 2.5</v>
      </c>
      <c r="M23" s="2">
        <f t="shared" si="1"/>
        <v>25.75</v>
      </c>
      <c r="N23" s="2">
        <v>45</v>
      </c>
      <c r="O23" s="2">
        <v>5.4999999999999997E-3</v>
      </c>
      <c r="P23" s="2">
        <v>37.200000000000003</v>
      </c>
      <c r="Q23" s="2">
        <v>2.21</v>
      </c>
      <c r="R23" s="2">
        <f t="shared" si="2"/>
        <v>0.88400000000000001</v>
      </c>
      <c r="S23" s="2" t="s">
        <v>338</v>
      </c>
      <c r="T23" s="2">
        <v>1.85</v>
      </c>
      <c r="U23" s="2" t="s">
        <v>335</v>
      </c>
      <c r="V23" s="2" t="s">
        <v>345</v>
      </c>
      <c r="W23" s="2">
        <v>4</v>
      </c>
      <c r="X23" s="2">
        <v>1</v>
      </c>
      <c r="Y23" s="2">
        <v>3.6</v>
      </c>
      <c r="Z23" s="2">
        <v>1</v>
      </c>
    </row>
    <row r="24" spans="1:26" x14ac:dyDescent="0.25">
      <c r="A24" s="2">
        <v>23</v>
      </c>
      <c r="B24" s="2" t="s">
        <v>330</v>
      </c>
      <c r="C24" s="2" t="s">
        <v>123</v>
      </c>
      <c r="D24" s="2" t="s">
        <v>128</v>
      </c>
      <c r="E24" s="2">
        <v>5158.8999999999996</v>
      </c>
      <c r="F24" s="2">
        <v>153.6</v>
      </c>
      <c r="G24" s="2">
        <v>46</v>
      </c>
      <c r="H24" s="2">
        <v>2.5</v>
      </c>
      <c r="I24" s="2">
        <v>12</v>
      </c>
      <c r="J24" s="2">
        <v>4</v>
      </c>
      <c r="K24" s="2">
        <v>2.5</v>
      </c>
      <c r="L24" s="2" t="str">
        <f t="shared" si="0"/>
        <v>12 x 4 x 2.5</v>
      </c>
      <c r="M24" s="2">
        <f t="shared" si="1"/>
        <v>51.25</v>
      </c>
      <c r="N24" s="2">
        <v>32</v>
      </c>
      <c r="O24" s="2">
        <v>8.2000000000000007E-3</v>
      </c>
      <c r="P24" s="2">
        <v>33.6</v>
      </c>
      <c r="Q24" s="2">
        <v>1.56</v>
      </c>
      <c r="R24" s="2">
        <f t="shared" si="2"/>
        <v>0.624</v>
      </c>
      <c r="S24" s="2" t="s">
        <v>338</v>
      </c>
      <c r="T24" s="2">
        <v>1.08</v>
      </c>
      <c r="U24" s="2" t="s">
        <v>332</v>
      </c>
      <c r="V24" s="2" t="s">
        <v>333</v>
      </c>
      <c r="W24" s="2">
        <v>0</v>
      </c>
      <c r="X24" s="2">
        <v>0</v>
      </c>
      <c r="Y24" s="2">
        <v>0</v>
      </c>
      <c r="Z24" s="2">
        <v>0</v>
      </c>
    </row>
    <row r="25" spans="1:26" x14ac:dyDescent="0.25">
      <c r="A25" s="2">
        <v>24</v>
      </c>
      <c r="B25" s="2" t="s">
        <v>334</v>
      </c>
      <c r="C25" s="2" t="s">
        <v>123</v>
      </c>
      <c r="D25" s="2" t="s">
        <v>124</v>
      </c>
      <c r="E25" s="2">
        <v>2995.4</v>
      </c>
      <c r="F25" s="2">
        <v>153.6</v>
      </c>
      <c r="G25" s="2">
        <v>46</v>
      </c>
      <c r="H25" s="2">
        <v>2.5</v>
      </c>
      <c r="I25" s="2">
        <v>12</v>
      </c>
      <c r="J25" s="2">
        <v>4</v>
      </c>
      <c r="K25" s="2">
        <v>2.5</v>
      </c>
      <c r="L25" s="2" t="str">
        <f t="shared" si="0"/>
        <v>12 x 4 x 2.5</v>
      </c>
      <c r="M25" s="2">
        <f t="shared" si="1"/>
        <v>51.25</v>
      </c>
      <c r="N25" s="2">
        <v>45</v>
      </c>
      <c r="O25" s="2">
        <v>1.4E-3</v>
      </c>
      <c r="P25" s="2">
        <v>20.8</v>
      </c>
      <c r="Q25" s="2">
        <v>1.87</v>
      </c>
      <c r="R25" s="2">
        <f t="shared" si="2"/>
        <v>0.748</v>
      </c>
      <c r="S25" s="2" t="s">
        <v>331</v>
      </c>
      <c r="T25" s="2">
        <v>1.87</v>
      </c>
      <c r="U25" s="2" t="s">
        <v>332</v>
      </c>
      <c r="V25" s="2" t="s">
        <v>333</v>
      </c>
      <c r="W25" s="2">
        <v>0</v>
      </c>
      <c r="X25" s="2">
        <v>0</v>
      </c>
      <c r="Y25" s="2">
        <v>0</v>
      </c>
      <c r="Z25" s="2">
        <v>0</v>
      </c>
    </row>
    <row r="26" spans="1:26" x14ac:dyDescent="0.25">
      <c r="A26" s="2">
        <v>25</v>
      </c>
      <c r="B26" s="2" t="s">
        <v>337</v>
      </c>
      <c r="C26" s="2" t="s">
        <v>123</v>
      </c>
      <c r="D26" s="2" t="s">
        <v>122</v>
      </c>
      <c r="E26" s="2">
        <v>0</v>
      </c>
      <c r="F26" s="2">
        <v>74.8</v>
      </c>
      <c r="G26" s="2">
        <v>14.5</v>
      </c>
      <c r="H26" s="2">
        <v>2.5</v>
      </c>
      <c r="I26" s="2">
        <v>4</v>
      </c>
      <c r="J26" s="2">
        <v>4</v>
      </c>
      <c r="K26" s="2">
        <v>2.5</v>
      </c>
      <c r="L26" s="2" t="str">
        <f t="shared" si="0"/>
        <v>4 x 4 x 2.5</v>
      </c>
      <c r="M26" s="2">
        <f t="shared" si="1"/>
        <v>17.25</v>
      </c>
      <c r="N26" s="2">
        <v>45</v>
      </c>
      <c r="O26" s="2">
        <v>4.0000000000000001E-3</v>
      </c>
      <c r="P26" s="2">
        <v>4.9000000000000004</v>
      </c>
      <c r="Q26" s="2">
        <v>2.0299999999999998</v>
      </c>
      <c r="R26" s="2">
        <f t="shared" si="2"/>
        <v>0.81199999999999994</v>
      </c>
      <c r="S26" s="2" t="s">
        <v>338</v>
      </c>
      <c r="T26" s="2">
        <v>1.87</v>
      </c>
      <c r="U26" s="2" t="s">
        <v>332</v>
      </c>
      <c r="V26" s="2" t="s">
        <v>333</v>
      </c>
      <c r="W26" s="2">
        <v>0</v>
      </c>
      <c r="X26" s="2">
        <v>0</v>
      </c>
      <c r="Y26" s="2">
        <v>0</v>
      </c>
      <c r="Z26" s="2">
        <v>0</v>
      </c>
    </row>
    <row r="27" spans="1:26" x14ac:dyDescent="0.25">
      <c r="A27" s="2">
        <v>26</v>
      </c>
      <c r="B27" s="2" t="s">
        <v>330</v>
      </c>
      <c r="C27" s="2" t="s">
        <v>130</v>
      </c>
      <c r="D27" s="2" t="s">
        <v>138</v>
      </c>
      <c r="E27" s="2">
        <v>7395.3</v>
      </c>
      <c r="F27" s="2">
        <v>273.39999999999998</v>
      </c>
      <c r="G27" s="2">
        <v>58</v>
      </c>
      <c r="H27" s="2">
        <v>2.5</v>
      </c>
      <c r="I27" s="2">
        <v>15</v>
      </c>
      <c r="J27" s="2">
        <v>4</v>
      </c>
      <c r="K27" s="2">
        <v>2.5</v>
      </c>
      <c r="L27" s="2" t="str">
        <f t="shared" si="0"/>
        <v>15 x 4 x 2.5</v>
      </c>
      <c r="M27" s="2">
        <f t="shared" si="1"/>
        <v>64</v>
      </c>
      <c r="N27" s="2">
        <v>32</v>
      </c>
      <c r="O27" s="2">
        <v>2.7000000000000001E-3</v>
      </c>
      <c r="P27" s="2">
        <v>20.5</v>
      </c>
      <c r="Q27" s="2">
        <v>2</v>
      </c>
      <c r="R27" s="2">
        <f t="shared" si="2"/>
        <v>0.8</v>
      </c>
      <c r="S27" s="2" t="s">
        <v>338</v>
      </c>
      <c r="T27" s="2">
        <v>1.87</v>
      </c>
      <c r="U27" s="2" t="s">
        <v>332</v>
      </c>
      <c r="V27" s="2" t="s">
        <v>333</v>
      </c>
      <c r="W27" s="2">
        <v>0</v>
      </c>
      <c r="X27" s="2">
        <v>0</v>
      </c>
      <c r="Y27" s="2">
        <v>0</v>
      </c>
      <c r="Z27" s="2">
        <v>0</v>
      </c>
    </row>
    <row r="28" spans="1:26" x14ac:dyDescent="0.25">
      <c r="A28" s="2">
        <v>27</v>
      </c>
      <c r="B28" s="2" t="s">
        <v>334</v>
      </c>
      <c r="C28" s="2" t="s">
        <v>130</v>
      </c>
      <c r="D28" s="2" t="s">
        <v>136</v>
      </c>
      <c r="E28" s="2">
        <v>5707.6</v>
      </c>
      <c r="F28" s="2">
        <v>273.39999999999998</v>
      </c>
      <c r="G28" s="2">
        <v>56</v>
      </c>
      <c r="H28" s="2">
        <v>2.5</v>
      </c>
      <c r="I28" s="2">
        <v>14</v>
      </c>
      <c r="J28" s="2">
        <v>4</v>
      </c>
      <c r="K28" s="2">
        <v>2.5</v>
      </c>
      <c r="L28" s="2" t="str">
        <f t="shared" si="0"/>
        <v>14 x 4 x 2.5</v>
      </c>
      <c r="M28" s="2">
        <f t="shared" si="1"/>
        <v>59.75</v>
      </c>
      <c r="N28" s="2">
        <v>45</v>
      </c>
      <c r="O28" s="2">
        <v>3.8999999999999998E-3</v>
      </c>
      <c r="P28" s="2">
        <v>4.3</v>
      </c>
      <c r="Q28" s="2">
        <v>2.09</v>
      </c>
      <c r="R28" s="2">
        <f t="shared" si="2"/>
        <v>0.83599999999999997</v>
      </c>
      <c r="S28" s="2" t="s">
        <v>338</v>
      </c>
      <c r="T28" s="2">
        <v>1.71</v>
      </c>
      <c r="U28" s="2" t="s">
        <v>335</v>
      </c>
      <c r="V28" s="2" t="s">
        <v>346</v>
      </c>
      <c r="W28" s="2">
        <v>1</v>
      </c>
      <c r="X28" s="2">
        <v>1</v>
      </c>
      <c r="Y28" s="2">
        <v>2</v>
      </c>
      <c r="Z28" s="2">
        <v>1</v>
      </c>
    </row>
    <row r="29" spans="1:26" x14ac:dyDescent="0.25">
      <c r="A29" s="2">
        <v>28</v>
      </c>
      <c r="B29" s="2" t="s">
        <v>337</v>
      </c>
      <c r="C29" s="2" t="s">
        <v>130</v>
      </c>
      <c r="D29" s="2" t="s">
        <v>131</v>
      </c>
      <c r="E29" s="2">
        <v>1850.9</v>
      </c>
      <c r="F29" s="2">
        <v>166.5</v>
      </c>
      <c r="G29" s="2">
        <v>29.5</v>
      </c>
      <c r="H29" s="2">
        <v>2.5</v>
      </c>
      <c r="I29" s="2">
        <v>8</v>
      </c>
      <c r="J29" s="2">
        <v>4</v>
      </c>
      <c r="K29" s="2">
        <v>2.5</v>
      </c>
      <c r="L29" s="2" t="str">
        <f t="shared" si="0"/>
        <v>8 x 4 x 2.5</v>
      </c>
      <c r="M29" s="2">
        <f t="shared" si="1"/>
        <v>34.25</v>
      </c>
      <c r="N29" s="2">
        <v>45</v>
      </c>
      <c r="O29" s="2">
        <v>4.1999999999999997E-3</v>
      </c>
      <c r="P29" s="2">
        <v>39.799999999999997</v>
      </c>
      <c r="Q29" s="2">
        <v>2.1800000000000002</v>
      </c>
      <c r="R29" s="2">
        <f t="shared" si="2"/>
        <v>0.87200000000000011</v>
      </c>
      <c r="S29" s="2" t="s">
        <v>338</v>
      </c>
      <c r="T29" s="2">
        <v>1.87</v>
      </c>
      <c r="U29" s="2" t="s">
        <v>332</v>
      </c>
      <c r="V29" s="2" t="s">
        <v>333</v>
      </c>
      <c r="W29" s="2">
        <v>0</v>
      </c>
      <c r="X29" s="2">
        <v>0</v>
      </c>
      <c r="Y29" s="2">
        <v>0</v>
      </c>
      <c r="Z29" s="2">
        <v>0</v>
      </c>
    </row>
    <row r="30" spans="1:26" x14ac:dyDescent="0.25">
      <c r="A30" s="2">
        <v>29</v>
      </c>
      <c r="B30" s="2" t="s">
        <v>334</v>
      </c>
      <c r="C30" s="2" t="s">
        <v>140</v>
      </c>
      <c r="D30" s="2" t="s">
        <v>142</v>
      </c>
      <c r="E30" s="2">
        <v>3326</v>
      </c>
      <c r="F30" s="2">
        <v>76.400000000000006</v>
      </c>
      <c r="G30" s="2">
        <v>17</v>
      </c>
      <c r="H30" s="2">
        <v>2.5</v>
      </c>
      <c r="I30" s="2">
        <v>5</v>
      </c>
      <c r="J30" s="2">
        <v>4</v>
      </c>
      <c r="K30" s="2">
        <v>2.5</v>
      </c>
      <c r="L30" s="2" t="str">
        <f t="shared" si="0"/>
        <v>5 x 4 x 2.5</v>
      </c>
      <c r="M30" s="2">
        <f t="shared" si="1"/>
        <v>21.5</v>
      </c>
      <c r="N30" s="2">
        <v>45</v>
      </c>
      <c r="O30" s="2">
        <v>6.1999999999999998E-3</v>
      </c>
      <c r="P30" s="2">
        <v>14.9</v>
      </c>
      <c r="Q30" s="2">
        <v>1.77</v>
      </c>
      <c r="R30" s="2">
        <f t="shared" si="2"/>
        <v>0.70799999999999996</v>
      </c>
      <c r="S30" s="2" t="s">
        <v>338</v>
      </c>
      <c r="T30" s="2">
        <v>1.47</v>
      </c>
      <c r="U30" s="2" t="s">
        <v>335</v>
      </c>
      <c r="V30" s="2" t="s">
        <v>347</v>
      </c>
      <c r="W30" s="2">
        <v>9</v>
      </c>
      <c r="X30" s="2">
        <v>1</v>
      </c>
      <c r="Y30" s="2">
        <v>18</v>
      </c>
      <c r="Z30" s="2">
        <v>1</v>
      </c>
    </row>
    <row r="31" spans="1:26" x14ac:dyDescent="0.25">
      <c r="A31" s="2">
        <v>30</v>
      </c>
      <c r="B31" s="2" t="s">
        <v>337</v>
      </c>
      <c r="C31" s="2" t="s">
        <v>140</v>
      </c>
      <c r="D31" s="2" t="s">
        <v>139</v>
      </c>
      <c r="E31" s="2">
        <v>0</v>
      </c>
      <c r="F31" s="2">
        <v>76.400000000000006</v>
      </c>
      <c r="G31" s="2">
        <v>13</v>
      </c>
      <c r="H31" s="2">
        <v>2.5</v>
      </c>
      <c r="I31" s="2">
        <v>4</v>
      </c>
      <c r="J31" s="2">
        <v>4</v>
      </c>
      <c r="K31" s="2">
        <v>2.5</v>
      </c>
      <c r="L31" s="2" t="str">
        <f t="shared" si="0"/>
        <v>4 x 4 x 2.5</v>
      </c>
      <c r="M31" s="2">
        <f t="shared" si="1"/>
        <v>17.25</v>
      </c>
      <c r="N31" s="2">
        <v>45</v>
      </c>
      <c r="O31" s="2">
        <v>5.7999999999999996E-3</v>
      </c>
      <c r="P31" s="2">
        <v>15.5</v>
      </c>
      <c r="Q31" s="2">
        <v>2.06</v>
      </c>
      <c r="R31" s="2">
        <f t="shared" si="2"/>
        <v>0.82400000000000007</v>
      </c>
      <c r="S31" s="2" t="s">
        <v>338</v>
      </c>
      <c r="T31" s="2">
        <v>1.82</v>
      </c>
      <c r="U31" s="2" t="s">
        <v>332</v>
      </c>
      <c r="V31" s="2" t="s">
        <v>333</v>
      </c>
      <c r="W31" s="2">
        <v>0</v>
      </c>
      <c r="X31" s="2">
        <v>0</v>
      </c>
      <c r="Y31" s="2">
        <v>0</v>
      </c>
      <c r="Z31" s="2">
        <v>0</v>
      </c>
    </row>
    <row r="32" spans="1:26" x14ac:dyDescent="0.25">
      <c r="A32" s="2">
        <v>31</v>
      </c>
      <c r="B32" s="2" t="s">
        <v>334</v>
      </c>
      <c r="C32" s="2" t="s">
        <v>146</v>
      </c>
      <c r="D32" s="2" t="s">
        <v>149</v>
      </c>
      <c r="E32" s="2">
        <v>3354.8</v>
      </c>
      <c r="F32" s="2">
        <v>135.6</v>
      </c>
      <c r="G32" s="2">
        <v>47.5</v>
      </c>
      <c r="H32" s="2">
        <v>2.5</v>
      </c>
      <c r="I32" s="2">
        <v>12</v>
      </c>
      <c r="J32" s="2">
        <v>4</v>
      </c>
      <c r="K32" s="2">
        <v>2.5</v>
      </c>
      <c r="L32" s="2" t="str">
        <f t="shared" si="0"/>
        <v>12 x 4 x 2.5</v>
      </c>
      <c r="M32" s="2">
        <f t="shared" si="1"/>
        <v>51.25</v>
      </c>
      <c r="N32" s="2">
        <v>45</v>
      </c>
      <c r="O32" s="2">
        <v>7.1000000000000004E-3</v>
      </c>
      <c r="P32" s="2">
        <v>13.4</v>
      </c>
      <c r="Q32" s="2">
        <v>1.44</v>
      </c>
      <c r="R32" s="2">
        <f t="shared" si="2"/>
        <v>0.57599999999999996</v>
      </c>
      <c r="S32" s="2" t="s">
        <v>331</v>
      </c>
      <c r="T32" s="2">
        <v>1.03</v>
      </c>
      <c r="U32" s="2" t="s">
        <v>335</v>
      </c>
      <c r="V32" s="2" t="s">
        <v>348</v>
      </c>
      <c r="W32" s="2">
        <v>4</v>
      </c>
      <c r="X32" s="2">
        <v>1</v>
      </c>
      <c r="Y32" s="2">
        <v>12</v>
      </c>
      <c r="Z32" s="2">
        <v>2</v>
      </c>
    </row>
    <row r="33" spans="1:26" x14ac:dyDescent="0.25">
      <c r="A33" s="2">
        <v>32</v>
      </c>
      <c r="B33" s="2" t="s">
        <v>337</v>
      </c>
      <c r="C33" s="2" t="s">
        <v>146</v>
      </c>
      <c r="D33" s="2" t="s">
        <v>145</v>
      </c>
      <c r="E33" s="2">
        <v>0</v>
      </c>
      <c r="F33" s="2">
        <v>53.4</v>
      </c>
      <c r="G33" s="2">
        <v>10</v>
      </c>
      <c r="H33" s="2">
        <v>2.5</v>
      </c>
      <c r="I33" s="2">
        <v>3</v>
      </c>
      <c r="J33" s="2">
        <v>4</v>
      </c>
      <c r="K33" s="2">
        <v>2.5</v>
      </c>
      <c r="L33" s="2" t="str">
        <f t="shared" si="0"/>
        <v>3 x 4 x 2.5</v>
      </c>
      <c r="M33" s="2">
        <f t="shared" si="1"/>
        <v>13</v>
      </c>
      <c r="N33" s="2">
        <v>45</v>
      </c>
      <c r="O33" s="2">
        <v>5.4999999999999997E-3</v>
      </c>
      <c r="P33" s="2">
        <v>0.2</v>
      </c>
      <c r="Q33" s="2">
        <v>1.96</v>
      </c>
      <c r="R33" s="2">
        <f t="shared" si="2"/>
        <v>0.78400000000000003</v>
      </c>
      <c r="S33" s="2" t="s">
        <v>338</v>
      </c>
      <c r="T33" s="2">
        <v>1.79</v>
      </c>
      <c r="U33" s="2" t="s">
        <v>335</v>
      </c>
      <c r="V33" s="2" t="s">
        <v>341</v>
      </c>
      <c r="W33" s="2">
        <v>2</v>
      </c>
      <c r="X33" s="2">
        <v>1</v>
      </c>
      <c r="Y33" s="2">
        <v>4</v>
      </c>
      <c r="Z33" s="2">
        <v>1</v>
      </c>
    </row>
    <row r="34" spans="1:26" x14ac:dyDescent="0.25">
      <c r="A34" s="2">
        <v>33</v>
      </c>
      <c r="B34" s="2" t="s">
        <v>334</v>
      </c>
      <c r="C34" s="2" t="s">
        <v>153</v>
      </c>
      <c r="D34" s="2" t="s">
        <v>155</v>
      </c>
      <c r="E34" s="2">
        <v>2974.4</v>
      </c>
      <c r="F34" s="2">
        <v>209.6</v>
      </c>
      <c r="G34" s="2">
        <v>57.5</v>
      </c>
      <c r="H34" s="2">
        <v>2.5</v>
      </c>
      <c r="I34" s="2">
        <v>15</v>
      </c>
      <c r="J34" s="2">
        <v>4</v>
      </c>
      <c r="K34" s="2">
        <v>2.5</v>
      </c>
      <c r="L34" s="2" t="str">
        <f t="shared" ref="L34:L65" si="3">I34&amp;" x "&amp;TEXT(J34,"0")&amp;" x "&amp;TEXT(K34,"0.0")</f>
        <v>15 x 4 x 2.5</v>
      </c>
      <c r="M34" s="2">
        <f t="shared" ref="M34:M62" si="4">I34*J34+(I34+1)*0.25</f>
        <v>64</v>
      </c>
      <c r="N34" s="2">
        <v>45</v>
      </c>
      <c r="O34" s="2">
        <v>8.3999999999999995E-3</v>
      </c>
      <c r="P34" s="2">
        <v>16.7</v>
      </c>
      <c r="Q34" s="2">
        <v>1.66</v>
      </c>
      <c r="R34" s="2">
        <f t="shared" ref="R34:R65" si="5">Q34/K34</f>
        <v>0.66399999999999992</v>
      </c>
      <c r="S34" s="2" t="s">
        <v>338</v>
      </c>
      <c r="T34" s="2">
        <v>1.1299999999999999</v>
      </c>
      <c r="U34" s="2" t="s">
        <v>335</v>
      </c>
      <c r="V34" s="2" t="s">
        <v>346</v>
      </c>
      <c r="W34" s="2">
        <v>1</v>
      </c>
      <c r="X34" s="2">
        <v>1</v>
      </c>
      <c r="Y34" s="2">
        <v>2</v>
      </c>
      <c r="Z34" s="2">
        <v>1</v>
      </c>
    </row>
    <row r="35" spans="1:26" x14ac:dyDescent="0.25">
      <c r="A35" s="2">
        <v>34</v>
      </c>
      <c r="B35" s="2" t="s">
        <v>337</v>
      </c>
      <c r="C35" s="2" t="s">
        <v>153</v>
      </c>
      <c r="D35" s="2" t="s">
        <v>152</v>
      </c>
      <c r="E35" s="2">
        <v>0</v>
      </c>
      <c r="F35" s="2">
        <v>168</v>
      </c>
      <c r="G35" s="2">
        <v>25</v>
      </c>
      <c r="H35" s="2">
        <v>2.5</v>
      </c>
      <c r="I35" s="2">
        <v>7</v>
      </c>
      <c r="J35" s="2">
        <v>4</v>
      </c>
      <c r="K35" s="2">
        <v>2.5</v>
      </c>
      <c r="L35" s="2" t="str">
        <f t="shared" si="3"/>
        <v>7 x 4 x 2.5</v>
      </c>
      <c r="M35" s="2">
        <f t="shared" si="4"/>
        <v>30</v>
      </c>
      <c r="N35" s="2">
        <v>45</v>
      </c>
      <c r="O35" s="2">
        <v>6.1000000000000004E-3</v>
      </c>
      <c r="P35" s="2">
        <v>17.100000000000001</v>
      </c>
      <c r="Q35" s="2">
        <v>2.4</v>
      </c>
      <c r="R35" s="2">
        <f t="shared" si="5"/>
        <v>0.96</v>
      </c>
      <c r="S35" s="2" t="s">
        <v>338</v>
      </c>
      <c r="T35" s="2">
        <v>1.87</v>
      </c>
      <c r="U35" s="2" t="s">
        <v>332</v>
      </c>
      <c r="V35" s="2" t="s">
        <v>333</v>
      </c>
      <c r="W35" s="2">
        <v>0</v>
      </c>
      <c r="X35" s="2">
        <v>0</v>
      </c>
      <c r="Y35" s="2">
        <v>0</v>
      </c>
      <c r="Z35" s="2">
        <v>0</v>
      </c>
    </row>
    <row r="36" spans="1:26" x14ac:dyDescent="0.25">
      <c r="A36" s="2">
        <v>35</v>
      </c>
      <c r="B36" s="2" t="s">
        <v>337</v>
      </c>
      <c r="C36" s="2" t="s">
        <v>159</v>
      </c>
      <c r="D36" s="2" t="s">
        <v>158</v>
      </c>
      <c r="E36" s="2">
        <v>1349.9</v>
      </c>
      <c r="F36" s="2">
        <v>106.4</v>
      </c>
      <c r="G36" s="2">
        <v>22</v>
      </c>
      <c r="H36" s="2">
        <v>2.5</v>
      </c>
      <c r="I36" s="2">
        <v>6</v>
      </c>
      <c r="J36" s="2">
        <v>4</v>
      </c>
      <c r="K36" s="2">
        <v>2.5</v>
      </c>
      <c r="L36" s="2" t="str">
        <f t="shared" si="3"/>
        <v>6 x 4 x 2.5</v>
      </c>
      <c r="M36" s="2">
        <f t="shared" si="4"/>
        <v>25.75</v>
      </c>
      <c r="N36" s="2">
        <v>45</v>
      </c>
      <c r="O36" s="2">
        <v>3.3E-3</v>
      </c>
      <c r="P36" s="2">
        <v>21.9</v>
      </c>
      <c r="Q36" s="2">
        <v>1.96</v>
      </c>
      <c r="R36" s="2">
        <f t="shared" si="5"/>
        <v>0.78400000000000003</v>
      </c>
      <c r="S36" s="2" t="s">
        <v>338</v>
      </c>
      <c r="T36" s="2">
        <v>1.86</v>
      </c>
      <c r="U36" s="2" t="s">
        <v>335</v>
      </c>
      <c r="V36" s="2" t="s">
        <v>343</v>
      </c>
      <c r="W36" s="2">
        <v>3</v>
      </c>
      <c r="X36" s="2">
        <v>1</v>
      </c>
      <c r="Y36" s="2">
        <v>6</v>
      </c>
      <c r="Z36" s="2">
        <v>1</v>
      </c>
    </row>
    <row r="37" spans="1:26" x14ac:dyDescent="0.25">
      <c r="A37" s="2">
        <v>36</v>
      </c>
      <c r="B37" s="2" t="s">
        <v>334</v>
      </c>
      <c r="C37" s="2" t="s">
        <v>170</v>
      </c>
      <c r="D37" s="2" t="s">
        <v>172</v>
      </c>
      <c r="E37" s="2">
        <v>2539.1999999999998</v>
      </c>
      <c r="F37" s="2">
        <v>113.3</v>
      </c>
      <c r="G37" s="2">
        <v>24</v>
      </c>
      <c r="H37" s="2">
        <v>2.5</v>
      </c>
      <c r="I37" s="2">
        <v>6</v>
      </c>
      <c r="J37" s="2">
        <v>4</v>
      </c>
      <c r="K37" s="2">
        <v>2.5</v>
      </c>
      <c r="L37" s="2" t="str">
        <f t="shared" si="3"/>
        <v>6 x 4 x 2.5</v>
      </c>
      <c r="M37" s="2">
        <f t="shared" si="4"/>
        <v>25.75</v>
      </c>
      <c r="N37" s="2">
        <v>45</v>
      </c>
      <c r="O37" s="2">
        <v>4.5999999999999999E-3</v>
      </c>
      <c r="P37" s="2">
        <v>1.2</v>
      </c>
      <c r="Q37" s="2">
        <v>2.04</v>
      </c>
      <c r="R37" s="2">
        <f t="shared" si="5"/>
        <v>0.81600000000000006</v>
      </c>
      <c r="S37" s="2" t="s">
        <v>338</v>
      </c>
      <c r="T37" s="2">
        <v>1.64</v>
      </c>
      <c r="U37" s="2" t="s">
        <v>335</v>
      </c>
      <c r="V37" s="2" t="s">
        <v>341</v>
      </c>
      <c r="W37" s="2">
        <v>2</v>
      </c>
      <c r="X37" s="2">
        <v>1</v>
      </c>
      <c r="Y37" s="2">
        <v>4</v>
      </c>
      <c r="Z37" s="2">
        <v>1</v>
      </c>
    </row>
    <row r="38" spans="1:26" x14ac:dyDescent="0.25">
      <c r="A38" s="2">
        <v>37</v>
      </c>
      <c r="B38" s="2" t="s">
        <v>337</v>
      </c>
      <c r="C38" s="2" t="s">
        <v>170</v>
      </c>
      <c r="D38" s="2" t="s">
        <v>169</v>
      </c>
      <c r="E38" s="2">
        <v>0</v>
      </c>
      <c r="F38" s="2">
        <v>71.2</v>
      </c>
      <c r="G38" s="2">
        <v>12</v>
      </c>
      <c r="H38" s="2">
        <v>2.5</v>
      </c>
      <c r="I38" s="2">
        <v>3</v>
      </c>
      <c r="J38" s="2">
        <v>4</v>
      </c>
      <c r="K38" s="2">
        <v>2.5</v>
      </c>
      <c r="L38" s="2" t="str">
        <f t="shared" si="3"/>
        <v>3 x 4 x 2.5</v>
      </c>
      <c r="M38" s="2">
        <f t="shared" si="4"/>
        <v>13</v>
      </c>
      <c r="N38" s="2">
        <v>45</v>
      </c>
      <c r="O38" s="2">
        <v>6.1000000000000004E-3</v>
      </c>
      <c r="P38" s="2">
        <v>0.1</v>
      </c>
      <c r="Q38" s="2">
        <v>2.39</v>
      </c>
      <c r="R38" s="2">
        <f t="shared" si="5"/>
        <v>0.95600000000000007</v>
      </c>
      <c r="S38" s="2" t="s">
        <v>338</v>
      </c>
      <c r="T38" s="2">
        <v>1.82</v>
      </c>
      <c r="U38" s="2" t="s">
        <v>332</v>
      </c>
      <c r="V38" s="2" t="s">
        <v>333</v>
      </c>
      <c r="W38" s="2">
        <v>0</v>
      </c>
      <c r="X38" s="2">
        <v>0</v>
      </c>
      <c r="Y38" s="2">
        <v>0</v>
      </c>
      <c r="Z38" s="2">
        <v>0</v>
      </c>
    </row>
    <row r="39" spans="1:26" x14ac:dyDescent="0.25">
      <c r="A39" s="2">
        <v>38</v>
      </c>
      <c r="B39" s="2" t="s">
        <v>334</v>
      </c>
      <c r="C39" s="2" t="s">
        <v>175</v>
      </c>
      <c r="D39" s="2" t="s">
        <v>179</v>
      </c>
      <c r="E39" s="2">
        <v>2910.4</v>
      </c>
      <c r="F39" s="2">
        <v>93.9</v>
      </c>
      <c r="G39" s="2">
        <v>20</v>
      </c>
      <c r="H39" s="2">
        <v>2.5</v>
      </c>
      <c r="I39" s="2">
        <v>5</v>
      </c>
      <c r="J39" s="2">
        <v>4</v>
      </c>
      <c r="K39" s="2">
        <v>2.5</v>
      </c>
      <c r="L39" s="2" t="str">
        <f t="shared" si="3"/>
        <v>5 x 4 x 2.5</v>
      </c>
      <c r="M39" s="2">
        <f t="shared" si="4"/>
        <v>21.5</v>
      </c>
      <c r="N39" s="2">
        <v>45</v>
      </c>
      <c r="O39" s="2">
        <v>3.0999999999999999E-3</v>
      </c>
      <c r="P39" s="2">
        <v>0.5</v>
      </c>
      <c r="Q39" s="2">
        <v>2.04</v>
      </c>
      <c r="R39" s="2">
        <f t="shared" si="5"/>
        <v>0.81600000000000006</v>
      </c>
      <c r="S39" s="2" t="s">
        <v>338</v>
      </c>
      <c r="T39" s="2">
        <v>1.87</v>
      </c>
      <c r="U39" s="2" t="s">
        <v>335</v>
      </c>
      <c r="V39" s="2" t="s">
        <v>341</v>
      </c>
      <c r="W39" s="2">
        <v>2</v>
      </c>
      <c r="X39" s="2">
        <v>1</v>
      </c>
      <c r="Y39" s="2">
        <v>4</v>
      </c>
      <c r="Z39" s="2">
        <v>1</v>
      </c>
    </row>
    <row r="40" spans="1:26" x14ac:dyDescent="0.25">
      <c r="A40" s="2">
        <v>39</v>
      </c>
      <c r="B40" s="2" t="s">
        <v>337</v>
      </c>
      <c r="C40" s="2" t="s">
        <v>175</v>
      </c>
      <c r="D40" s="2" t="s">
        <v>176</v>
      </c>
      <c r="E40" s="2">
        <v>838.7</v>
      </c>
      <c r="F40" s="2">
        <v>45.4</v>
      </c>
      <c r="G40" s="2">
        <v>10</v>
      </c>
      <c r="H40" s="2">
        <v>2.5</v>
      </c>
      <c r="I40" s="2">
        <v>3</v>
      </c>
      <c r="J40" s="2">
        <v>4</v>
      </c>
      <c r="K40" s="2">
        <v>2.5</v>
      </c>
      <c r="L40" s="2" t="str">
        <f t="shared" si="3"/>
        <v>3 x 4 x 2.5</v>
      </c>
      <c r="M40" s="2">
        <f t="shared" si="4"/>
        <v>13</v>
      </c>
      <c r="N40" s="2">
        <v>45</v>
      </c>
      <c r="O40" s="2">
        <v>1.18E-2</v>
      </c>
      <c r="P40" s="2">
        <v>5</v>
      </c>
      <c r="Q40" s="2">
        <v>1.75</v>
      </c>
      <c r="R40" s="2">
        <f t="shared" si="5"/>
        <v>0.7</v>
      </c>
      <c r="S40" s="2" t="s">
        <v>338</v>
      </c>
      <c r="T40" s="2">
        <v>1.25</v>
      </c>
      <c r="U40" s="2" t="s">
        <v>332</v>
      </c>
      <c r="V40" s="2" t="s">
        <v>333</v>
      </c>
      <c r="W40" s="2">
        <v>0</v>
      </c>
      <c r="X40" s="2">
        <v>0</v>
      </c>
      <c r="Y40" s="2">
        <v>0</v>
      </c>
      <c r="Z40" s="2">
        <v>0</v>
      </c>
    </row>
    <row r="41" spans="1:26" x14ac:dyDescent="0.25">
      <c r="A41" s="2">
        <v>40</v>
      </c>
      <c r="B41" s="2" t="s">
        <v>330</v>
      </c>
      <c r="C41" s="2" t="s">
        <v>184</v>
      </c>
      <c r="D41" s="2" t="s">
        <v>190</v>
      </c>
      <c r="E41" s="2">
        <v>6414.1</v>
      </c>
      <c r="F41" s="2">
        <v>105.1</v>
      </c>
      <c r="G41" s="2">
        <v>37.5</v>
      </c>
      <c r="H41" s="2">
        <v>2.5</v>
      </c>
      <c r="I41" s="2">
        <v>10</v>
      </c>
      <c r="J41" s="2">
        <v>4</v>
      </c>
      <c r="K41" s="2">
        <v>2.5</v>
      </c>
      <c r="L41" s="2" t="str">
        <f t="shared" si="3"/>
        <v>10 x 4 x 2.5</v>
      </c>
      <c r="M41" s="2">
        <f t="shared" si="4"/>
        <v>42.75</v>
      </c>
      <c r="N41" s="2">
        <v>32</v>
      </c>
      <c r="O41" s="2">
        <v>1E-3</v>
      </c>
      <c r="P41" s="2">
        <v>2</v>
      </c>
      <c r="Q41" s="2">
        <v>1.87</v>
      </c>
      <c r="R41" s="2">
        <f t="shared" si="5"/>
        <v>0.748</v>
      </c>
      <c r="S41" s="2" t="s">
        <v>331</v>
      </c>
      <c r="T41" s="2">
        <v>1.87</v>
      </c>
      <c r="U41" s="2" t="s">
        <v>332</v>
      </c>
      <c r="V41" s="2" t="s">
        <v>333</v>
      </c>
      <c r="W41" s="2">
        <v>0</v>
      </c>
      <c r="X41" s="2">
        <v>0</v>
      </c>
      <c r="Y41" s="2">
        <v>0</v>
      </c>
      <c r="Z41" s="2">
        <v>0</v>
      </c>
    </row>
    <row r="42" spans="1:26" x14ac:dyDescent="0.25">
      <c r="A42" s="2">
        <v>41</v>
      </c>
      <c r="B42" s="2" t="s">
        <v>334</v>
      </c>
      <c r="C42" s="2" t="s">
        <v>184</v>
      </c>
      <c r="D42" s="2" t="s">
        <v>187</v>
      </c>
      <c r="E42" s="2">
        <v>3634.3</v>
      </c>
      <c r="F42" s="2">
        <v>105.1</v>
      </c>
      <c r="G42" s="2">
        <v>25.5</v>
      </c>
      <c r="H42" s="2">
        <v>2.5</v>
      </c>
      <c r="I42" s="2">
        <v>7</v>
      </c>
      <c r="J42" s="2">
        <v>4</v>
      </c>
      <c r="K42" s="2">
        <v>2.5</v>
      </c>
      <c r="L42" s="2" t="str">
        <f t="shared" si="3"/>
        <v>7 x 4 x 2.5</v>
      </c>
      <c r="M42" s="2">
        <f t="shared" si="4"/>
        <v>30</v>
      </c>
      <c r="N42" s="2">
        <v>45</v>
      </c>
      <c r="O42" s="2">
        <v>2.3E-3</v>
      </c>
      <c r="P42" s="2">
        <v>5.8</v>
      </c>
      <c r="Q42" s="2">
        <v>1.84</v>
      </c>
      <c r="R42" s="2">
        <f t="shared" si="5"/>
        <v>0.73599999999999999</v>
      </c>
      <c r="S42" s="2" t="s">
        <v>331</v>
      </c>
      <c r="T42" s="2">
        <v>1.86</v>
      </c>
      <c r="U42" s="2" t="s">
        <v>335</v>
      </c>
      <c r="V42" s="2" t="s">
        <v>341</v>
      </c>
      <c r="W42" s="2">
        <v>2</v>
      </c>
      <c r="X42" s="2">
        <v>1</v>
      </c>
      <c r="Y42" s="2">
        <v>4</v>
      </c>
      <c r="Z42" s="2">
        <v>1</v>
      </c>
    </row>
    <row r="43" spans="1:26" x14ac:dyDescent="0.25">
      <c r="A43" s="2">
        <v>42</v>
      </c>
      <c r="B43" s="2" t="s">
        <v>337</v>
      </c>
      <c r="C43" s="2" t="s">
        <v>184</v>
      </c>
      <c r="D43" s="2" t="s">
        <v>183</v>
      </c>
      <c r="E43" s="2">
        <v>1397.4</v>
      </c>
      <c r="F43" s="2">
        <v>81.599999999999994</v>
      </c>
      <c r="G43" s="2">
        <v>14</v>
      </c>
      <c r="H43" s="2">
        <v>2.5</v>
      </c>
      <c r="I43" s="2">
        <v>4</v>
      </c>
      <c r="J43" s="2">
        <v>4</v>
      </c>
      <c r="K43" s="2">
        <v>2.5</v>
      </c>
      <c r="L43" s="2" t="str">
        <f t="shared" si="3"/>
        <v>4 x 4 x 2.5</v>
      </c>
      <c r="M43" s="2">
        <f t="shared" si="4"/>
        <v>17.25</v>
      </c>
      <c r="N43" s="2">
        <v>45</v>
      </c>
      <c r="O43" s="2">
        <v>5.3E-3</v>
      </c>
      <c r="P43" s="2">
        <v>2.7</v>
      </c>
      <c r="Q43" s="2">
        <v>2.15</v>
      </c>
      <c r="R43" s="2">
        <f t="shared" si="5"/>
        <v>0.86</v>
      </c>
      <c r="S43" s="2" t="s">
        <v>338</v>
      </c>
      <c r="T43" s="2">
        <v>1.86</v>
      </c>
      <c r="U43" s="2" t="s">
        <v>332</v>
      </c>
      <c r="V43" s="2" t="s">
        <v>333</v>
      </c>
      <c r="W43" s="2">
        <v>0</v>
      </c>
      <c r="X43" s="2">
        <v>0</v>
      </c>
      <c r="Y43" s="2">
        <v>0</v>
      </c>
      <c r="Z43" s="2">
        <v>0</v>
      </c>
    </row>
    <row r="44" spans="1:26" x14ac:dyDescent="0.25">
      <c r="A44" s="2">
        <v>43</v>
      </c>
      <c r="B44" s="2" t="s">
        <v>337</v>
      </c>
      <c r="C44" s="2" t="s">
        <v>192</v>
      </c>
      <c r="D44" s="2" t="s">
        <v>193</v>
      </c>
      <c r="E44" s="2">
        <v>2686.4</v>
      </c>
      <c r="F44" s="2">
        <v>207</v>
      </c>
      <c r="G44" s="2">
        <v>38.5</v>
      </c>
      <c r="H44" s="2">
        <v>2.5</v>
      </c>
      <c r="I44" s="2">
        <v>10</v>
      </c>
      <c r="J44" s="2">
        <v>4</v>
      </c>
      <c r="K44" s="2">
        <v>2.5</v>
      </c>
      <c r="L44" s="2" t="str">
        <f t="shared" si="3"/>
        <v>10 x 4 x 2.5</v>
      </c>
      <c r="M44" s="2">
        <f t="shared" si="4"/>
        <v>42.75</v>
      </c>
      <c r="N44" s="2">
        <v>45</v>
      </c>
      <c r="O44" s="2">
        <v>3.7000000000000002E-3</v>
      </c>
      <c r="P44" s="2">
        <v>6.2</v>
      </c>
      <c r="Q44" s="2">
        <v>2.1800000000000002</v>
      </c>
      <c r="R44" s="2">
        <f t="shared" si="5"/>
        <v>0.87200000000000011</v>
      </c>
      <c r="S44" s="2" t="s">
        <v>338</v>
      </c>
      <c r="T44" s="2">
        <v>1.87</v>
      </c>
      <c r="U44" s="2" t="s">
        <v>332</v>
      </c>
      <c r="V44" s="2" t="s">
        <v>333</v>
      </c>
      <c r="W44" s="2">
        <v>0</v>
      </c>
      <c r="X44" s="2">
        <v>0</v>
      </c>
      <c r="Y44" s="2">
        <v>0</v>
      </c>
      <c r="Z44" s="2">
        <v>0</v>
      </c>
    </row>
    <row r="45" spans="1:26" x14ac:dyDescent="0.25">
      <c r="A45" s="2">
        <v>44</v>
      </c>
      <c r="B45" s="2" t="s">
        <v>337</v>
      </c>
      <c r="C45" s="2" t="s">
        <v>198</v>
      </c>
      <c r="D45" s="2" t="s">
        <v>199</v>
      </c>
      <c r="E45" s="2">
        <v>733</v>
      </c>
      <c r="F45" s="2">
        <v>119</v>
      </c>
      <c r="G45" s="2">
        <v>37</v>
      </c>
      <c r="H45" s="2">
        <v>2.5</v>
      </c>
      <c r="I45" s="2">
        <v>10</v>
      </c>
      <c r="J45" s="2">
        <v>4</v>
      </c>
      <c r="K45" s="2">
        <v>2.5</v>
      </c>
      <c r="L45" s="2" t="str">
        <f t="shared" si="3"/>
        <v>10 x 4 x 2.5</v>
      </c>
      <c r="M45" s="2">
        <f t="shared" si="4"/>
        <v>42.75</v>
      </c>
      <c r="N45" s="2">
        <v>45</v>
      </c>
      <c r="O45" s="2">
        <v>1.1599999999999999E-2</v>
      </c>
      <c r="P45" s="2">
        <v>1.3</v>
      </c>
      <c r="Q45" s="2">
        <v>1.48</v>
      </c>
      <c r="R45" s="2">
        <f t="shared" si="5"/>
        <v>0.59199999999999997</v>
      </c>
      <c r="S45" s="2" t="s">
        <v>338</v>
      </c>
      <c r="T45" s="2">
        <v>0.96</v>
      </c>
      <c r="U45" s="2" t="s">
        <v>332</v>
      </c>
      <c r="V45" s="2" t="s">
        <v>333</v>
      </c>
      <c r="W45" s="2">
        <v>0</v>
      </c>
      <c r="X45" s="2">
        <v>0</v>
      </c>
      <c r="Y45" s="2">
        <v>0</v>
      </c>
      <c r="Z45" s="2">
        <v>0</v>
      </c>
    </row>
    <row r="46" spans="1:26" x14ac:dyDescent="0.25">
      <c r="A46" s="2">
        <v>45</v>
      </c>
      <c r="B46" s="2" t="s">
        <v>330</v>
      </c>
      <c r="C46" s="2" t="s">
        <v>203</v>
      </c>
      <c r="D46" s="2" t="s">
        <v>202</v>
      </c>
      <c r="E46" s="2">
        <v>1807</v>
      </c>
      <c r="F46" s="2">
        <v>0</v>
      </c>
      <c r="G46" s="2">
        <v>10</v>
      </c>
      <c r="H46" s="2">
        <v>2.5</v>
      </c>
      <c r="I46" s="2">
        <v>3</v>
      </c>
      <c r="J46" s="2">
        <v>4</v>
      </c>
      <c r="K46" s="2">
        <v>2.5</v>
      </c>
      <c r="L46" s="2" t="str">
        <f t="shared" si="3"/>
        <v>3 x 4 x 2.5</v>
      </c>
      <c r="M46" s="2">
        <f t="shared" si="4"/>
        <v>13</v>
      </c>
      <c r="N46" s="2">
        <v>32</v>
      </c>
      <c r="O46" s="2">
        <v>2.3999999999999998E-3</v>
      </c>
      <c r="P46" s="2">
        <v>6.2</v>
      </c>
      <c r="Q46" s="2">
        <v>0</v>
      </c>
      <c r="R46" s="2">
        <f t="shared" si="5"/>
        <v>0</v>
      </c>
      <c r="S46" s="2" t="s">
        <v>338</v>
      </c>
      <c r="T46" s="2">
        <v>0</v>
      </c>
      <c r="U46" s="2" t="s">
        <v>332</v>
      </c>
      <c r="V46" s="2" t="s">
        <v>333</v>
      </c>
      <c r="W46" s="2">
        <v>0</v>
      </c>
      <c r="X46" s="2">
        <v>0</v>
      </c>
      <c r="Y46" s="2">
        <v>0</v>
      </c>
      <c r="Z46" s="2">
        <v>0</v>
      </c>
    </row>
    <row r="47" spans="1:26" x14ac:dyDescent="0.25">
      <c r="A47" s="2">
        <v>46</v>
      </c>
      <c r="B47" s="2" t="s">
        <v>337</v>
      </c>
      <c r="C47" s="2" t="s">
        <v>205</v>
      </c>
      <c r="D47" s="2" t="s">
        <v>204</v>
      </c>
      <c r="E47" s="2">
        <v>0</v>
      </c>
      <c r="F47" s="2">
        <v>72</v>
      </c>
      <c r="G47" s="2">
        <v>12.5</v>
      </c>
      <c r="H47" s="2">
        <v>2.5</v>
      </c>
      <c r="I47" s="2">
        <v>4</v>
      </c>
      <c r="J47" s="2">
        <v>4</v>
      </c>
      <c r="K47" s="2">
        <v>2.5</v>
      </c>
      <c r="L47" s="2" t="str">
        <f t="shared" si="3"/>
        <v>4 x 4 x 2.5</v>
      </c>
      <c r="M47" s="2">
        <f t="shared" si="4"/>
        <v>17.25</v>
      </c>
      <c r="N47" s="2">
        <v>45</v>
      </c>
      <c r="O47" s="2">
        <v>5.5999999999999999E-3</v>
      </c>
      <c r="P47" s="2">
        <v>3.4</v>
      </c>
      <c r="Q47" s="2">
        <v>1.98</v>
      </c>
      <c r="R47" s="2">
        <f t="shared" si="5"/>
        <v>0.79200000000000004</v>
      </c>
      <c r="S47" s="2" t="s">
        <v>338</v>
      </c>
      <c r="T47" s="2">
        <v>1.84</v>
      </c>
      <c r="U47" s="2" t="s">
        <v>332</v>
      </c>
      <c r="V47" s="2" t="s">
        <v>333</v>
      </c>
      <c r="W47" s="2">
        <v>0</v>
      </c>
      <c r="X47" s="2">
        <v>0</v>
      </c>
      <c r="Y47" s="2">
        <v>0</v>
      </c>
      <c r="Z47" s="2">
        <v>0</v>
      </c>
    </row>
    <row r="48" spans="1:26" x14ac:dyDescent="0.25">
      <c r="A48" s="2">
        <v>47</v>
      </c>
      <c r="B48" s="2" t="s">
        <v>330</v>
      </c>
      <c r="C48" s="2" t="s">
        <v>212</v>
      </c>
      <c r="D48" s="2" t="s">
        <v>225</v>
      </c>
      <c r="E48" s="2">
        <v>17542.2</v>
      </c>
      <c r="F48" s="2">
        <v>1022</v>
      </c>
      <c r="G48" s="2">
        <v>343</v>
      </c>
      <c r="H48" s="2">
        <v>2.5</v>
      </c>
      <c r="I48" s="2">
        <v>86</v>
      </c>
      <c r="J48" s="2">
        <v>4</v>
      </c>
      <c r="K48" s="2">
        <v>2.5</v>
      </c>
      <c r="L48" s="2" t="str">
        <f t="shared" si="3"/>
        <v>86 x 4 x 2.5</v>
      </c>
      <c r="M48" s="2">
        <f t="shared" si="4"/>
        <v>365.75</v>
      </c>
      <c r="N48" s="2">
        <v>32</v>
      </c>
      <c r="O48" s="2">
        <v>1E-3</v>
      </c>
      <c r="P48" s="2">
        <v>6.7</v>
      </c>
      <c r="Q48" s="2">
        <v>1.88</v>
      </c>
      <c r="R48" s="2">
        <f t="shared" si="5"/>
        <v>0.752</v>
      </c>
      <c r="S48" s="2" t="s">
        <v>331</v>
      </c>
      <c r="T48" s="2">
        <v>1.87</v>
      </c>
      <c r="U48" s="2" t="s">
        <v>332</v>
      </c>
      <c r="V48" s="2" t="s">
        <v>333</v>
      </c>
      <c r="W48" s="2">
        <v>0</v>
      </c>
      <c r="X48" s="2">
        <v>0</v>
      </c>
      <c r="Y48" s="2">
        <v>0</v>
      </c>
      <c r="Z48" s="2">
        <v>0</v>
      </c>
    </row>
    <row r="49" spans="1:26" x14ac:dyDescent="0.25">
      <c r="A49" s="2">
        <v>48</v>
      </c>
      <c r="B49" s="2" t="s">
        <v>334</v>
      </c>
      <c r="C49" s="2" t="s">
        <v>212</v>
      </c>
      <c r="D49" s="2" t="s">
        <v>222</v>
      </c>
      <c r="E49" s="2">
        <v>15071.7</v>
      </c>
      <c r="F49" s="2">
        <v>1035.5999999999999</v>
      </c>
      <c r="G49" s="2">
        <v>209</v>
      </c>
      <c r="H49" s="2">
        <v>2.5</v>
      </c>
      <c r="I49" s="2">
        <v>53</v>
      </c>
      <c r="J49" s="2">
        <v>4</v>
      </c>
      <c r="K49" s="2">
        <v>2.5</v>
      </c>
      <c r="L49" s="2" t="str">
        <f t="shared" si="3"/>
        <v>53 x 4 x 2.5</v>
      </c>
      <c r="M49" s="2">
        <f t="shared" si="4"/>
        <v>225.5</v>
      </c>
      <c r="N49" s="2">
        <v>45</v>
      </c>
      <c r="O49" s="2">
        <v>2.8E-3</v>
      </c>
      <c r="P49" s="2">
        <v>1.2</v>
      </c>
      <c r="Q49" s="2">
        <v>2.09</v>
      </c>
      <c r="R49" s="2">
        <f t="shared" si="5"/>
        <v>0.83599999999999997</v>
      </c>
      <c r="S49" s="2" t="s">
        <v>338</v>
      </c>
      <c r="T49" s="2">
        <v>1.87</v>
      </c>
      <c r="U49" s="2" t="s">
        <v>335</v>
      </c>
      <c r="V49" s="2" t="s">
        <v>349</v>
      </c>
      <c r="W49" s="2">
        <v>24</v>
      </c>
      <c r="X49" s="2">
        <v>1</v>
      </c>
      <c r="Y49" s="2">
        <v>48</v>
      </c>
      <c r="Z49" s="2">
        <v>1</v>
      </c>
    </row>
    <row r="50" spans="1:26" x14ac:dyDescent="0.25">
      <c r="A50" s="2">
        <v>49</v>
      </c>
      <c r="B50" s="2" t="s">
        <v>337</v>
      </c>
      <c r="C50" s="2" t="s">
        <v>212</v>
      </c>
      <c r="D50" s="2" t="s">
        <v>218</v>
      </c>
      <c r="E50" s="2">
        <v>11456.8</v>
      </c>
      <c r="F50" s="2">
        <v>555</v>
      </c>
      <c r="G50" s="2">
        <v>86.5</v>
      </c>
      <c r="H50" s="2">
        <v>2.5</v>
      </c>
      <c r="I50" s="2">
        <v>22</v>
      </c>
      <c r="J50" s="2">
        <v>4</v>
      </c>
      <c r="K50" s="2">
        <v>2.5</v>
      </c>
      <c r="L50" s="2" t="str">
        <f t="shared" si="3"/>
        <v>22 x 4 x 2.5</v>
      </c>
      <c r="M50" s="2">
        <f t="shared" si="4"/>
        <v>93.75</v>
      </c>
      <c r="N50" s="2">
        <v>45</v>
      </c>
      <c r="O50" s="2">
        <v>4.8999999999999998E-3</v>
      </c>
      <c r="P50" s="2">
        <v>2.8</v>
      </c>
      <c r="Q50" s="2">
        <v>2.4900000000000002</v>
      </c>
      <c r="R50" s="2">
        <f t="shared" si="5"/>
        <v>0.99600000000000011</v>
      </c>
      <c r="S50" s="2" t="s">
        <v>338</v>
      </c>
      <c r="T50" s="2">
        <v>1.87</v>
      </c>
      <c r="U50" s="2" t="s">
        <v>332</v>
      </c>
      <c r="V50" s="2" t="s">
        <v>333</v>
      </c>
      <c r="W50" s="2">
        <v>0</v>
      </c>
      <c r="X50" s="2">
        <v>0</v>
      </c>
      <c r="Y50" s="2">
        <v>0</v>
      </c>
      <c r="Z50" s="2">
        <v>0</v>
      </c>
    </row>
    <row r="51" spans="1:26" x14ac:dyDescent="0.25">
      <c r="A51" s="2">
        <v>50</v>
      </c>
      <c r="B51" s="2" t="s">
        <v>330</v>
      </c>
      <c r="C51" s="2" t="s">
        <v>227</v>
      </c>
      <c r="D51" s="2" t="s">
        <v>232</v>
      </c>
      <c r="E51" s="2">
        <v>6132.4</v>
      </c>
      <c r="F51" s="2">
        <v>332.6</v>
      </c>
      <c r="G51" s="2">
        <v>94</v>
      </c>
      <c r="H51" s="2">
        <v>2.5</v>
      </c>
      <c r="I51" s="2">
        <v>24</v>
      </c>
      <c r="J51" s="2">
        <v>4</v>
      </c>
      <c r="K51" s="2">
        <v>2.5</v>
      </c>
      <c r="L51" s="2" t="str">
        <f t="shared" si="3"/>
        <v>24 x 4 x 2.5</v>
      </c>
      <c r="M51" s="2">
        <f t="shared" si="4"/>
        <v>102.25</v>
      </c>
      <c r="N51" s="2">
        <v>32</v>
      </c>
      <c r="O51" s="2">
        <v>3.0999999999999999E-3</v>
      </c>
      <c r="P51" s="2">
        <v>1.3</v>
      </c>
      <c r="Q51" s="2">
        <v>1.75</v>
      </c>
      <c r="R51" s="2">
        <f t="shared" si="5"/>
        <v>0.7</v>
      </c>
      <c r="S51" s="2" t="s">
        <v>331</v>
      </c>
      <c r="T51" s="2">
        <v>1.5</v>
      </c>
      <c r="U51" s="2" t="s">
        <v>332</v>
      </c>
      <c r="V51" s="2" t="s">
        <v>333</v>
      </c>
      <c r="W51" s="2">
        <v>0</v>
      </c>
      <c r="X51" s="2">
        <v>0</v>
      </c>
      <c r="Y51" s="2">
        <v>0</v>
      </c>
      <c r="Z51" s="2">
        <v>0</v>
      </c>
    </row>
    <row r="52" spans="1:26" x14ac:dyDescent="0.25">
      <c r="A52" s="2">
        <v>51</v>
      </c>
      <c r="B52" s="2" t="s">
        <v>334</v>
      </c>
      <c r="C52" s="2" t="s">
        <v>227</v>
      </c>
      <c r="D52" s="2" t="s">
        <v>231</v>
      </c>
      <c r="E52" s="2">
        <v>3086.1</v>
      </c>
      <c r="F52" s="2">
        <v>332.6</v>
      </c>
      <c r="G52" s="2">
        <v>94</v>
      </c>
      <c r="H52" s="2">
        <v>2.5</v>
      </c>
      <c r="I52" s="2">
        <v>24</v>
      </c>
      <c r="J52" s="2">
        <v>4</v>
      </c>
      <c r="K52" s="2">
        <v>2.5</v>
      </c>
      <c r="L52" s="2" t="str">
        <f t="shared" si="3"/>
        <v>24 x 4 x 2.5</v>
      </c>
      <c r="M52" s="2">
        <f t="shared" si="4"/>
        <v>102.25</v>
      </c>
      <c r="N52" s="2">
        <v>45</v>
      </c>
      <c r="O52" s="2">
        <v>6.7000000000000002E-3</v>
      </c>
      <c r="P52" s="2">
        <v>21.3</v>
      </c>
      <c r="Q52" s="2">
        <v>1.65</v>
      </c>
      <c r="R52" s="2">
        <f t="shared" si="5"/>
        <v>0.65999999999999992</v>
      </c>
      <c r="S52" s="2" t="s">
        <v>338</v>
      </c>
      <c r="T52" s="2">
        <v>1.18</v>
      </c>
      <c r="U52" s="2" t="s">
        <v>335</v>
      </c>
      <c r="V52" s="2" t="s">
        <v>343</v>
      </c>
      <c r="W52" s="2">
        <v>3</v>
      </c>
      <c r="X52" s="2">
        <v>1</v>
      </c>
      <c r="Y52" s="2">
        <v>6</v>
      </c>
      <c r="Z52" s="2">
        <v>1</v>
      </c>
    </row>
    <row r="53" spans="1:26" x14ac:dyDescent="0.25">
      <c r="A53" s="2">
        <v>52</v>
      </c>
      <c r="B53" s="2" t="s">
        <v>337</v>
      </c>
      <c r="C53" s="2" t="s">
        <v>227</v>
      </c>
      <c r="D53" s="2" t="s">
        <v>226</v>
      </c>
      <c r="E53" s="2">
        <v>0</v>
      </c>
      <c r="F53" s="2">
        <v>250.8</v>
      </c>
      <c r="G53" s="2">
        <v>49</v>
      </c>
      <c r="H53" s="2">
        <v>2.5</v>
      </c>
      <c r="I53" s="2">
        <v>13</v>
      </c>
      <c r="J53" s="2">
        <v>4</v>
      </c>
      <c r="K53" s="2">
        <v>2.5</v>
      </c>
      <c r="L53" s="2" t="str">
        <f t="shared" si="3"/>
        <v>13 x 4 x 2.5</v>
      </c>
      <c r="M53" s="2">
        <f t="shared" si="4"/>
        <v>55.5</v>
      </c>
      <c r="N53" s="2">
        <v>45</v>
      </c>
      <c r="O53" s="2">
        <v>3.3E-3</v>
      </c>
      <c r="P53" s="2">
        <v>1.1000000000000001</v>
      </c>
      <c r="Q53" s="2">
        <v>2.08</v>
      </c>
      <c r="R53" s="2">
        <f t="shared" si="5"/>
        <v>0.83200000000000007</v>
      </c>
      <c r="S53" s="2" t="s">
        <v>338</v>
      </c>
      <c r="T53" s="2">
        <v>1.86</v>
      </c>
      <c r="U53" s="2" t="s">
        <v>332</v>
      </c>
      <c r="V53" s="2" t="s">
        <v>333</v>
      </c>
      <c r="W53" s="2">
        <v>0</v>
      </c>
      <c r="X53" s="2">
        <v>0</v>
      </c>
      <c r="Y53" s="2">
        <v>0</v>
      </c>
      <c r="Z53" s="2">
        <v>0</v>
      </c>
    </row>
    <row r="54" spans="1:26" x14ac:dyDescent="0.25">
      <c r="A54" s="2">
        <v>53</v>
      </c>
      <c r="B54" s="2" t="s">
        <v>334</v>
      </c>
      <c r="C54" s="2" t="s">
        <v>239</v>
      </c>
      <c r="D54" s="2" t="s">
        <v>240</v>
      </c>
      <c r="E54" s="2">
        <v>2397.8000000000002</v>
      </c>
      <c r="F54" s="2">
        <v>65.2</v>
      </c>
      <c r="G54" s="2">
        <v>15</v>
      </c>
      <c r="H54" s="2">
        <v>2.5</v>
      </c>
      <c r="I54" s="2">
        <v>4</v>
      </c>
      <c r="J54" s="2">
        <v>4</v>
      </c>
      <c r="K54" s="2">
        <v>2.5</v>
      </c>
      <c r="L54" s="2" t="str">
        <f t="shared" si="3"/>
        <v>4 x 4 x 2.5</v>
      </c>
      <c r="M54" s="2">
        <f t="shared" si="4"/>
        <v>17.25</v>
      </c>
      <c r="N54" s="2">
        <v>45</v>
      </c>
      <c r="O54" s="2">
        <v>8.6999999999999994E-3</v>
      </c>
      <c r="P54" s="2">
        <v>5.7</v>
      </c>
      <c r="Q54" s="2">
        <v>1.84</v>
      </c>
      <c r="R54" s="2">
        <f t="shared" si="5"/>
        <v>0.73599999999999999</v>
      </c>
      <c r="S54" s="2" t="s">
        <v>338</v>
      </c>
      <c r="T54" s="2">
        <v>1.3</v>
      </c>
      <c r="U54" s="2" t="s">
        <v>335</v>
      </c>
      <c r="V54" s="2" t="s">
        <v>346</v>
      </c>
      <c r="W54" s="2">
        <v>1</v>
      </c>
      <c r="X54" s="2">
        <v>1</v>
      </c>
      <c r="Y54" s="2">
        <v>2</v>
      </c>
      <c r="Z54" s="2">
        <v>1</v>
      </c>
    </row>
    <row r="55" spans="1:26" x14ac:dyDescent="0.25">
      <c r="A55" s="2">
        <v>54</v>
      </c>
      <c r="B55" s="2" t="s">
        <v>330</v>
      </c>
      <c r="C55" s="2" t="s">
        <v>255</v>
      </c>
      <c r="D55" s="2" t="s">
        <v>261</v>
      </c>
      <c r="E55" s="2">
        <v>9768.2999999999993</v>
      </c>
      <c r="F55" s="2">
        <v>1461</v>
      </c>
      <c r="G55" s="2">
        <v>488</v>
      </c>
      <c r="H55" s="2">
        <v>2.5</v>
      </c>
      <c r="I55" s="2">
        <v>122</v>
      </c>
      <c r="J55" s="2">
        <v>4</v>
      </c>
      <c r="K55" s="2">
        <v>2.5</v>
      </c>
      <c r="L55" s="2" t="str">
        <f t="shared" si="3"/>
        <v>122 x 4 x 2.5</v>
      </c>
      <c r="M55" s="2">
        <f t="shared" si="4"/>
        <v>518.75</v>
      </c>
      <c r="N55" s="2">
        <v>32</v>
      </c>
      <c r="O55" s="2">
        <v>1E-3</v>
      </c>
      <c r="P55" s="2">
        <v>4</v>
      </c>
      <c r="Q55" s="2">
        <v>1.89</v>
      </c>
      <c r="R55" s="2">
        <f t="shared" si="5"/>
        <v>0.75600000000000001</v>
      </c>
      <c r="S55" s="2" t="s">
        <v>331</v>
      </c>
      <c r="T55" s="2">
        <v>1.87</v>
      </c>
      <c r="U55" s="2" t="s">
        <v>332</v>
      </c>
      <c r="V55" s="2" t="s">
        <v>333</v>
      </c>
      <c r="W55" s="2">
        <v>0</v>
      </c>
      <c r="X55" s="2">
        <v>0</v>
      </c>
      <c r="Y55" s="2">
        <v>0</v>
      </c>
      <c r="Z55" s="2">
        <v>0</v>
      </c>
    </row>
    <row r="56" spans="1:26" x14ac:dyDescent="0.25">
      <c r="A56" s="2">
        <v>55</v>
      </c>
      <c r="B56" s="2" t="s">
        <v>334</v>
      </c>
      <c r="C56" s="2" t="s">
        <v>255</v>
      </c>
      <c r="D56" s="2" t="s">
        <v>261</v>
      </c>
      <c r="E56" s="2">
        <v>8799</v>
      </c>
      <c r="F56" s="2">
        <v>1461</v>
      </c>
      <c r="G56" s="2">
        <v>488</v>
      </c>
      <c r="H56" s="2">
        <v>2.5</v>
      </c>
      <c r="I56" s="2">
        <v>122</v>
      </c>
      <c r="J56" s="2">
        <v>4</v>
      </c>
      <c r="K56" s="2">
        <v>2.5</v>
      </c>
      <c r="L56" s="2" t="str">
        <f t="shared" si="3"/>
        <v>122 x 4 x 2.5</v>
      </c>
      <c r="M56" s="2">
        <f t="shared" si="4"/>
        <v>518.75</v>
      </c>
      <c r="N56" s="2">
        <v>45</v>
      </c>
      <c r="O56" s="2">
        <v>1E-3</v>
      </c>
      <c r="P56" s="2">
        <v>1.9</v>
      </c>
      <c r="Q56" s="2">
        <v>1.88</v>
      </c>
      <c r="R56" s="2">
        <f t="shared" si="5"/>
        <v>0.752</v>
      </c>
      <c r="S56" s="2" t="s">
        <v>331</v>
      </c>
      <c r="T56" s="2">
        <v>1.87</v>
      </c>
      <c r="U56" s="2" t="s">
        <v>335</v>
      </c>
      <c r="V56" s="2" t="s">
        <v>350</v>
      </c>
      <c r="W56" s="2">
        <v>14</v>
      </c>
      <c r="X56" s="2">
        <v>1</v>
      </c>
      <c r="Y56" s="2">
        <v>28</v>
      </c>
      <c r="Z56" s="2">
        <v>1</v>
      </c>
    </row>
    <row r="57" spans="1:26" x14ac:dyDescent="0.25">
      <c r="A57" s="2">
        <v>56</v>
      </c>
      <c r="B57" s="2" t="s">
        <v>337</v>
      </c>
      <c r="C57" s="2" t="s">
        <v>255</v>
      </c>
      <c r="D57" s="2" t="s">
        <v>258</v>
      </c>
      <c r="E57" s="2">
        <v>3529.9</v>
      </c>
      <c r="F57" s="2">
        <v>1348.8</v>
      </c>
      <c r="G57" s="2">
        <v>238</v>
      </c>
      <c r="H57" s="2">
        <v>2.5</v>
      </c>
      <c r="I57" s="2">
        <v>60</v>
      </c>
      <c r="J57" s="2">
        <v>4</v>
      </c>
      <c r="K57" s="2">
        <v>2.5</v>
      </c>
      <c r="L57" s="2" t="str">
        <f t="shared" si="3"/>
        <v>60 x 4 x 2.5</v>
      </c>
      <c r="M57" s="2">
        <f t="shared" si="4"/>
        <v>255.25</v>
      </c>
      <c r="N57" s="2">
        <v>45</v>
      </c>
      <c r="O57" s="2">
        <v>6.0000000000000001E-3</v>
      </c>
      <c r="P57" s="2">
        <v>3.2</v>
      </c>
      <c r="Q57" s="2">
        <v>2.2999999999999998</v>
      </c>
      <c r="R57" s="2">
        <f t="shared" si="5"/>
        <v>0.91999999999999993</v>
      </c>
      <c r="S57" s="2" t="s">
        <v>338</v>
      </c>
      <c r="T57" s="2">
        <v>1.61</v>
      </c>
      <c r="U57" s="2" t="s">
        <v>332</v>
      </c>
      <c r="V57" s="2" t="s">
        <v>333</v>
      </c>
      <c r="W57" s="2">
        <v>0</v>
      </c>
      <c r="X57" s="2">
        <v>0</v>
      </c>
      <c r="Y57" s="2">
        <v>0</v>
      </c>
      <c r="Z57" s="2">
        <v>0</v>
      </c>
    </row>
    <row r="58" spans="1:26" x14ac:dyDescent="0.25">
      <c r="A58" s="2">
        <v>57</v>
      </c>
      <c r="B58" s="2" t="s">
        <v>330</v>
      </c>
      <c r="C58" s="2" t="s">
        <v>263</v>
      </c>
      <c r="D58" s="2" t="s">
        <v>268</v>
      </c>
      <c r="E58" s="2">
        <v>6472.9</v>
      </c>
      <c r="F58" s="2">
        <v>263.8</v>
      </c>
      <c r="G58" s="2">
        <v>90.5</v>
      </c>
      <c r="H58" s="2">
        <v>2.5</v>
      </c>
      <c r="I58" s="2">
        <v>23</v>
      </c>
      <c r="J58" s="2">
        <v>4</v>
      </c>
      <c r="K58" s="2">
        <v>2.5</v>
      </c>
      <c r="L58" s="2" t="str">
        <f t="shared" si="3"/>
        <v>23 x 4 x 2.5</v>
      </c>
      <c r="M58" s="2">
        <f t="shared" si="4"/>
        <v>98</v>
      </c>
      <c r="N58" s="2">
        <v>32</v>
      </c>
      <c r="O58" s="2">
        <v>1E-3</v>
      </c>
      <c r="P58" s="2">
        <v>4.2</v>
      </c>
      <c r="Q58" s="2">
        <v>1.88</v>
      </c>
      <c r="R58" s="2">
        <f t="shared" si="5"/>
        <v>0.752</v>
      </c>
      <c r="S58" s="2" t="s">
        <v>331</v>
      </c>
      <c r="T58" s="2">
        <v>1.87</v>
      </c>
      <c r="U58" s="2" t="s">
        <v>332</v>
      </c>
      <c r="V58" s="2" t="s">
        <v>333</v>
      </c>
      <c r="W58" s="2">
        <v>0</v>
      </c>
      <c r="X58" s="2">
        <v>0</v>
      </c>
      <c r="Y58" s="2">
        <v>0</v>
      </c>
      <c r="Z58" s="2">
        <v>0</v>
      </c>
    </row>
    <row r="59" spans="1:26" x14ac:dyDescent="0.25">
      <c r="A59" s="2">
        <v>58</v>
      </c>
      <c r="B59" s="2" t="s">
        <v>334</v>
      </c>
      <c r="C59" s="2" t="s">
        <v>263</v>
      </c>
      <c r="D59" s="2" t="s">
        <v>264</v>
      </c>
      <c r="E59" s="2">
        <v>3693.4</v>
      </c>
      <c r="F59" s="2">
        <v>259.3</v>
      </c>
      <c r="G59" s="2">
        <v>60</v>
      </c>
      <c r="H59" s="2">
        <v>2.5</v>
      </c>
      <c r="I59" s="2">
        <v>15</v>
      </c>
      <c r="J59" s="2">
        <v>4</v>
      </c>
      <c r="K59" s="2">
        <v>2.5</v>
      </c>
      <c r="L59" s="2" t="str">
        <f t="shared" si="3"/>
        <v>15 x 4 x 2.5</v>
      </c>
      <c r="M59" s="2">
        <f t="shared" si="4"/>
        <v>64</v>
      </c>
      <c r="N59" s="2">
        <v>45</v>
      </c>
      <c r="O59" s="2">
        <v>2.3E-3</v>
      </c>
      <c r="P59" s="2">
        <v>15.1</v>
      </c>
      <c r="Q59" s="2">
        <v>1.93</v>
      </c>
      <c r="R59" s="2">
        <f t="shared" si="5"/>
        <v>0.77200000000000002</v>
      </c>
      <c r="S59" s="2" t="s">
        <v>338</v>
      </c>
      <c r="T59" s="2">
        <v>1.87</v>
      </c>
      <c r="U59" s="2" t="s">
        <v>332</v>
      </c>
      <c r="V59" s="2" t="s">
        <v>333</v>
      </c>
      <c r="W59" s="2">
        <v>0</v>
      </c>
      <c r="X59" s="2">
        <v>0</v>
      </c>
      <c r="Y59" s="2">
        <v>0</v>
      </c>
      <c r="Z59" s="2">
        <v>0</v>
      </c>
    </row>
    <row r="60" spans="1:26" x14ac:dyDescent="0.25">
      <c r="A60" s="2">
        <v>59</v>
      </c>
      <c r="B60" s="2" t="s">
        <v>337</v>
      </c>
      <c r="C60" s="2" t="s">
        <v>263</v>
      </c>
      <c r="D60" s="2" t="s">
        <v>262</v>
      </c>
      <c r="E60" s="2">
        <v>0</v>
      </c>
      <c r="F60" s="2">
        <v>217.5</v>
      </c>
      <c r="G60" s="2">
        <v>45</v>
      </c>
      <c r="H60" s="2">
        <v>2.5</v>
      </c>
      <c r="I60" s="2">
        <v>12</v>
      </c>
      <c r="J60" s="2">
        <v>4</v>
      </c>
      <c r="K60" s="2">
        <v>2.5</v>
      </c>
      <c r="L60" s="2" t="str">
        <f t="shared" si="3"/>
        <v>12 x 4 x 2.5</v>
      </c>
      <c r="M60" s="2">
        <f t="shared" si="4"/>
        <v>51.25</v>
      </c>
      <c r="N60" s="2">
        <v>45</v>
      </c>
      <c r="O60" s="2">
        <v>2.8999999999999998E-3</v>
      </c>
      <c r="P60" s="2">
        <v>23.9</v>
      </c>
      <c r="Q60" s="2">
        <v>1.99</v>
      </c>
      <c r="R60" s="2">
        <f t="shared" si="5"/>
        <v>0.79600000000000004</v>
      </c>
      <c r="S60" s="2" t="s">
        <v>338</v>
      </c>
      <c r="T60" s="2">
        <v>1.87</v>
      </c>
      <c r="U60" s="2" t="s">
        <v>332</v>
      </c>
      <c r="V60" s="2" t="s">
        <v>333</v>
      </c>
      <c r="W60" s="2">
        <v>0</v>
      </c>
      <c r="X60" s="2">
        <v>0</v>
      </c>
      <c r="Y60" s="2">
        <v>0</v>
      </c>
      <c r="Z60" s="2">
        <v>0</v>
      </c>
    </row>
    <row r="61" spans="1:26" x14ac:dyDescent="0.25">
      <c r="A61" s="2">
        <v>60</v>
      </c>
      <c r="B61" s="2" t="s">
        <v>337</v>
      </c>
      <c r="C61" s="2" t="s">
        <v>270</v>
      </c>
      <c r="D61" s="2" t="s">
        <v>269</v>
      </c>
      <c r="E61" s="2">
        <v>0</v>
      </c>
      <c r="F61" s="2">
        <v>0</v>
      </c>
      <c r="G61" s="2">
        <v>10</v>
      </c>
      <c r="H61" s="2">
        <v>2.5</v>
      </c>
      <c r="I61" s="2">
        <v>3</v>
      </c>
      <c r="J61" s="2">
        <v>4</v>
      </c>
      <c r="K61" s="2">
        <v>2.5</v>
      </c>
      <c r="L61" s="2" t="str">
        <f t="shared" si="3"/>
        <v>3 x 4 x 2.5</v>
      </c>
      <c r="M61" s="2">
        <f t="shared" si="4"/>
        <v>13</v>
      </c>
      <c r="N61" s="2">
        <v>45</v>
      </c>
      <c r="O61" s="2">
        <v>3.8999999999999998E-3</v>
      </c>
      <c r="P61" s="2">
        <v>6.1</v>
      </c>
      <c r="Q61" s="2">
        <v>0</v>
      </c>
      <c r="R61" s="2">
        <f t="shared" si="5"/>
        <v>0</v>
      </c>
      <c r="S61" s="2" t="s">
        <v>338</v>
      </c>
      <c r="T61" s="2">
        <v>0</v>
      </c>
      <c r="U61" s="2" t="s">
        <v>332</v>
      </c>
      <c r="V61" s="2" t="s">
        <v>333</v>
      </c>
      <c r="W61" s="2">
        <v>0</v>
      </c>
      <c r="X61" s="2">
        <v>0</v>
      </c>
      <c r="Y61" s="2">
        <v>0</v>
      </c>
      <c r="Z61" s="2">
        <v>0</v>
      </c>
    </row>
    <row r="62" spans="1:26" x14ac:dyDescent="0.25">
      <c r="A62" s="2">
        <v>61</v>
      </c>
      <c r="B62" s="2" t="s">
        <v>330</v>
      </c>
      <c r="C62" s="2" t="s">
        <v>273</v>
      </c>
      <c r="D62" s="2" t="s">
        <v>274</v>
      </c>
      <c r="E62" s="2">
        <v>2773.6</v>
      </c>
      <c r="F62" s="2">
        <v>149.19999999999999</v>
      </c>
      <c r="G62" s="2">
        <v>52.5</v>
      </c>
      <c r="H62" s="2">
        <v>2.5</v>
      </c>
      <c r="I62" s="2">
        <v>14</v>
      </c>
      <c r="J62" s="2">
        <v>4</v>
      </c>
      <c r="K62" s="2">
        <v>2.5</v>
      </c>
      <c r="L62" s="2" t="str">
        <f t="shared" si="3"/>
        <v>14 x 4 x 2.5</v>
      </c>
      <c r="M62" s="2">
        <f t="shared" si="4"/>
        <v>59.75</v>
      </c>
      <c r="N62" s="2">
        <v>32</v>
      </c>
      <c r="O62" s="2">
        <v>1E-3</v>
      </c>
      <c r="P62" s="2">
        <v>10</v>
      </c>
      <c r="Q62" s="2">
        <v>1.87</v>
      </c>
      <c r="R62" s="2">
        <f t="shared" si="5"/>
        <v>0.748</v>
      </c>
      <c r="S62" s="2" t="s">
        <v>331</v>
      </c>
      <c r="T62" s="2">
        <v>1.86</v>
      </c>
      <c r="U62" s="2" t="s">
        <v>332</v>
      </c>
      <c r="V62" s="2" t="s">
        <v>333</v>
      </c>
      <c r="W62" s="2">
        <v>0</v>
      </c>
      <c r="X62" s="2">
        <v>0</v>
      </c>
      <c r="Y62" s="2">
        <v>0</v>
      </c>
      <c r="Z62" s="2">
        <v>0</v>
      </c>
    </row>
    <row r="63" spans="1:26" x14ac:dyDescent="0.25">
      <c r="A63" s="1" t="s">
        <v>286</v>
      </c>
      <c r="B63" s="1"/>
      <c r="C63" s="1"/>
      <c r="D63" s="1"/>
      <c r="E63" s="1"/>
      <c r="F63" s="1"/>
      <c r="G63" s="1"/>
      <c r="H63" s="1"/>
      <c r="I63" s="1">
        <f>SUM(I2:I62)</f>
        <v>1304</v>
      </c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38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5" customWidth="1"/>
    <col min="2" max="2" width="13" customWidth="1"/>
    <col min="3" max="3" width="8" customWidth="1"/>
    <col min="4" max="4" width="10" customWidth="1"/>
    <col min="5" max="5" width="9" customWidth="1"/>
    <col min="6" max="6" width="11" customWidth="1"/>
    <col min="7" max="8" width="10" customWidth="1"/>
    <col min="9" max="9" width="9" customWidth="1"/>
    <col min="10" max="10" width="11" customWidth="1"/>
    <col min="11" max="11" width="12" customWidth="1"/>
    <col min="12" max="12" width="13" customWidth="1"/>
    <col min="13" max="14" width="12" customWidth="1"/>
  </cols>
  <sheetData>
    <row r="1" spans="1:14" ht="42" customHeight="1" x14ac:dyDescent="0.25">
      <c r="A1" s="3" t="s">
        <v>308</v>
      </c>
      <c r="B1" s="3" t="s">
        <v>351</v>
      </c>
      <c r="C1" s="3" t="s">
        <v>12</v>
      </c>
      <c r="D1" s="3" t="s">
        <v>13</v>
      </c>
      <c r="E1" s="3" t="s">
        <v>352</v>
      </c>
      <c r="F1" s="3" t="s">
        <v>353</v>
      </c>
      <c r="G1" s="3" t="s">
        <v>354</v>
      </c>
      <c r="H1" s="3" t="s">
        <v>355</v>
      </c>
      <c r="I1" s="3" t="s">
        <v>356</v>
      </c>
      <c r="J1" s="3" t="s">
        <v>357</v>
      </c>
      <c r="K1" s="3" t="s">
        <v>358</v>
      </c>
      <c r="L1" s="3" t="s">
        <v>359</v>
      </c>
      <c r="M1" s="3" t="s">
        <v>360</v>
      </c>
      <c r="N1" s="3" t="s">
        <v>361</v>
      </c>
    </row>
    <row r="2" spans="1:14" x14ac:dyDescent="0.25">
      <c r="A2" s="2">
        <v>1</v>
      </c>
      <c r="B2" s="2" t="s">
        <v>362</v>
      </c>
      <c r="C2" s="2" t="s">
        <v>363</v>
      </c>
      <c r="D2" s="2">
        <v>4416.1000000000004</v>
      </c>
      <c r="E2" s="2">
        <v>97</v>
      </c>
      <c r="F2" s="2">
        <v>0.95</v>
      </c>
      <c r="G2" s="2">
        <v>1.81</v>
      </c>
      <c r="H2" s="2">
        <v>3.06</v>
      </c>
      <c r="I2" s="2">
        <v>2.1</v>
      </c>
      <c r="J2" s="2">
        <f t="shared" ref="J2:J37" si="0">4+3*I2+3</f>
        <v>13.3</v>
      </c>
      <c r="K2" s="2">
        <f t="shared" ref="K2:K37" si="1">J2*D2</f>
        <v>58734.130000000005</v>
      </c>
      <c r="L2" s="2">
        <f t="shared" ref="L2:L37" si="2">0.4*J2*D2</f>
        <v>23493.652000000002</v>
      </c>
      <c r="M2" s="2">
        <f t="shared" ref="M2:M37" si="3">(I2*(4+1.5*I2)+0.4*J2)*D2</f>
        <v>89801.393500000006</v>
      </c>
      <c r="N2" s="2">
        <f t="shared" ref="N2:N37" si="4">(0.525+0.2)*1.803*I2*D2</f>
        <v>12122.492586750004</v>
      </c>
    </row>
    <row r="3" spans="1:14" x14ac:dyDescent="0.25">
      <c r="A3" s="2">
        <v>2</v>
      </c>
      <c r="B3" s="2" t="s">
        <v>364</v>
      </c>
      <c r="C3" s="2" t="s">
        <v>363</v>
      </c>
      <c r="D3" s="2">
        <v>2519.4</v>
      </c>
      <c r="E3" s="2">
        <v>97</v>
      </c>
      <c r="F3" s="2">
        <v>0.7</v>
      </c>
      <c r="G3" s="2">
        <v>1.34</v>
      </c>
      <c r="H3" s="2">
        <v>1.88</v>
      </c>
      <c r="I3" s="2">
        <v>1.8</v>
      </c>
      <c r="J3" s="2">
        <f t="shared" si="0"/>
        <v>12.4</v>
      </c>
      <c r="K3" s="2">
        <f t="shared" si="1"/>
        <v>31240.560000000001</v>
      </c>
      <c r="L3" s="2">
        <f t="shared" si="2"/>
        <v>12496.224000000002</v>
      </c>
      <c r="M3" s="2">
        <f t="shared" si="3"/>
        <v>42880.188000000009</v>
      </c>
      <c r="N3" s="2">
        <f t="shared" si="4"/>
        <v>5927.9340510000011</v>
      </c>
    </row>
    <row r="4" spans="1:14" x14ac:dyDescent="0.25">
      <c r="A4" s="2">
        <v>3</v>
      </c>
      <c r="B4" s="2" t="s">
        <v>365</v>
      </c>
      <c r="C4" s="2" t="s">
        <v>363</v>
      </c>
      <c r="D4" s="2">
        <v>381.5</v>
      </c>
      <c r="E4" s="2">
        <v>100</v>
      </c>
      <c r="F4" s="2">
        <v>3.37</v>
      </c>
      <c r="G4" s="2">
        <v>6.5</v>
      </c>
      <c r="H4" s="2">
        <v>7.61</v>
      </c>
      <c r="I4" s="2">
        <v>4.5</v>
      </c>
      <c r="J4" s="2">
        <f t="shared" si="0"/>
        <v>20.5</v>
      </c>
      <c r="K4" s="2">
        <f t="shared" si="1"/>
        <v>7820.75</v>
      </c>
      <c r="L4" s="2">
        <f t="shared" si="2"/>
        <v>3128.3</v>
      </c>
      <c r="M4" s="2">
        <f t="shared" si="3"/>
        <v>21583.362499999999</v>
      </c>
      <c r="N4" s="2">
        <f t="shared" si="4"/>
        <v>2244.0926812500006</v>
      </c>
    </row>
    <row r="5" spans="1:14" x14ac:dyDescent="0.25">
      <c r="A5" s="2">
        <v>4</v>
      </c>
      <c r="B5" s="2" t="s">
        <v>366</v>
      </c>
      <c r="C5" s="2" t="s">
        <v>363</v>
      </c>
      <c r="D5" s="2">
        <v>2319.9</v>
      </c>
      <c r="E5" s="2">
        <v>94</v>
      </c>
      <c r="F5" s="2">
        <v>1.06</v>
      </c>
      <c r="G5" s="2">
        <v>2.29</v>
      </c>
      <c r="H5" s="2">
        <v>3.4</v>
      </c>
      <c r="I5" s="2">
        <v>2.2000000000000002</v>
      </c>
      <c r="J5" s="2">
        <f t="shared" si="0"/>
        <v>13.600000000000001</v>
      </c>
      <c r="K5" s="2">
        <f t="shared" si="1"/>
        <v>31550.640000000003</v>
      </c>
      <c r="L5" s="2">
        <f t="shared" si="2"/>
        <v>12620.256000000003</v>
      </c>
      <c r="M5" s="2">
        <f t="shared" si="3"/>
        <v>49877.850000000013</v>
      </c>
      <c r="N5" s="2">
        <f t="shared" si="4"/>
        <v>6671.5336215000016</v>
      </c>
    </row>
    <row r="6" spans="1:14" x14ac:dyDescent="0.25">
      <c r="A6" s="2">
        <v>5</v>
      </c>
      <c r="B6" s="2" t="s">
        <v>367</v>
      </c>
      <c r="C6" s="2" t="s">
        <v>363</v>
      </c>
      <c r="D6" s="2">
        <v>2466</v>
      </c>
      <c r="E6" s="2">
        <v>99</v>
      </c>
      <c r="F6" s="2">
        <v>1.05</v>
      </c>
      <c r="G6" s="2">
        <v>1.74</v>
      </c>
      <c r="H6" s="2">
        <v>3.05</v>
      </c>
      <c r="I6" s="2">
        <v>2.2000000000000002</v>
      </c>
      <c r="J6" s="2">
        <f t="shared" si="0"/>
        <v>13.600000000000001</v>
      </c>
      <c r="K6" s="2">
        <f t="shared" si="1"/>
        <v>33537.600000000006</v>
      </c>
      <c r="L6" s="2">
        <f t="shared" si="2"/>
        <v>13415.040000000003</v>
      </c>
      <c r="M6" s="2">
        <f t="shared" si="3"/>
        <v>53019.000000000007</v>
      </c>
      <c r="N6" s="2">
        <f t="shared" si="4"/>
        <v>7091.6858100000009</v>
      </c>
    </row>
    <row r="7" spans="1:14" x14ac:dyDescent="0.25">
      <c r="A7" s="2">
        <v>6</v>
      </c>
      <c r="B7" s="2" t="s">
        <v>368</v>
      </c>
      <c r="C7" s="2" t="s">
        <v>363</v>
      </c>
      <c r="D7" s="2">
        <v>1383.7</v>
      </c>
      <c r="E7" s="2">
        <v>92</v>
      </c>
      <c r="F7" s="2">
        <v>0.42</v>
      </c>
      <c r="G7" s="2">
        <v>0.81</v>
      </c>
      <c r="H7" s="2">
        <v>1.41</v>
      </c>
      <c r="I7" s="2">
        <v>1.6</v>
      </c>
      <c r="J7" s="2">
        <f t="shared" si="0"/>
        <v>11.8</v>
      </c>
      <c r="K7" s="2">
        <f t="shared" si="1"/>
        <v>16327.660000000002</v>
      </c>
      <c r="L7" s="2">
        <f t="shared" si="2"/>
        <v>6531.0640000000012</v>
      </c>
      <c r="M7" s="2">
        <f t="shared" si="3"/>
        <v>20700.152000000006</v>
      </c>
      <c r="N7" s="2">
        <f t="shared" si="4"/>
        <v>2893.9808760000005</v>
      </c>
    </row>
    <row r="8" spans="1:14" x14ac:dyDescent="0.25">
      <c r="A8" s="2">
        <v>7</v>
      </c>
      <c r="B8" s="2" t="s">
        <v>369</v>
      </c>
      <c r="C8" s="2" t="s">
        <v>363</v>
      </c>
      <c r="D8" s="2">
        <v>7064</v>
      </c>
      <c r="E8" s="2">
        <v>98</v>
      </c>
      <c r="F8" s="2">
        <v>0.75</v>
      </c>
      <c r="G8" s="2">
        <v>1.34</v>
      </c>
      <c r="H8" s="2">
        <v>3.31</v>
      </c>
      <c r="I8" s="2">
        <v>1.9</v>
      </c>
      <c r="J8" s="2">
        <f t="shared" si="0"/>
        <v>12.7</v>
      </c>
      <c r="K8" s="2">
        <f t="shared" si="1"/>
        <v>89712.799999999988</v>
      </c>
      <c r="L8" s="2">
        <f t="shared" si="2"/>
        <v>35885.120000000003</v>
      </c>
      <c r="M8" s="2">
        <f t="shared" si="3"/>
        <v>127823.07999999999</v>
      </c>
      <c r="N8" s="2">
        <f t="shared" si="4"/>
        <v>17544.379980000002</v>
      </c>
    </row>
    <row r="9" spans="1:14" x14ac:dyDescent="0.25">
      <c r="A9" s="2">
        <v>8</v>
      </c>
      <c r="B9" s="2" t="s">
        <v>370</v>
      </c>
      <c r="C9" s="2" t="s">
        <v>363</v>
      </c>
      <c r="D9" s="2">
        <v>548.1</v>
      </c>
      <c r="E9" s="2">
        <v>100</v>
      </c>
      <c r="F9" s="2">
        <v>0.71</v>
      </c>
      <c r="G9" s="2">
        <v>1.07</v>
      </c>
      <c r="H9" s="2">
        <v>1.63</v>
      </c>
      <c r="I9" s="2">
        <v>1.9</v>
      </c>
      <c r="J9" s="2">
        <f t="shared" si="0"/>
        <v>12.7</v>
      </c>
      <c r="K9" s="2">
        <f t="shared" si="1"/>
        <v>6960.87</v>
      </c>
      <c r="L9" s="2">
        <f t="shared" si="2"/>
        <v>2784.348</v>
      </c>
      <c r="M9" s="2">
        <f t="shared" si="3"/>
        <v>9917.8694999999989</v>
      </c>
      <c r="N9" s="2">
        <f t="shared" si="4"/>
        <v>1361.27897325</v>
      </c>
    </row>
    <row r="10" spans="1:14" x14ac:dyDescent="0.25">
      <c r="A10" s="2">
        <v>9</v>
      </c>
      <c r="B10" s="2" t="s">
        <v>371</v>
      </c>
      <c r="C10" s="2" t="s">
        <v>363</v>
      </c>
      <c r="D10" s="2">
        <v>2131.4</v>
      </c>
      <c r="E10" s="2">
        <v>99</v>
      </c>
      <c r="F10" s="2">
        <v>0.8</v>
      </c>
      <c r="G10" s="2">
        <v>1.64</v>
      </c>
      <c r="H10" s="2">
        <v>2.48</v>
      </c>
      <c r="I10" s="2">
        <v>2</v>
      </c>
      <c r="J10" s="2">
        <f t="shared" si="0"/>
        <v>13</v>
      </c>
      <c r="K10" s="2">
        <f t="shared" si="1"/>
        <v>27708.2</v>
      </c>
      <c r="L10" s="2">
        <f t="shared" si="2"/>
        <v>11083.28</v>
      </c>
      <c r="M10" s="2">
        <f t="shared" si="3"/>
        <v>40922.879999999997</v>
      </c>
      <c r="N10" s="2">
        <f t="shared" si="4"/>
        <v>5572.2255900000009</v>
      </c>
    </row>
    <row r="11" spans="1:14" x14ac:dyDescent="0.25">
      <c r="A11" s="2">
        <v>10</v>
      </c>
      <c r="B11" s="2" t="s">
        <v>372</v>
      </c>
      <c r="C11" s="2" t="s">
        <v>363</v>
      </c>
      <c r="D11" s="2">
        <v>8370.1</v>
      </c>
      <c r="E11" s="2">
        <v>99</v>
      </c>
      <c r="F11" s="2">
        <v>0.82</v>
      </c>
      <c r="G11" s="2">
        <v>1.37</v>
      </c>
      <c r="H11" s="2">
        <v>3.03</v>
      </c>
      <c r="I11" s="2">
        <v>2</v>
      </c>
      <c r="J11" s="2">
        <f t="shared" si="0"/>
        <v>13</v>
      </c>
      <c r="K11" s="2">
        <f t="shared" si="1"/>
        <v>108811.3</v>
      </c>
      <c r="L11" s="2">
        <f t="shared" si="2"/>
        <v>43524.520000000004</v>
      </c>
      <c r="M11" s="2">
        <f t="shared" si="3"/>
        <v>160705.92000000001</v>
      </c>
      <c r="N11" s="2">
        <f t="shared" si="4"/>
        <v>21882.370935000003</v>
      </c>
    </row>
    <row r="12" spans="1:14" x14ac:dyDescent="0.25">
      <c r="A12" s="2">
        <v>11</v>
      </c>
      <c r="B12" s="2" t="s">
        <v>373</v>
      </c>
      <c r="C12" s="2" t="s">
        <v>363</v>
      </c>
      <c r="D12" s="2">
        <v>838</v>
      </c>
      <c r="E12" s="2">
        <v>99</v>
      </c>
      <c r="F12" s="2">
        <v>0.67</v>
      </c>
      <c r="G12" s="2">
        <v>1.18</v>
      </c>
      <c r="H12" s="2">
        <v>2.58</v>
      </c>
      <c r="I12" s="2">
        <v>1.8</v>
      </c>
      <c r="J12" s="2">
        <f t="shared" si="0"/>
        <v>12.4</v>
      </c>
      <c r="K12" s="2">
        <f t="shared" si="1"/>
        <v>10391.200000000001</v>
      </c>
      <c r="L12" s="2">
        <f t="shared" si="2"/>
        <v>4156.4800000000005</v>
      </c>
      <c r="M12" s="2">
        <f t="shared" si="3"/>
        <v>14262.760000000002</v>
      </c>
      <c r="N12" s="2">
        <f t="shared" si="4"/>
        <v>1971.7427700000003</v>
      </c>
    </row>
    <row r="13" spans="1:14" x14ac:dyDescent="0.25">
      <c r="A13" s="2">
        <v>12</v>
      </c>
      <c r="B13" s="2" t="s">
        <v>374</v>
      </c>
      <c r="C13" s="2" t="s">
        <v>363</v>
      </c>
      <c r="D13" s="2">
        <v>1062.9000000000001</v>
      </c>
      <c r="E13" s="2">
        <v>99</v>
      </c>
      <c r="F13" s="2">
        <v>0.62</v>
      </c>
      <c r="G13" s="2">
        <v>1.1000000000000001</v>
      </c>
      <c r="H13" s="2">
        <v>1.71</v>
      </c>
      <c r="I13" s="2">
        <v>1.8</v>
      </c>
      <c r="J13" s="2">
        <f t="shared" si="0"/>
        <v>12.4</v>
      </c>
      <c r="K13" s="2">
        <f t="shared" si="1"/>
        <v>13179.960000000001</v>
      </c>
      <c r="L13" s="2">
        <f t="shared" si="2"/>
        <v>5271.9840000000013</v>
      </c>
      <c r="M13" s="2">
        <f t="shared" si="3"/>
        <v>18090.558000000005</v>
      </c>
      <c r="N13" s="2">
        <f t="shared" si="4"/>
        <v>2500.9133535000005</v>
      </c>
    </row>
    <row r="14" spans="1:14" x14ac:dyDescent="0.25">
      <c r="A14" s="2">
        <v>13</v>
      </c>
      <c r="B14" s="2" t="s">
        <v>375</v>
      </c>
      <c r="C14" s="2" t="s">
        <v>376</v>
      </c>
      <c r="D14" s="2">
        <v>638.5</v>
      </c>
      <c r="E14" s="2">
        <v>100</v>
      </c>
      <c r="F14" s="2">
        <v>1.99</v>
      </c>
      <c r="G14" s="2">
        <v>2.69</v>
      </c>
      <c r="H14" s="2">
        <v>3.51</v>
      </c>
      <c r="I14" s="2">
        <v>3.1</v>
      </c>
      <c r="J14" s="2">
        <f t="shared" si="0"/>
        <v>16.3</v>
      </c>
      <c r="K14" s="2">
        <f t="shared" si="1"/>
        <v>10407.550000000001</v>
      </c>
      <c r="L14" s="2">
        <f t="shared" si="2"/>
        <v>4163.0200000000004</v>
      </c>
      <c r="M14" s="2">
        <f t="shared" si="3"/>
        <v>21284.397499999999</v>
      </c>
      <c r="N14" s="2">
        <f t="shared" si="4"/>
        <v>2587.3568362500005</v>
      </c>
    </row>
    <row r="15" spans="1:14" x14ac:dyDescent="0.25">
      <c r="A15" s="2">
        <v>14</v>
      </c>
      <c r="B15" s="2" t="s">
        <v>377</v>
      </c>
      <c r="C15" s="2" t="s">
        <v>376</v>
      </c>
      <c r="D15" s="2">
        <v>786.6</v>
      </c>
      <c r="E15" s="2">
        <v>94</v>
      </c>
      <c r="F15" s="2">
        <v>0.82</v>
      </c>
      <c r="G15" s="2">
        <v>1.8</v>
      </c>
      <c r="H15" s="2">
        <v>2.14</v>
      </c>
      <c r="I15" s="2">
        <v>2</v>
      </c>
      <c r="J15" s="2">
        <f t="shared" si="0"/>
        <v>13</v>
      </c>
      <c r="K15" s="2">
        <f t="shared" si="1"/>
        <v>10225.800000000001</v>
      </c>
      <c r="L15" s="2">
        <f t="shared" si="2"/>
        <v>4090.32</v>
      </c>
      <c r="M15" s="2">
        <f t="shared" si="3"/>
        <v>15102.72</v>
      </c>
      <c r="N15" s="2">
        <f t="shared" si="4"/>
        <v>2056.4477100000004</v>
      </c>
    </row>
    <row r="16" spans="1:14" x14ac:dyDescent="0.25">
      <c r="A16" s="2">
        <v>15</v>
      </c>
      <c r="B16" s="2" t="s">
        <v>378</v>
      </c>
      <c r="C16" s="2" t="s">
        <v>376</v>
      </c>
      <c r="D16" s="2">
        <v>193.9</v>
      </c>
      <c r="E16" s="2">
        <v>96</v>
      </c>
      <c r="F16" s="2">
        <v>0.94</v>
      </c>
      <c r="G16" s="2">
        <v>2</v>
      </c>
      <c r="H16" s="2">
        <v>2.31</v>
      </c>
      <c r="I16" s="2">
        <v>2.1</v>
      </c>
      <c r="J16" s="2">
        <f t="shared" si="0"/>
        <v>13.3</v>
      </c>
      <c r="K16" s="2">
        <f t="shared" si="1"/>
        <v>2578.8700000000003</v>
      </c>
      <c r="L16" s="2">
        <f t="shared" si="2"/>
        <v>1031.548</v>
      </c>
      <c r="M16" s="2">
        <f t="shared" si="3"/>
        <v>3942.9565000000002</v>
      </c>
      <c r="N16" s="2">
        <f t="shared" si="4"/>
        <v>532.26858825000011</v>
      </c>
    </row>
    <row r="17" spans="1:14" x14ac:dyDescent="0.25">
      <c r="A17" s="2">
        <v>16</v>
      </c>
      <c r="B17" s="2" t="s">
        <v>379</v>
      </c>
      <c r="C17" s="2" t="s">
        <v>376</v>
      </c>
      <c r="D17" s="2">
        <v>758</v>
      </c>
      <c r="E17" s="2">
        <v>100</v>
      </c>
      <c r="F17" s="2">
        <v>0.78</v>
      </c>
      <c r="G17" s="2">
        <v>1.1599999999999999</v>
      </c>
      <c r="H17" s="2">
        <v>1.69</v>
      </c>
      <c r="I17" s="2">
        <v>1.9</v>
      </c>
      <c r="J17" s="2">
        <f t="shared" si="0"/>
        <v>12.7</v>
      </c>
      <c r="K17" s="2">
        <f t="shared" si="1"/>
        <v>9626.6</v>
      </c>
      <c r="L17" s="2">
        <f t="shared" si="2"/>
        <v>3850.64</v>
      </c>
      <c r="M17" s="2">
        <f t="shared" si="3"/>
        <v>13716.009999999998</v>
      </c>
      <c r="N17" s="2">
        <f t="shared" si="4"/>
        <v>1882.593435</v>
      </c>
    </row>
    <row r="18" spans="1:14" x14ac:dyDescent="0.25">
      <c r="A18" s="2">
        <v>17</v>
      </c>
      <c r="B18" s="2" t="s">
        <v>380</v>
      </c>
      <c r="C18" s="2" t="s">
        <v>376</v>
      </c>
      <c r="D18" s="2">
        <v>469.9</v>
      </c>
      <c r="E18" s="2">
        <v>100</v>
      </c>
      <c r="F18" s="2">
        <v>0.62</v>
      </c>
      <c r="G18" s="2">
        <v>0.93</v>
      </c>
      <c r="H18" s="2">
        <v>1.38</v>
      </c>
      <c r="I18" s="2">
        <v>1.8</v>
      </c>
      <c r="J18" s="2">
        <f t="shared" si="0"/>
        <v>12.4</v>
      </c>
      <c r="K18" s="2">
        <f t="shared" si="1"/>
        <v>5826.76</v>
      </c>
      <c r="L18" s="2">
        <f t="shared" si="2"/>
        <v>2330.7040000000002</v>
      </c>
      <c r="M18" s="2">
        <f t="shared" si="3"/>
        <v>7997.6980000000012</v>
      </c>
      <c r="N18" s="2">
        <f t="shared" si="4"/>
        <v>1105.6347585000001</v>
      </c>
    </row>
    <row r="19" spans="1:14" x14ac:dyDescent="0.25">
      <c r="A19" s="2">
        <v>18</v>
      </c>
      <c r="B19" s="2" t="s">
        <v>381</v>
      </c>
      <c r="C19" s="2" t="s">
        <v>382</v>
      </c>
      <c r="D19" s="2">
        <v>1058.3</v>
      </c>
      <c r="E19" s="2">
        <v>96</v>
      </c>
      <c r="F19" s="2">
        <v>0.44</v>
      </c>
      <c r="G19" s="2">
        <v>0.74</v>
      </c>
      <c r="H19" s="2">
        <v>1.1599999999999999</v>
      </c>
      <c r="I19" s="2">
        <v>1.6</v>
      </c>
      <c r="J19" s="2">
        <f t="shared" si="0"/>
        <v>11.8</v>
      </c>
      <c r="K19" s="2">
        <f t="shared" si="1"/>
        <v>12487.94</v>
      </c>
      <c r="L19" s="2">
        <f t="shared" si="2"/>
        <v>4995.1760000000004</v>
      </c>
      <c r="M19" s="2">
        <f t="shared" si="3"/>
        <v>15832.168000000001</v>
      </c>
      <c r="N19" s="2">
        <f t="shared" si="4"/>
        <v>2213.4132840000002</v>
      </c>
    </row>
    <row r="20" spans="1:14" x14ac:dyDescent="0.25">
      <c r="A20" s="2">
        <v>19</v>
      </c>
      <c r="B20" s="2" t="s">
        <v>383</v>
      </c>
      <c r="C20" s="2" t="s">
        <v>382</v>
      </c>
      <c r="D20" s="2">
        <v>47.3</v>
      </c>
      <c r="E20" s="2">
        <v>99</v>
      </c>
      <c r="F20" s="2">
        <v>1.77</v>
      </c>
      <c r="G20" s="2">
        <v>3.09</v>
      </c>
      <c r="H20" s="2">
        <v>3.46</v>
      </c>
      <c r="I20" s="2">
        <v>2.9</v>
      </c>
      <c r="J20" s="2">
        <f t="shared" si="0"/>
        <v>15.7</v>
      </c>
      <c r="K20" s="2">
        <f t="shared" si="1"/>
        <v>742.6099999999999</v>
      </c>
      <c r="L20" s="2">
        <f t="shared" si="2"/>
        <v>297.04399999999998</v>
      </c>
      <c r="M20" s="2">
        <f t="shared" si="3"/>
        <v>1442.4134999999999</v>
      </c>
      <c r="N20" s="2">
        <f t="shared" si="4"/>
        <v>179.30519475000003</v>
      </c>
    </row>
    <row r="21" spans="1:14" x14ac:dyDescent="0.25">
      <c r="A21" s="2">
        <v>20</v>
      </c>
      <c r="B21" s="2" t="s">
        <v>384</v>
      </c>
      <c r="C21" s="2" t="s">
        <v>382</v>
      </c>
      <c r="D21" s="2">
        <v>72.400000000000006</v>
      </c>
      <c r="E21" s="2">
        <v>100</v>
      </c>
      <c r="F21" s="2">
        <v>2.4900000000000002</v>
      </c>
      <c r="G21" s="2">
        <v>3.27</v>
      </c>
      <c r="H21" s="2">
        <v>3.49</v>
      </c>
      <c r="I21" s="2">
        <v>3.6</v>
      </c>
      <c r="J21" s="2">
        <f t="shared" si="0"/>
        <v>17.8</v>
      </c>
      <c r="K21" s="2">
        <f t="shared" si="1"/>
        <v>1288.7200000000003</v>
      </c>
      <c r="L21" s="2">
        <f t="shared" si="2"/>
        <v>515.48800000000006</v>
      </c>
      <c r="M21" s="2">
        <f t="shared" si="3"/>
        <v>2965.5040000000008</v>
      </c>
      <c r="N21" s="2">
        <f t="shared" si="4"/>
        <v>340.70209200000005</v>
      </c>
    </row>
    <row r="22" spans="1:14" x14ac:dyDescent="0.25">
      <c r="A22" s="2">
        <v>21</v>
      </c>
      <c r="B22" s="2" t="s">
        <v>385</v>
      </c>
      <c r="C22" s="2" t="s">
        <v>382</v>
      </c>
      <c r="D22" s="2">
        <v>1667.8</v>
      </c>
      <c r="E22" s="2">
        <v>99</v>
      </c>
      <c r="F22" s="2">
        <v>0.59</v>
      </c>
      <c r="G22" s="2">
        <v>0.94</v>
      </c>
      <c r="H22" s="2">
        <v>1.75</v>
      </c>
      <c r="I22" s="2">
        <v>1.7</v>
      </c>
      <c r="J22" s="2">
        <f t="shared" si="0"/>
        <v>12.1</v>
      </c>
      <c r="K22" s="2">
        <f t="shared" si="1"/>
        <v>20180.379999999997</v>
      </c>
      <c r="L22" s="2">
        <f t="shared" si="2"/>
        <v>8072.1519999999991</v>
      </c>
      <c r="M22" s="2">
        <f t="shared" si="3"/>
        <v>26643.105</v>
      </c>
      <c r="N22" s="2">
        <f t="shared" si="4"/>
        <v>3706.1809905000009</v>
      </c>
    </row>
    <row r="23" spans="1:14" x14ac:dyDescent="0.25">
      <c r="A23" s="2">
        <v>22</v>
      </c>
      <c r="B23" s="2" t="s">
        <v>386</v>
      </c>
      <c r="C23" s="2" t="s">
        <v>382</v>
      </c>
      <c r="D23" s="2">
        <v>1068.9000000000001</v>
      </c>
      <c r="E23" s="2">
        <v>100</v>
      </c>
      <c r="F23" s="2">
        <v>0.76</v>
      </c>
      <c r="G23" s="2">
        <v>1.1499999999999999</v>
      </c>
      <c r="H23" s="2">
        <v>1.53</v>
      </c>
      <c r="I23" s="2">
        <v>1.9</v>
      </c>
      <c r="J23" s="2">
        <f t="shared" si="0"/>
        <v>12.7</v>
      </c>
      <c r="K23" s="2">
        <f t="shared" si="1"/>
        <v>13575.03</v>
      </c>
      <c r="L23" s="2">
        <f t="shared" si="2"/>
        <v>5430.0120000000006</v>
      </c>
      <c r="M23" s="2">
        <f t="shared" si="3"/>
        <v>19341.745500000001</v>
      </c>
      <c r="N23" s="2">
        <f t="shared" si="4"/>
        <v>2654.7547792500004</v>
      </c>
    </row>
    <row r="24" spans="1:14" x14ac:dyDescent="0.25">
      <c r="A24" s="2">
        <v>23</v>
      </c>
      <c r="B24" s="2" t="s">
        <v>387</v>
      </c>
      <c r="C24" s="2" t="s">
        <v>382</v>
      </c>
      <c r="D24" s="2">
        <v>309.10000000000002</v>
      </c>
      <c r="E24" s="2">
        <v>100</v>
      </c>
      <c r="F24" s="2">
        <v>1.25</v>
      </c>
      <c r="G24" s="2">
        <v>1.51</v>
      </c>
      <c r="H24" s="2">
        <v>1.76</v>
      </c>
      <c r="I24" s="2">
        <v>2.4</v>
      </c>
      <c r="J24" s="2">
        <f t="shared" si="0"/>
        <v>14.2</v>
      </c>
      <c r="K24" s="2">
        <f t="shared" si="1"/>
        <v>4389.22</v>
      </c>
      <c r="L24" s="2">
        <f t="shared" si="2"/>
        <v>1755.6880000000001</v>
      </c>
      <c r="M24" s="2">
        <f t="shared" si="3"/>
        <v>7393.6719999999996</v>
      </c>
      <c r="N24" s="2">
        <f t="shared" si="4"/>
        <v>969.71470200000022</v>
      </c>
    </row>
    <row r="25" spans="1:14" x14ac:dyDescent="0.25">
      <c r="A25" s="2">
        <v>24</v>
      </c>
      <c r="B25" s="2" t="s">
        <v>388</v>
      </c>
      <c r="C25" s="2" t="s">
        <v>382</v>
      </c>
      <c r="D25" s="2">
        <v>1920.3</v>
      </c>
      <c r="E25" s="2">
        <v>99</v>
      </c>
      <c r="F25" s="2">
        <v>0.6</v>
      </c>
      <c r="G25" s="2">
        <v>1.04</v>
      </c>
      <c r="H25" s="2">
        <v>1.77</v>
      </c>
      <c r="I25" s="2">
        <v>1.8</v>
      </c>
      <c r="J25" s="2">
        <f t="shared" si="0"/>
        <v>12.4</v>
      </c>
      <c r="K25" s="2">
        <f t="shared" si="1"/>
        <v>23811.72</v>
      </c>
      <c r="L25" s="2">
        <f t="shared" si="2"/>
        <v>9524.6880000000019</v>
      </c>
      <c r="M25" s="2">
        <f t="shared" si="3"/>
        <v>32683.506000000005</v>
      </c>
      <c r="N25" s="2">
        <f t="shared" si="4"/>
        <v>4518.3026745000006</v>
      </c>
    </row>
    <row r="26" spans="1:14" x14ac:dyDescent="0.25">
      <c r="A26" s="2">
        <v>25</v>
      </c>
      <c r="B26" s="2" t="s">
        <v>389</v>
      </c>
      <c r="C26" s="2" t="s">
        <v>382</v>
      </c>
      <c r="D26" s="2">
        <v>300</v>
      </c>
      <c r="E26" s="2">
        <v>100</v>
      </c>
      <c r="F26" s="2">
        <v>0.94</v>
      </c>
      <c r="G26" s="2">
        <v>1.21</v>
      </c>
      <c r="H26" s="2">
        <v>1.82</v>
      </c>
      <c r="I26" s="2">
        <v>2.1</v>
      </c>
      <c r="J26" s="2">
        <f t="shared" si="0"/>
        <v>13.3</v>
      </c>
      <c r="K26" s="2">
        <f t="shared" si="1"/>
        <v>3990</v>
      </c>
      <c r="L26" s="2">
        <f t="shared" si="2"/>
        <v>1596</v>
      </c>
      <c r="M26" s="2">
        <f t="shared" si="3"/>
        <v>6100.5</v>
      </c>
      <c r="N26" s="2">
        <f t="shared" si="4"/>
        <v>823.52025000000015</v>
      </c>
    </row>
    <row r="27" spans="1:14" x14ac:dyDescent="0.25">
      <c r="A27" s="2">
        <v>26</v>
      </c>
      <c r="B27" s="2" t="s">
        <v>390</v>
      </c>
      <c r="C27" s="2" t="s">
        <v>382</v>
      </c>
      <c r="D27" s="2">
        <v>352.9</v>
      </c>
      <c r="E27" s="2">
        <v>100</v>
      </c>
      <c r="F27" s="2">
        <v>1.02</v>
      </c>
      <c r="G27" s="2">
        <v>1.5</v>
      </c>
      <c r="H27" s="2">
        <v>1.93</v>
      </c>
      <c r="I27" s="2">
        <v>2.2000000000000002</v>
      </c>
      <c r="J27" s="2">
        <f t="shared" si="0"/>
        <v>13.600000000000001</v>
      </c>
      <c r="K27" s="2">
        <f t="shared" si="1"/>
        <v>4799.4400000000005</v>
      </c>
      <c r="L27" s="2">
        <f t="shared" si="2"/>
        <v>1919.7760000000003</v>
      </c>
      <c r="M27" s="2">
        <f t="shared" si="3"/>
        <v>7587.35</v>
      </c>
      <c r="N27" s="2">
        <f t="shared" si="4"/>
        <v>1014.8645265000001</v>
      </c>
    </row>
    <row r="28" spans="1:14" x14ac:dyDescent="0.25">
      <c r="A28" s="2">
        <v>27</v>
      </c>
      <c r="B28" s="2" t="s">
        <v>391</v>
      </c>
      <c r="C28" s="2" t="s">
        <v>363</v>
      </c>
      <c r="D28" s="2">
        <v>1712.8</v>
      </c>
      <c r="E28" s="2">
        <v>98</v>
      </c>
      <c r="F28" s="2">
        <v>2.4</v>
      </c>
      <c r="G28" s="2">
        <v>4.32</v>
      </c>
      <c r="H28" s="2">
        <v>5.48</v>
      </c>
      <c r="I28" s="2">
        <v>3.5</v>
      </c>
      <c r="J28" s="2">
        <f t="shared" si="0"/>
        <v>17.5</v>
      </c>
      <c r="K28" s="2">
        <f t="shared" si="1"/>
        <v>29974</v>
      </c>
      <c r="L28" s="2">
        <f t="shared" si="2"/>
        <v>11989.6</v>
      </c>
      <c r="M28" s="2">
        <f t="shared" si="3"/>
        <v>67441.5</v>
      </c>
      <c r="N28" s="2">
        <f t="shared" si="4"/>
        <v>7836.2526900000003</v>
      </c>
    </row>
    <row r="29" spans="1:14" x14ac:dyDescent="0.25">
      <c r="A29" s="2">
        <v>28</v>
      </c>
      <c r="B29" s="2" t="s">
        <v>392</v>
      </c>
      <c r="C29" s="2" t="s">
        <v>363</v>
      </c>
      <c r="D29" s="2">
        <v>2771</v>
      </c>
      <c r="E29" s="2">
        <v>100</v>
      </c>
      <c r="F29" s="2">
        <v>0.97</v>
      </c>
      <c r="G29" s="2">
        <v>1.44</v>
      </c>
      <c r="H29" s="2">
        <v>1.94</v>
      </c>
      <c r="I29" s="2">
        <v>2.1</v>
      </c>
      <c r="J29" s="2">
        <f t="shared" si="0"/>
        <v>13.3</v>
      </c>
      <c r="K29" s="2">
        <f t="shared" si="1"/>
        <v>36854.300000000003</v>
      </c>
      <c r="L29" s="2">
        <f t="shared" si="2"/>
        <v>14741.720000000001</v>
      </c>
      <c r="M29" s="2">
        <f t="shared" si="3"/>
        <v>56348.285000000003</v>
      </c>
      <c r="N29" s="2">
        <f t="shared" si="4"/>
        <v>7606.582042500002</v>
      </c>
    </row>
    <row r="30" spans="1:14" x14ac:dyDescent="0.25">
      <c r="A30" s="2">
        <v>29</v>
      </c>
      <c r="B30" s="2" t="s">
        <v>393</v>
      </c>
      <c r="C30" s="2" t="s">
        <v>376</v>
      </c>
      <c r="D30" s="2">
        <v>2734.3</v>
      </c>
      <c r="E30" s="2">
        <v>100</v>
      </c>
      <c r="F30" s="2">
        <v>1.01</v>
      </c>
      <c r="G30" s="2">
        <v>1.88</v>
      </c>
      <c r="H30" s="2">
        <v>2.4500000000000002</v>
      </c>
      <c r="I30" s="2">
        <v>2.2000000000000002</v>
      </c>
      <c r="J30" s="2">
        <f t="shared" si="0"/>
        <v>13.600000000000001</v>
      </c>
      <c r="K30" s="2">
        <f t="shared" si="1"/>
        <v>37186.480000000003</v>
      </c>
      <c r="L30" s="2">
        <f t="shared" si="2"/>
        <v>14874.592000000004</v>
      </c>
      <c r="M30" s="2">
        <f t="shared" si="3"/>
        <v>58787.450000000012</v>
      </c>
      <c r="N30" s="2">
        <f t="shared" si="4"/>
        <v>7863.2589255000021</v>
      </c>
    </row>
    <row r="31" spans="1:14" x14ac:dyDescent="0.25">
      <c r="A31" s="2">
        <v>30</v>
      </c>
      <c r="B31" s="2" t="s">
        <v>394</v>
      </c>
      <c r="C31" s="2" t="s">
        <v>376</v>
      </c>
      <c r="D31" s="2">
        <v>1336.9</v>
      </c>
      <c r="E31" s="2">
        <v>100</v>
      </c>
      <c r="F31" s="2">
        <v>0.99</v>
      </c>
      <c r="G31" s="2">
        <v>1.42</v>
      </c>
      <c r="H31" s="2">
        <v>2.06</v>
      </c>
      <c r="I31" s="2">
        <v>2.1</v>
      </c>
      <c r="J31" s="2">
        <f t="shared" si="0"/>
        <v>13.3</v>
      </c>
      <c r="K31" s="2">
        <f t="shared" si="1"/>
        <v>17780.77</v>
      </c>
      <c r="L31" s="2">
        <f t="shared" si="2"/>
        <v>7112.3080000000009</v>
      </c>
      <c r="M31" s="2">
        <f t="shared" si="3"/>
        <v>27185.861500000003</v>
      </c>
      <c r="N31" s="2">
        <f t="shared" si="4"/>
        <v>3669.8807407500012</v>
      </c>
    </row>
    <row r="32" spans="1:14" x14ac:dyDescent="0.25">
      <c r="A32" s="2">
        <v>31</v>
      </c>
      <c r="B32" s="2" t="s">
        <v>395</v>
      </c>
      <c r="C32" s="2" t="s">
        <v>363</v>
      </c>
      <c r="D32" s="2">
        <v>1948.2</v>
      </c>
      <c r="E32" s="2">
        <v>99</v>
      </c>
      <c r="F32" s="2">
        <v>1.54</v>
      </c>
      <c r="G32" s="2">
        <v>2.36</v>
      </c>
      <c r="H32" s="2">
        <v>2.87</v>
      </c>
      <c r="I32" s="2">
        <v>2.7</v>
      </c>
      <c r="J32" s="2">
        <f t="shared" si="0"/>
        <v>15.100000000000001</v>
      </c>
      <c r="K32" s="2">
        <f t="shared" si="1"/>
        <v>29417.820000000003</v>
      </c>
      <c r="L32" s="2">
        <f t="shared" si="2"/>
        <v>11767.128000000002</v>
      </c>
      <c r="M32" s="2">
        <f t="shared" si="3"/>
        <v>54111.255000000012</v>
      </c>
      <c r="N32" s="2">
        <f t="shared" si="4"/>
        <v>6875.9235045000023</v>
      </c>
    </row>
    <row r="33" spans="1:14" x14ac:dyDescent="0.25">
      <c r="A33" s="2">
        <v>32</v>
      </c>
      <c r="B33" s="2" t="s">
        <v>396</v>
      </c>
      <c r="C33" s="2" t="s">
        <v>363</v>
      </c>
      <c r="D33" s="2">
        <v>388.7</v>
      </c>
      <c r="E33" s="2">
        <v>99</v>
      </c>
      <c r="F33" s="2">
        <v>2.13</v>
      </c>
      <c r="G33" s="2">
        <v>3.63</v>
      </c>
      <c r="H33" s="2">
        <v>4.28</v>
      </c>
      <c r="I33" s="2">
        <v>3.3</v>
      </c>
      <c r="J33" s="2">
        <f t="shared" si="0"/>
        <v>16.899999999999999</v>
      </c>
      <c r="K33" s="2">
        <f t="shared" si="1"/>
        <v>6569.0299999999988</v>
      </c>
      <c r="L33" s="2">
        <f t="shared" si="2"/>
        <v>2627.6119999999996</v>
      </c>
      <c r="M33" s="2">
        <f t="shared" si="3"/>
        <v>14107.866499999998</v>
      </c>
      <c r="N33" s="2">
        <f t="shared" si="4"/>
        <v>1676.7264442500002</v>
      </c>
    </row>
    <row r="34" spans="1:14" x14ac:dyDescent="0.25">
      <c r="A34" s="2">
        <v>33</v>
      </c>
      <c r="B34" s="2" t="s">
        <v>397</v>
      </c>
      <c r="C34" s="2" t="s">
        <v>363</v>
      </c>
      <c r="D34" s="2">
        <v>2780.1</v>
      </c>
      <c r="E34" s="2">
        <v>100</v>
      </c>
      <c r="F34" s="2">
        <v>1.1000000000000001</v>
      </c>
      <c r="G34" s="2">
        <v>1.86</v>
      </c>
      <c r="H34" s="2">
        <v>2.4900000000000002</v>
      </c>
      <c r="I34" s="2">
        <v>2.2999999999999998</v>
      </c>
      <c r="J34" s="2">
        <f t="shared" si="0"/>
        <v>13.899999999999999</v>
      </c>
      <c r="K34" s="2">
        <f t="shared" si="1"/>
        <v>38643.389999999992</v>
      </c>
      <c r="L34" s="2">
        <f t="shared" si="2"/>
        <v>15457.355999999998</v>
      </c>
      <c r="M34" s="2">
        <f t="shared" si="3"/>
        <v>63094.369499999986</v>
      </c>
      <c r="N34" s="2">
        <f t="shared" si="4"/>
        <v>8358.3776002499999</v>
      </c>
    </row>
    <row r="35" spans="1:14" x14ac:dyDescent="0.25">
      <c r="A35" s="2">
        <v>34</v>
      </c>
      <c r="B35" s="2" t="s">
        <v>398</v>
      </c>
      <c r="C35" s="2" t="s">
        <v>363</v>
      </c>
      <c r="D35" s="2">
        <v>4272</v>
      </c>
      <c r="E35" s="2">
        <v>99</v>
      </c>
      <c r="F35" s="2">
        <v>1.1200000000000001</v>
      </c>
      <c r="G35" s="2">
        <v>1.78</v>
      </c>
      <c r="H35" s="2">
        <v>3.74</v>
      </c>
      <c r="I35" s="2">
        <v>2.2999999999999998</v>
      </c>
      <c r="J35" s="2">
        <f t="shared" si="0"/>
        <v>13.899999999999999</v>
      </c>
      <c r="K35" s="2">
        <f t="shared" si="1"/>
        <v>59380.799999999996</v>
      </c>
      <c r="L35" s="2">
        <f t="shared" si="2"/>
        <v>23752.32</v>
      </c>
      <c r="M35" s="2">
        <f t="shared" si="3"/>
        <v>96953.039999999979</v>
      </c>
      <c r="N35" s="2">
        <f t="shared" si="4"/>
        <v>12843.778680000001</v>
      </c>
    </row>
    <row r="36" spans="1:14" x14ac:dyDescent="0.25">
      <c r="A36" s="2">
        <v>35</v>
      </c>
      <c r="B36" s="2" t="s">
        <v>399</v>
      </c>
      <c r="C36" s="2" t="s">
        <v>363</v>
      </c>
      <c r="D36" s="2">
        <v>958</v>
      </c>
      <c r="E36" s="2">
        <v>99</v>
      </c>
      <c r="F36" s="2">
        <v>1.05</v>
      </c>
      <c r="G36" s="2">
        <v>1.97</v>
      </c>
      <c r="H36" s="2">
        <v>3.08</v>
      </c>
      <c r="I36" s="2">
        <v>2.2000000000000002</v>
      </c>
      <c r="J36" s="2">
        <f t="shared" si="0"/>
        <v>13.600000000000001</v>
      </c>
      <c r="K36" s="2">
        <f t="shared" si="1"/>
        <v>13028.800000000001</v>
      </c>
      <c r="L36" s="2">
        <f t="shared" si="2"/>
        <v>5211.5200000000013</v>
      </c>
      <c r="M36" s="2">
        <f t="shared" si="3"/>
        <v>20597.000000000004</v>
      </c>
      <c r="N36" s="2">
        <f t="shared" si="4"/>
        <v>2755.0020300000006</v>
      </c>
    </row>
    <row r="37" spans="1:14" x14ac:dyDescent="0.25">
      <c r="A37" s="2">
        <v>36</v>
      </c>
      <c r="B37" s="2" t="s">
        <v>400</v>
      </c>
      <c r="C37" s="2" t="s">
        <v>363</v>
      </c>
      <c r="D37" s="2">
        <v>424.9</v>
      </c>
      <c r="E37" s="2">
        <v>100</v>
      </c>
      <c r="F37" s="2">
        <v>1.49</v>
      </c>
      <c r="G37" s="2">
        <v>2.02</v>
      </c>
      <c r="H37" s="2">
        <v>3.31</v>
      </c>
      <c r="I37" s="2">
        <v>2.6</v>
      </c>
      <c r="J37" s="2">
        <f t="shared" si="0"/>
        <v>14.8</v>
      </c>
      <c r="K37" s="2">
        <f t="shared" si="1"/>
        <v>6288.5199999999995</v>
      </c>
      <c r="L37" s="2">
        <f t="shared" si="2"/>
        <v>2515.4080000000004</v>
      </c>
      <c r="M37" s="2">
        <f t="shared" si="3"/>
        <v>11242.854000000001</v>
      </c>
      <c r="N37" s="2">
        <f t="shared" si="4"/>
        <v>1444.0885095000001</v>
      </c>
    </row>
    <row r="38" spans="1:14" x14ac:dyDescent="0.25">
      <c r="A38" s="1"/>
      <c r="B38" s="1" t="s">
        <v>286</v>
      </c>
      <c r="C38" s="1"/>
      <c r="D38" s="1">
        <f>SUM(D2:D37)</f>
        <v>62471.900000000016</v>
      </c>
      <c r="E38" s="1"/>
      <c r="F38" s="1"/>
      <c r="G38" s="1"/>
      <c r="H38" s="1"/>
      <c r="I38" s="1"/>
      <c r="J38" s="1"/>
      <c r="K38" s="1">
        <f>SUM(K2:K37)</f>
        <v>835030.22000000009</v>
      </c>
      <c r="L38" s="1">
        <f>SUM(L2:L37)</f>
        <v>334012.08800000011</v>
      </c>
      <c r="M38" s="1">
        <f>SUM(M2:M37)</f>
        <v>1301488.2409999999</v>
      </c>
      <c r="N38" s="1">
        <f>SUM(N2:N37)</f>
        <v>173299.562217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S39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3" customWidth="1"/>
    <col min="2" max="2" width="7" customWidth="1"/>
    <col min="3" max="3" width="8" customWidth="1"/>
    <col min="4" max="6" width="10" customWidth="1"/>
    <col min="7" max="10" width="12" customWidth="1"/>
    <col min="11" max="11" width="10" customWidth="1"/>
    <col min="12" max="18" width="11" customWidth="1"/>
    <col min="19" max="19" width="12" customWidth="1"/>
  </cols>
  <sheetData>
    <row r="1" spans="1:19" ht="42" customHeight="1" x14ac:dyDescent="0.25">
      <c r="A1" s="3" t="s">
        <v>11</v>
      </c>
      <c r="B1" s="3" t="s">
        <v>12</v>
      </c>
      <c r="C1" s="3" t="s">
        <v>283</v>
      </c>
      <c r="D1" s="3" t="s">
        <v>13</v>
      </c>
      <c r="E1" s="3" t="s">
        <v>279</v>
      </c>
      <c r="F1" s="3" t="s">
        <v>280</v>
      </c>
      <c r="G1" s="3" t="s">
        <v>401</v>
      </c>
      <c r="H1" s="3" t="s">
        <v>360</v>
      </c>
      <c r="I1" s="3" t="s">
        <v>358</v>
      </c>
      <c r="J1" s="3" t="s">
        <v>402</v>
      </c>
      <c r="K1" s="3" t="s">
        <v>403</v>
      </c>
      <c r="L1" s="3" t="s">
        <v>404</v>
      </c>
      <c r="M1" s="3" t="s">
        <v>405</v>
      </c>
      <c r="N1" s="3" t="s">
        <v>406</v>
      </c>
      <c r="O1" s="3" t="s">
        <v>407</v>
      </c>
      <c r="P1" s="3" t="s">
        <v>408</v>
      </c>
      <c r="Q1" s="3" t="s">
        <v>409</v>
      </c>
      <c r="R1" s="3" t="s">
        <v>410</v>
      </c>
      <c r="S1" s="3" t="s">
        <v>411</v>
      </c>
    </row>
    <row r="2" spans="1:19" x14ac:dyDescent="0.25">
      <c r="A2" s="2" t="s">
        <v>24</v>
      </c>
      <c r="B2" s="2" t="s">
        <v>25</v>
      </c>
      <c r="C2" s="2">
        <v>7</v>
      </c>
      <c r="D2" s="2">
        <v>8203.9</v>
      </c>
      <c r="E2" s="2">
        <v>29</v>
      </c>
      <c r="F2" s="2">
        <v>89.5</v>
      </c>
      <c r="G2" s="2">
        <v>572684</v>
      </c>
      <c r="H2" s="2">
        <v>87353</v>
      </c>
      <c r="I2" s="2">
        <v>480696</v>
      </c>
      <c r="J2" s="2">
        <v>76061</v>
      </c>
      <c r="K2" s="2">
        <v>59.62</v>
      </c>
      <c r="L2" s="2">
        <v>4.0199999999999996</v>
      </c>
      <c r="M2" s="2">
        <v>0</v>
      </c>
      <c r="N2" s="2">
        <v>0.01</v>
      </c>
      <c r="O2" s="2">
        <v>0</v>
      </c>
      <c r="P2" s="2">
        <v>0</v>
      </c>
      <c r="Q2" s="2">
        <v>3.18</v>
      </c>
      <c r="R2" s="2">
        <v>0</v>
      </c>
      <c r="S2" s="2">
        <f t="shared" ref="S2:S38" si="0">SUM(L2:R2)</f>
        <v>7.2099999999999991</v>
      </c>
    </row>
    <row r="3" spans="1:19" x14ac:dyDescent="0.25">
      <c r="A3" s="2" t="s">
        <v>33</v>
      </c>
      <c r="B3" s="2" t="s">
        <v>34</v>
      </c>
      <c r="C3" s="2">
        <v>8</v>
      </c>
      <c r="D3" s="2">
        <v>7721.7</v>
      </c>
      <c r="E3" s="2">
        <v>10</v>
      </c>
      <c r="F3" s="2">
        <v>54</v>
      </c>
      <c r="G3" s="2">
        <v>435720</v>
      </c>
      <c r="H3" s="2">
        <v>59850</v>
      </c>
      <c r="I3" s="2">
        <v>336312</v>
      </c>
      <c r="J3" s="2">
        <v>69611</v>
      </c>
      <c r="K3" s="2">
        <v>45.59</v>
      </c>
      <c r="L3" s="2">
        <v>3.1</v>
      </c>
      <c r="M3" s="2">
        <v>0</v>
      </c>
      <c r="N3" s="2">
        <v>0.34</v>
      </c>
      <c r="O3" s="2">
        <v>0</v>
      </c>
      <c r="P3" s="2">
        <v>0</v>
      </c>
      <c r="Q3" s="2">
        <v>7.27</v>
      </c>
      <c r="R3" s="2">
        <v>0</v>
      </c>
      <c r="S3" s="2">
        <f t="shared" si="0"/>
        <v>10.709999999999999</v>
      </c>
    </row>
    <row r="4" spans="1:19" x14ac:dyDescent="0.25">
      <c r="A4" s="2" t="s">
        <v>43</v>
      </c>
      <c r="B4" s="2" t="s">
        <v>34</v>
      </c>
      <c r="C4" s="2">
        <v>1</v>
      </c>
      <c r="D4" s="2">
        <v>1440.4</v>
      </c>
      <c r="E4" s="2">
        <v>10</v>
      </c>
      <c r="F4" s="2">
        <v>10</v>
      </c>
      <c r="G4" s="2">
        <v>44099</v>
      </c>
      <c r="H4" s="2">
        <v>3037</v>
      </c>
      <c r="I4" s="2">
        <v>35076</v>
      </c>
      <c r="J4" s="2">
        <v>12985</v>
      </c>
      <c r="K4" s="2">
        <v>5.91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3.16</v>
      </c>
      <c r="R4" s="2">
        <v>0</v>
      </c>
      <c r="S4" s="2">
        <f t="shared" si="0"/>
        <v>3.16</v>
      </c>
    </row>
    <row r="5" spans="1:19" x14ac:dyDescent="0.25">
      <c r="A5" s="2" t="s">
        <v>45</v>
      </c>
      <c r="B5" s="2" t="s">
        <v>34</v>
      </c>
      <c r="C5" s="2">
        <v>2</v>
      </c>
      <c r="D5" s="2">
        <v>1385.3</v>
      </c>
      <c r="E5" s="2">
        <v>10</v>
      </c>
      <c r="F5" s="2">
        <v>10</v>
      </c>
      <c r="G5" s="2">
        <v>45553</v>
      </c>
      <c r="H5" s="2">
        <v>4069</v>
      </c>
      <c r="I5" s="2">
        <v>32264</v>
      </c>
      <c r="J5" s="2">
        <v>12488</v>
      </c>
      <c r="K5" s="2">
        <v>5.68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1.42</v>
      </c>
      <c r="R5" s="2">
        <v>0</v>
      </c>
      <c r="S5" s="2">
        <f t="shared" si="0"/>
        <v>1.42</v>
      </c>
    </row>
    <row r="6" spans="1:19" x14ac:dyDescent="0.25">
      <c r="A6" s="2" t="s">
        <v>48</v>
      </c>
      <c r="B6" s="2" t="s">
        <v>34</v>
      </c>
      <c r="C6" s="2">
        <v>7</v>
      </c>
      <c r="D6" s="2">
        <v>7065.8</v>
      </c>
      <c r="E6" s="2">
        <v>10</v>
      </c>
      <c r="F6" s="2">
        <v>44.5</v>
      </c>
      <c r="G6" s="2">
        <v>370292</v>
      </c>
      <c r="H6" s="2">
        <v>56291</v>
      </c>
      <c r="I6" s="2">
        <v>277740</v>
      </c>
      <c r="J6" s="2">
        <v>63699</v>
      </c>
      <c r="K6" s="2">
        <v>38.630000000000003</v>
      </c>
      <c r="L6" s="2">
        <v>7.1</v>
      </c>
      <c r="M6" s="2">
        <v>0</v>
      </c>
      <c r="N6" s="2">
        <v>0.4</v>
      </c>
      <c r="O6" s="2">
        <v>0</v>
      </c>
      <c r="P6" s="2">
        <v>0</v>
      </c>
      <c r="Q6" s="2">
        <v>4.38</v>
      </c>
      <c r="R6" s="2">
        <v>0</v>
      </c>
      <c r="S6" s="2">
        <f t="shared" si="0"/>
        <v>11.879999999999999</v>
      </c>
    </row>
    <row r="7" spans="1:19" x14ac:dyDescent="0.25">
      <c r="A7" s="2" t="s">
        <v>56</v>
      </c>
      <c r="B7" s="2" t="s">
        <v>34</v>
      </c>
      <c r="C7" s="2">
        <v>1</v>
      </c>
      <c r="D7" s="2">
        <v>1270.2</v>
      </c>
      <c r="E7" s="2">
        <v>10</v>
      </c>
      <c r="F7" s="2">
        <v>10</v>
      </c>
      <c r="G7" s="2">
        <v>42278</v>
      </c>
      <c r="H7" s="2">
        <v>2759</v>
      </c>
      <c r="I7" s="2">
        <v>31640</v>
      </c>
      <c r="J7" s="2">
        <v>11451</v>
      </c>
      <c r="K7" s="2">
        <v>5.21</v>
      </c>
      <c r="L7" s="2">
        <v>0.13</v>
      </c>
      <c r="M7" s="2">
        <v>0</v>
      </c>
      <c r="N7" s="2">
        <v>0</v>
      </c>
      <c r="O7" s="2">
        <v>0</v>
      </c>
      <c r="P7" s="2">
        <v>0</v>
      </c>
      <c r="Q7" s="2">
        <v>0.22</v>
      </c>
      <c r="R7" s="2">
        <v>0</v>
      </c>
      <c r="S7" s="2">
        <f t="shared" si="0"/>
        <v>0.35</v>
      </c>
    </row>
    <row r="8" spans="1:19" x14ac:dyDescent="0.25">
      <c r="A8" s="2" t="s">
        <v>58</v>
      </c>
      <c r="B8" s="2" t="s">
        <v>34</v>
      </c>
      <c r="C8" s="2">
        <v>6</v>
      </c>
      <c r="D8" s="2">
        <v>6507.5</v>
      </c>
      <c r="E8" s="2">
        <v>12.5</v>
      </c>
      <c r="F8" s="2">
        <v>29</v>
      </c>
      <c r="G8" s="2">
        <v>209914</v>
      </c>
      <c r="H8" s="2">
        <v>95544</v>
      </c>
      <c r="I8" s="2">
        <v>240484</v>
      </c>
      <c r="J8" s="2">
        <v>58666</v>
      </c>
      <c r="K8" s="2">
        <v>32.049999999999997</v>
      </c>
      <c r="L8" s="2">
        <v>1.6</v>
      </c>
      <c r="M8" s="2">
        <v>0</v>
      </c>
      <c r="N8" s="2">
        <v>0.41</v>
      </c>
      <c r="O8" s="2">
        <v>0</v>
      </c>
      <c r="P8" s="2">
        <v>0</v>
      </c>
      <c r="Q8" s="2">
        <v>0.34</v>
      </c>
      <c r="R8" s="2">
        <v>0</v>
      </c>
      <c r="S8" s="2">
        <f t="shared" si="0"/>
        <v>2.35</v>
      </c>
    </row>
    <row r="9" spans="1:19" x14ac:dyDescent="0.25">
      <c r="A9" s="2" t="s">
        <v>65</v>
      </c>
      <c r="B9" s="2" t="s">
        <v>25</v>
      </c>
      <c r="C9" s="2">
        <v>12</v>
      </c>
      <c r="D9" s="2">
        <v>8044.2</v>
      </c>
      <c r="E9" s="2">
        <v>156.5</v>
      </c>
      <c r="F9" s="2">
        <v>218.5</v>
      </c>
      <c r="G9" s="2">
        <v>3647137</v>
      </c>
      <c r="H9" s="2">
        <v>34542</v>
      </c>
      <c r="I9" s="2">
        <v>1588936</v>
      </c>
      <c r="J9" s="2">
        <v>74177</v>
      </c>
      <c r="K9" s="2">
        <v>172.08</v>
      </c>
      <c r="L9" s="2">
        <v>10.210000000000001</v>
      </c>
      <c r="M9" s="2">
        <v>0</v>
      </c>
      <c r="N9" s="2">
        <v>2.75</v>
      </c>
      <c r="O9" s="2">
        <v>0</v>
      </c>
      <c r="P9" s="2">
        <v>0</v>
      </c>
      <c r="Q9" s="2">
        <v>15.27</v>
      </c>
      <c r="R9" s="2">
        <v>0.19</v>
      </c>
      <c r="S9" s="2">
        <f t="shared" si="0"/>
        <v>28.42</v>
      </c>
    </row>
    <row r="10" spans="1:19" x14ac:dyDescent="0.25">
      <c r="A10" s="2" t="s">
        <v>78</v>
      </c>
      <c r="B10" s="2" t="s">
        <v>79</v>
      </c>
      <c r="C10" s="2">
        <v>8</v>
      </c>
      <c r="D10" s="2">
        <v>11436</v>
      </c>
      <c r="E10" s="2">
        <v>83.5</v>
      </c>
      <c r="F10" s="2">
        <v>107.5</v>
      </c>
      <c r="G10" s="2">
        <v>2305908</v>
      </c>
      <c r="H10" s="2">
        <v>75612</v>
      </c>
      <c r="I10" s="2">
        <v>1245032</v>
      </c>
      <c r="J10" s="2">
        <v>103096</v>
      </c>
      <c r="K10" s="2">
        <v>142.56</v>
      </c>
      <c r="L10" s="2">
        <v>15.86</v>
      </c>
      <c r="M10" s="2">
        <v>0</v>
      </c>
      <c r="N10" s="2">
        <v>11.47</v>
      </c>
      <c r="O10" s="2">
        <v>0</v>
      </c>
      <c r="P10" s="2">
        <v>0</v>
      </c>
      <c r="Q10" s="2">
        <v>0.92</v>
      </c>
      <c r="R10" s="2">
        <v>0</v>
      </c>
      <c r="S10" s="2">
        <f t="shared" si="0"/>
        <v>28.25</v>
      </c>
    </row>
    <row r="11" spans="1:19" x14ac:dyDescent="0.25">
      <c r="A11" s="2" t="s">
        <v>88</v>
      </c>
      <c r="B11" s="2" t="s">
        <v>79</v>
      </c>
      <c r="C11" s="2">
        <v>16</v>
      </c>
      <c r="D11" s="2">
        <v>13878.4</v>
      </c>
      <c r="E11" s="2">
        <v>10</v>
      </c>
      <c r="F11" s="2">
        <v>267</v>
      </c>
      <c r="G11" s="2">
        <v>1892850</v>
      </c>
      <c r="H11" s="2">
        <v>67075</v>
      </c>
      <c r="I11" s="2">
        <v>887264</v>
      </c>
      <c r="J11" s="2">
        <v>125114</v>
      </c>
      <c r="K11" s="2">
        <v>110.15</v>
      </c>
      <c r="L11" s="2">
        <v>18.8</v>
      </c>
      <c r="M11" s="2">
        <v>0</v>
      </c>
      <c r="N11" s="2">
        <v>0.04</v>
      </c>
      <c r="O11" s="2">
        <v>0</v>
      </c>
      <c r="P11" s="2">
        <v>0</v>
      </c>
      <c r="Q11" s="2">
        <v>22.76</v>
      </c>
      <c r="R11" s="2">
        <v>0</v>
      </c>
      <c r="S11" s="2">
        <f t="shared" si="0"/>
        <v>41.6</v>
      </c>
    </row>
    <row r="12" spans="1:19" x14ac:dyDescent="0.25">
      <c r="A12" s="2" t="s">
        <v>105</v>
      </c>
      <c r="B12" s="2" t="s">
        <v>79</v>
      </c>
      <c r="C12" s="2">
        <v>10</v>
      </c>
      <c r="D12" s="2">
        <v>8276.7999999999993</v>
      </c>
      <c r="E12" s="2">
        <v>94.5</v>
      </c>
      <c r="F12" s="2">
        <v>253</v>
      </c>
      <c r="G12" s="2">
        <v>1893135</v>
      </c>
      <c r="H12" s="2">
        <v>105785</v>
      </c>
      <c r="I12" s="2">
        <v>1071788</v>
      </c>
      <c r="J12" s="2">
        <v>74616</v>
      </c>
      <c r="K12" s="2">
        <v>119</v>
      </c>
      <c r="L12" s="2">
        <v>23.93</v>
      </c>
      <c r="M12" s="2">
        <v>0</v>
      </c>
      <c r="N12" s="2">
        <v>0.65</v>
      </c>
      <c r="O12" s="2">
        <v>1.96</v>
      </c>
      <c r="P12" s="2">
        <v>0</v>
      </c>
      <c r="Q12" s="2">
        <v>22.57</v>
      </c>
      <c r="R12" s="2">
        <v>0.25</v>
      </c>
      <c r="S12" s="2">
        <f t="shared" si="0"/>
        <v>49.36</v>
      </c>
    </row>
    <row r="13" spans="1:19" x14ac:dyDescent="0.25">
      <c r="A13" s="2" t="s">
        <v>116</v>
      </c>
      <c r="B13" s="2" t="s">
        <v>79</v>
      </c>
      <c r="C13" s="2">
        <v>6</v>
      </c>
      <c r="D13" s="2">
        <v>9916.7000000000007</v>
      </c>
      <c r="E13" s="2">
        <v>20.5</v>
      </c>
      <c r="F13" s="2">
        <v>50</v>
      </c>
      <c r="G13" s="2">
        <v>543058</v>
      </c>
      <c r="H13" s="2">
        <v>225722</v>
      </c>
      <c r="I13" s="2">
        <v>497652</v>
      </c>
      <c r="J13" s="2">
        <v>89399</v>
      </c>
      <c r="K13" s="2">
        <v>62.24</v>
      </c>
      <c r="L13" s="2">
        <v>13.92</v>
      </c>
      <c r="M13" s="2">
        <v>0</v>
      </c>
      <c r="N13" s="2">
        <v>0</v>
      </c>
      <c r="O13" s="2">
        <v>0</v>
      </c>
      <c r="P13" s="2">
        <v>0</v>
      </c>
      <c r="Q13" s="2">
        <v>2.86</v>
      </c>
      <c r="R13" s="2">
        <v>0</v>
      </c>
      <c r="S13" s="2">
        <f t="shared" si="0"/>
        <v>16.78</v>
      </c>
    </row>
    <row r="14" spans="1:19" x14ac:dyDescent="0.25">
      <c r="A14" s="2" t="s">
        <v>123</v>
      </c>
      <c r="B14" s="2" t="s">
        <v>79</v>
      </c>
      <c r="C14" s="2">
        <v>6</v>
      </c>
      <c r="D14" s="2">
        <v>5159.1000000000004</v>
      </c>
      <c r="E14" s="2">
        <v>14.5</v>
      </c>
      <c r="F14" s="2">
        <v>46</v>
      </c>
      <c r="G14" s="2">
        <v>480366</v>
      </c>
      <c r="H14" s="2">
        <v>31311</v>
      </c>
      <c r="I14" s="2">
        <v>260536</v>
      </c>
      <c r="J14" s="2">
        <v>46509</v>
      </c>
      <c r="K14" s="2">
        <v>34.31</v>
      </c>
      <c r="L14" s="2">
        <v>7.16</v>
      </c>
      <c r="M14" s="2">
        <v>0.04</v>
      </c>
      <c r="N14" s="2">
        <v>0</v>
      </c>
      <c r="O14" s="2">
        <v>0</v>
      </c>
      <c r="P14" s="2">
        <v>0</v>
      </c>
      <c r="Q14" s="2">
        <v>1.77</v>
      </c>
      <c r="R14" s="2">
        <v>0</v>
      </c>
      <c r="S14" s="2">
        <f t="shared" si="0"/>
        <v>8.9700000000000006</v>
      </c>
    </row>
    <row r="15" spans="1:19" x14ac:dyDescent="0.25">
      <c r="A15" s="2" t="s">
        <v>130</v>
      </c>
      <c r="B15" s="2" t="s">
        <v>79</v>
      </c>
      <c r="C15" s="2">
        <v>9</v>
      </c>
      <c r="D15" s="2">
        <v>7405.9</v>
      </c>
      <c r="E15" s="2">
        <v>15</v>
      </c>
      <c r="F15" s="2">
        <v>58</v>
      </c>
      <c r="G15" s="2">
        <v>826218</v>
      </c>
      <c r="H15" s="2">
        <v>38527</v>
      </c>
      <c r="I15" s="2">
        <v>428176</v>
      </c>
      <c r="J15" s="2">
        <v>66764</v>
      </c>
      <c r="K15" s="2">
        <v>54.39</v>
      </c>
      <c r="L15" s="2">
        <v>14.08</v>
      </c>
      <c r="M15" s="2">
        <v>0.01</v>
      </c>
      <c r="N15" s="2">
        <v>0.42</v>
      </c>
      <c r="O15" s="2">
        <v>0</v>
      </c>
      <c r="P15" s="2">
        <v>0</v>
      </c>
      <c r="Q15" s="2">
        <v>3.47</v>
      </c>
      <c r="R15" s="2">
        <v>0</v>
      </c>
      <c r="S15" s="2">
        <f t="shared" si="0"/>
        <v>17.98</v>
      </c>
    </row>
    <row r="16" spans="1:19" x14ac:dyDescent="0.25">
      <c r="A16" s="2" t="s">
        <v>140</v>
      </c>
      <c r="B16" s="2" t="s">
        <v>34</v>
      </c>
      <c r="C16" s="2">
        <v>5</v>
      </c>
      <c r="D16" s="2">
        <v>5884.6</v>
      </c>
      <c r="E16" s="2">
        <v>13</v>
      </c>
      <c r="F16" s="2">
        <v>20</v>
      </c>
      <c r="G16" s="2">
        <v>230779</v>
      </c>
      <c r="H16" s="2">
        <v>37332</v>
      </c>
      <c r="I16" s="2">
        <v>189292</v>
      </c>
      <c r="J16" s="2">
        <v>53050</v>
      </c>
      <c r="K16" s="2">
        <v>28.28</v>
      </c>
      <c r="L16" s="2">
        <v>0.75</v>
      </c>
      <c r="M16" s="2">
        <v>0</v>
      </c>
      <c r="N16" s="2">
        <v>0</v>
      </c>
      <c r="O16" s="2">
        <v>0</v>
      </c>
      <c r="P16" s="2">
        <v>0</v>
      </c>
      <c r="Q16" s="2">
        <v>1.44</v>
      </c>
      <c r="R16" s="2">
        <v>0.02</v>
      </c>
      <c r="S16" s="2">
        <f t="shared" si="0"/>
        <v>2.21</v>
      </c>
    </row>
    <row r="17" spans="1:19" x14ac:dyDescent="0.25">
      <c r="A17" s="2" t="s">
        <v>146</v>
      </c>
      <c r="B17" s="2" t="s">
        <v>34</v>
      </c>
      <c r="C17" s="2">
        <v>6</v>
      </c>
      <c r="D17" s="2">
        <v>5489.1</v>
      </c>
      <c r="E17" s="2">
        <v>10</v>
      </c>
      <c r="F17" s="2">
        <v>52</v>
      </c>
      <c r="G17" s="2">
        <v>482712</v>
      </c>
      <c r="H17" s="2">
        <v>13434</v>
      </c>
      <c r="I17" s="2">
        <v>246408</v>
      </c>
      <c r="J17" s="2">
        <v>49485</v>
      </c>
      <c r="K17" s="2">
        <v>34.06</v>
      </c>
      <c r="L17" s="2">
        <v>8.27</v>
      </c>
      <c r="M17" s="2">
        <v>0</v>
      </c>
      <c r="N17" s="2">
        <v>0</v>
      </c>
      <c r="O17" s="2">
        <v>0</v>
      </c>
      <c r="P17" s="2">
        <v>0</v>
      </c>
      <c r="Q17" s="2">
        <v>9.77</v>
      </c>
      <c r="R17" s="2">
        <v>0.25</v>
      </c>
      <c r="S17" s="2">
        <f t="shared" si="0"/>
        <v>18.29</v>
      </c>
    </row>
    <row r="18" spans="1:19" x14ac:dyDescent="0.25">
      <c r="A18" s="2" t="s">
        <v>153</v>
      </c>
      <c r="B18" s="2" t="s">
        <v>34</v>
      </c>
      <c r="C18" s="2">
        <v>5</v>
      </c>
      <c r="D18" s="2">
        <v>5374</v>
      </c>
      <c r="E18" s="2">
        <v>25</v>
      </c>
      <c r="F18" s="2">
        <v>72.5</v>
      </c>
      <c r="G18" s="2">
        <v>687369</v>
      </c>
      <c r="H18" s="2">
        <v>28644</v>
      </c>
      <c r="I18" s="2">
        <v>340048</v>
      </c>
      <c r="J18" s="2">
        <v>48447</v>
      </c>
      <c r="K18" s="2">
        <v>42.11</v>
      </c>
      <c r="L18" s="2">
        <v>17.38</v>
      </c>
      <c r="M18" s="2">
        <v>0</v>
      </c>
      <c r="N18" s="2">
        <v>1.82</v>
      </c>
      <c r="O18" s="2">
        <v>0</v>
      </c>
      <c r="P18" s="2">
        <v>0</v>
      </c>
      <c r="Q18" s="2">
        <v>4.05</v>
      </c>
      <c r="R18" s="2">
        <v>0</v>
      </c>
      <c r="S18" s="2">
        <f t="shared" si="0"/>
        <v>23.25</v>
      </c>
    </row>
    <row r="19" spans="1:19" x14ac:dyDescent="0.25">
      <c r="A19" s="2" t="s">
        <v>159</v>
      </c>
      <c r="B19" s="2" t="s">
        <v>34</v>
      </c>
      <c r="C19" s="2">
        <v>2</v>
      </c>
      <c r="D19" s="2">
        <v>2427.5</v>
      </c>
      <c r="E19" s="2">
        <v>22</v>
      </c>
      <c r="F19" s="2">
        <v>22</v>
      </c>
      <c r="G19" s="2">
        <v>65857</v>
      </c>
      <c r="H19" s="2">
        <v>40055</v>
      </c>
      <c r="I19" s="2">
        <v>98972</v>
      </c>
      <c r="J19" s="2">
        <v>21884</v>
      </c>
      <c r="K19" s="2">
        <v>12.84</v>
      </c>
      <c r="L19" s="2">
        <v>1.21</v>
      </c>
      <c r="M19" s="2">
        <v>0</v>
      </c>
      <c r="N19" s="2">
        <v>0</v>
      </c>
      <c r="O19" s="2">
        <v>0</v>
      </c>
      <c r="P19" s="2">
        <v>0</v>
      </c>
      <c r="Q19" s="2">
        <v>1.36</v>
      </c>
      <c r="R19" s="2">
        <v>0</v>
      </c>
      <c r="S19" s="2">
        <f t="shared" si="0"/>
        <v>2.5700000000000003</v>
      </c>
    </row>
    <row r="20" spans="1:19" x14ac:dyDescent="0.25">
      <c r="A20" s="2" t="s">
        <v>162</v>
      </c>
      <c r="B20" s="2" t="s">
        <v>34</v>
      </c>
      <c r="C20" s="2">
        <v>5</v>
      </c>
      <c r="D20" s="2">
        <v>3773.2</v>
      </c>
      <c r="E20" s="2">
        <v>10</v>
      </c>
      <c r="F20" s="2">
        <v>10</v>
      </c>
      <c r="G20" s="2">
        <v>97385</v>
      </c>
      <c r="H20" s="2">
        <v>16881</v>
      </c>
      <c r="I20" s="2">
        <v>94724</v>
      </c>
      <c r="J20" s="2">
        <v>34016</v>
      </c>
      <c r="K20" s="2">
        <v>15.47</v>
      </c>
      <c r="L20" s="2">
        <v>0</v>
      </c>
      <c r="M20" s="2">
        <v>0</v>
      </c>
      <c r="N20" s="2">
        <v>0</v>
      </c>
      <c r="O20" s="2">
        <v>0.75</v>
      </c>
      <c r="P20" s="2">
        <v>0</v>
      </c>
      <c r="Q20" s="2">
        <v>2.84</v>
      </c>
      <c r="R20" s="2">
        <v>0</v>
      </c>
      <c r="S20" s="2">
        <f t="shared" si="0"/>
        <v>3.59</v>
      </c>
    </row>
    <row r="21" spans="1:19" x14ac:dyDescent="0.25">
      <c r="A21" s="2" t="s">
        <v>168</v>
      </c>
      <c r="B21" s="2" t="s">
        <v>34</v>
      </c>
      <c r="C21" s="2">
        <v>1</v>
      </c>
      <c r="D21" s="2">
        <v>1642.2</v>
      </c>
      <c r="E21" s="2">
        <v>49.5</v>
      </c>
      <c r="F21" s="2">
        <v>49.5</v>
      </c>
      <c r="G21" s="2">
        <v>43438</v>
      </c>
      <c r="H21" s="2">
        <v>37438</v>
      </c>
      <c r="I21" s="2">
        <v>112704</v>
      </c>
      <c r="J21" s="2">
        <v>14804</v>
      </c>
      <c r="K21" s="2">
        <v>13.22</v>
      </c>
      <c r="L21" s="2">
        <v>0.17</v>
      </c>
      <c r="M21" s="2">
        <v>0</v>
      </c>
      <c r="N21" s="2">
        <v>7.0000000000000007E-2</v>
      </c>
      <c r="O21" s="2">
        <v>0</v>
      </c>
      <c r="P21" s="2">
        <v>0</v>
      </c>
      <c r="Q21" s="2">
        <v>0.61</v>
      </c>
      <c r="R21" s="2">
        <v>0</v>
      </c>
      <c r="S21" s="2">
        <f t="shared" si="0"/>
        <v>0.85</v>
      </c>
    </row>
    <row r="22" spans="1:19" x14ac:dyDescent="0.25">
      <c r="A22" s="2" t="s">
        <v>170</v>
      </c>
      <c r="B22" s="2" t="s">
        <v>34</v>
      </c>
      <c r="C22" s="2">
        <v>4</v>
      </c>
      <c r="D22" s="2">
        <v>3944.6</v>
      </c>
      <c r="E22" s="2">
        <v>12</v>
      </c>
      <c r="F22" s="2">
        <v>24</v>
      </c>
      <c r="G22" s="2">
        <v>224150</v>
      </c>
      <c r="H22" s="2">
        <v>7405</v>
      </c>
      <c r="I22" s="2">
        <v>127808</v>
      </c>
      <c r="J22" s="2">
        <v>35561</v>
      </c>
      <c r="K22" s="2">
        <v>19.46</v>
      </c>
      <c r="L22" s="2">
        <v>3.32</v>
      </c>
      <c r="M22" s="2">
        <v>0</v>
      </c>
      <c r="N22" s="2">
        <v>0</v>
      </c>
      <c r="O22" s="2">
        <v>0</v>
      </c>
      <c r="P22" s="2">
        <v>0</v>
      </c>
      <c r="Q22" s="2">
        <v>0.9</v>
      </c>
      <c r="R22" s="2">
        <v>0</v>
      </c>
      <c r="S22" s="2">
        <f t="shared" si="0"/>
        <v>4.22</v>
      </c>
    </row>
    <row r="23" spans="1:19" x14ac:dyDescent="0.25">
      <c r="A23" s="2" t="s">
        <v>175</v>
      </c>
      <c r="B23" s="2" t="s">
        <v>34</v>
      </c>
      <c r="C23" s="2">
        <v>8</v>
      </c>
      <c r="D23" s="2">
        <v>6807.8</v>
      </c>
      <c r="E23" s="2">
        <v>10</v>
      </c>
      <c r="F23" s="2">
        <v>28.5</v>
      </c>
      <c r="G23" s="2">
        <v>420156</v>
      </c>
      <c r="H23" s="2">
        <v>68617</v>
      </c>
      <c r="I23" s="2">
        <v>226048</v>
      </c>
      <c r="J23" s="2">
        <v>61372</v>
      </c>
      <c r="K23" s="2">
        <v>33.4</v>
      </c>
      <c r="L23" s="2">
        <v>6.18</v>
      </c>
      <c r="M23" s="2">
        <v>0</v>
      </c>
      <c r="N23" s="2">
        <v>0</v>
      </c>
      <c r="O23" s="2">
        <v>0.08</v>
      </c>
      <c r="P23" s="2">
        <v>0</v>
      </c>
      <c r="Q23" s="2">
        <v>3.72</v>
      </c>
      <c r="R23" s="2">
        <v>0</v>
      </c>
      <c r="S23" s="2">
        <f t="shared" si="0"/>
        <v>9.98</v>
      </c>
    </row>
    <row r="24" spans="1:19" x14ac:dyDescent="0.25">
      <c r="A24" s="2" t="s">
        <v>184</v>
      </c>
      <c r="B24" s="2" t="s">
        <v>34</v>
      </c>
      <c r="C24" s="2">
        <v>7</v>
      </c>
      <c r="D24" s="2">
        <v>6425.5</v>
      </c>
      <c r="E24" s="2">
        <v>14</v>
      </c>
      <c r="F24" s="2">
        <v>37.5</v>
      </c>
      <c r="G24" s="2">
        <v>391780</v>
      </c>
      <c r="H24" s="2">
        <v>43973</v>
      </c>
      <c r="I24" s="2">
        <v>239308</v>
      </c>
      <c r="J24" s="2">
        <v>57926</v>
      </c>
      <c r="K24" s="2">
        <v>33.71</v>
      </c>
      <c r="L24" s="2">
        <v>8.08</v>
      </c>
      <c r="M24" s="2">
        <v>0.08</v>
      </c>
      <c r="N24" s="2">
        <v>0.64</v>
      </c>
      <c r="O24" s="2">
        <v>0</v>
      </c>
      <c r="P24" s="2">
        <v>0</v>
      </c>
      <c r="Q24" s="2">
        <v>7.69</v>
      </c>
      <c r="R24" s="2">
        <v>0</v>
      </c>
      <c r="S24" s="2">
        <f t="shared" si="0"/>
        <v>16.490000000000002</v>
      </c>
    </row>
    <row r="25" spans="1:19" x14ac:dyDescent="0.25">
      <c r="A25" s="2" t="s">
        <v>192</v>
      </c>
      <c r="B25" s="2" t="s">
        <v>34</v>
      </c>
      <c r="C25" s="2">
        <v>5</v>
      </c>
      <c r="D25" s="2">
        <v>5108.5</v>
      </c>
      <c r="E25" s="2">
        <v>29</v>
      </c>
      <c r="F25" s="2">
        <v>42</v>
      </c>
      <c r="G25" s="2">
        <v>417888</v>
      </c>
      <c r="H25" s="2">
        <v>20764</v>
      </c>
      <c r="I25" s="2">
        <v>256864</v>
      </c>
      <c r="J25" s="2">
        <v>46053</v>
      </c>
      <c r="K25" s="2">
        <v>34.15</v>
      </c>
      <c r="L25" s="2">
        <v>0.63</v>
      </c>
      <c r="M25" s="2">
        <v>0</v>
      </c>
      <c r="N25" s="2">
        <v>0</v>
      </c>
      <c r="O25" s="2">
        <v>0</v>
      </c>
      <c r="P25" s="2">
        <v>0</v>
      </c>
      <c r="Q25" s="2">
        <v>0.34</v>
      </c>
      <c r="R25" s="2">
        <v>0</v>
      </c>
      <c r="S25" s="2">
        <f t="shared" si="0"/>
        <v>0.97</v>
      </c>
    </row>
    <row r="26" spans="1:19" x14ac:dyDescent="0.25">
      <c r="A26" s="2" t="s">
        <v>198</v>
      </c>
      <c r="B26" s="2" t="s">
        <v>34</v>
      </c>
      <c r="C26" s="2">
        <v>4</v>
      </c>
      <c r="D26" s="2">
        <v>3019.4</v>
      </c>
      <c r="E26" s="2">
        <v>37</v>
      </c>
      <c r="F26" s="2">
        <v>37</v>
      </c>
      <c r="G26" s="2">
        <v>244545</v>
      </c>
      <c r="H26" s="2">
        <v>22809</v>
      </c>
      <c r="I26" s="2">
        <v>156160</v>
      </c>
      <c r="J26" s="2">
        <v>27220</v>
      </c>
      <c r="K26" s="2">
        <v>20.53</v>
      </c>
      <c r="L26" s="2">
        <v>0</v>
      </c>
      <c r="M26" s="2">
        <v>0</v>
      </c>
      <c r="N26" s="2">
        <v>0.11</v>
      </c>
      <c r="O26" s="2">
        <v>0</v>
      </c>
      <c r="P26" s="2">
        <v>0</v>
      </c>
      <c r="Q26" s="2">
        <v>1.22</v>
      </c>
      <c r="R26" s="2">
        <v>0</v>
      </c>
      <c r="S26" s="2">
        <f t="shared" si="0"/>
        <v>1.33</v>
      </c>
    </row>
    <row r="27" spans="1:19" x14ac:dyDescent="0.25">
      <c r="A27" s="2" t="s">
        <v>203</v>
      </c>
      <c r="B27" s="2" t="s">
        <v>34</v>
      </c>
      <c r="C27" s="2">
        <v>1</v>
      </c>
      <c r="D27" s="2">
        <v>1812</v>
      </c>
      <c r="E27" s="2">
        <v>10</v>
      </c>
      <c r="F27" s="2">
        <v>10</v>
      </c>
      <c r="G27" s="2">
        <v>39463</v>
      </c>
      <c r="H27" s="2">
        <v>22281</v>
      </c>
      <c r="I27" s="2">
        <v>49424</v>
      </c>
      <c r="J27" s="2">
        <v>16335</v>
      </c>
      <c r="K27" s="2">
        <v>7.43</v>
      </c>
      <c r="L27" s="2">
        <v>3.13</v>
      </c>
      <c r="M27" s="2">
        <v>0</v>
      </c>
      <c r="N27" s="2">
        <v>0</v>
      </c>
      <c r="O27" s="2">
        <v>0</v>
      </c>
      <c r="P27" s="2">
        <v>0</v>
      </c>
      <c r="Q27" s="2">
        <v>0.51</v>
      </c>
      <c r="R27" s="2">
        <v>0</v>
      </c>
      <c r="S27" s="2">
        <f t="shared" si="0"/>
        <v>3.6399999999999997</v>
      </c>
    </row>
    <row r="28" spans="1:19" x14ac:dyDescent="0.25">
      <c r="A28" s="2" t="s">
        <v>205</v>
      </c>
      <c r="B28" s="2" t="s">
        <v>34</v>
      </c>
      <c r="C28" s="2">
        <v>4</v>
      </c>
      <c r="D28" s="2">
        <v>3755.4</v>
      </c>
      <c r="E28" s="2">
        <v>12.5</v>
      </c>
      <c r="F28" s="2">
        <v>40.5</v>
      </c>
      <c r="G28" s="2">
        <v>253599</v>
      </c>
      <c r="H28" s="2">
        <v>8819</v>
      </c>
      <c r="I28" s="2">
        <v>148412</v>
      </c>
      <c r="J28" s="2">
        <v>33855</v>
      </c>
      <c r="K28" s="2">
        <v>21.09</v>
      </c>
      <c r="L28" s="2">
        <v>1.05</v>
      </c>
      <c r="M28" s="2">
        <v>0</v>
      </c>
      <c r="N28" s="2">
        <v>0</v>
      </c>
      <c r="O28" s="2">
        <v>0</v>
      </c>
      <c r="P28" s="2">
        <v>0</v>
      </c>
      <c r="Q28" s="2">
        <v>0.05</v>
      </c>
      <c r="R28" s="2">
        <v>0</v>
      </c>
      <c r="S28" s="2">
        <f t="shared" si="0"/>
        <v>1.1000000000000001</v>
      </c>
    </row>
    <row r="29" spans="1:19" x14ac:dyDescent="0.25">
      <c r="A29" s="2" t="s">
        <v>210</v>
      </c>
      <c r="B29" s="2" t="s">
        <v>34</v>
      </c>
      <c r="C29" s="2">
        <v>1</v>
      </c>
      <c r="D29" s="2">
        <v>1088.9000000000001</v>
      </c>
      <c r="E29" s="2">
        <v>11.5</v>
      </c>
      <c r="F29" s="2">
        <v>11.5</v>
      </c>
      <c r="G29" s="2">
        <v>39366</v>
      </c>
      <c r="H29" s="2">
        <v>3026</v>
      </c>
      <c r="I29" s="2">
        <v>26852</v>
      </c>
      <c r="J29" s="2">
        <v>9817</v>
      </c>
      <c r="K29" s="2">
        <v>4.63</v>
      </c>
      <c r="L29" s="2">
        <v>0</v>
      </c>
      <c r="M29" s="2">
        <v>0.08</v>
      </c>
      <c r="N29" s="2">
        <v>0.2</v>
      </c>
      <c r="O29" s="2">
        <v>0</v>
      </c>
      <c r="P29" s="2">
        <v>0</v>
      </c>
      <c r="Q29" s="2">
        <v>0.44</v>
      </c>
      <c r="R29" s="2">
        <v>0</v>
      </c>
      <c r="S29" s="2">
        <f t="shared" si="0"/>
        <v>0.72</v>
      </c>
    </row>
    <row r="30" spans="1:19" x14ac:dyDescent="0.25">
      <c r="A30" s="2" t="s">
        <v>212</v>
      </c>
      <c r="B30" s="2" t="s">
        <v>25</v>
      </c>
      <c r="C30" s="2">
        <v>14</v>
      </c>
      <c r="D30" s="2">
        <v>17552.8</v>
      </c>
      <c r="E30" s="2">
        <v>58</v>
      </c>
      <c r="F30" s="2">
        <v>343</v>
      </c>
      <c r="G30" s="2">
        <v>5241615</v>
      </c>
      <c r="H30" s="2">
        <v>44994</v>
      </c>
      <c r="I30" s="2">
        <v>2009096</v>
      </c>
      <c r="J30" s="2">
        <v>158238</v>
      </c>
      <c r="K30" s="2">
        <v>230.45</v>
      </c>
      <c r="L30" s="2">
        <v>26.1</v>
      </c>
      <c r="M30" s="2">
        <v>0.9</v>
      </c>
      <c r="N30" s="2">
        <v>0.9</v>
      </c>
      <c r="O30" s="2">
        <v>0</v>
      </c>
      <c r="P30" s="2">
        <v>0</v>
      </c>
      <c r="Q30" s="2">
        <v>17.05</v>
      </c>
      <c r="R30" s="2">
        <v>1.06</v>
      </c>
      <c r="S30" s="2">
        <f t="shared" si="0"/>
        <v>46.010000000000005</v>
      </c>
    </row>
    <row r="31" spans="1:19" x14ac:dyDescent="0.25">
      <c r="A31" s="2" t="s">
        <v>227</v>
      </c>
      <c r="B31" s="2" t="s">
        <v>79</v>
      </c>
      <c r="C31" s="2">
        <v>6</v>
      </c>
      <c r="D31" s="2">
        <v>6142.3</v>
      </c>
      <c r="E31" s="2">
        <v>49</v>
      </c>
      <c r="F31" s="2">
        <v>94</v>
      </c>
      <c r="G31" s="2">
        <v>1002187</v>
      </c>
      <c r="H31" s="2">
        <v>131147</v>
      </c>
      <c r="I31" s="2">
        <v>584980</v>
      </c>
      <c r="J31" s="2">
        <v>55373</v>
      </c>
      <c r="K31" s="2">
        <v>66.72</v>
      </c>
      <c r="L31" s="2">
        <v>20.100000000000001</v>
      </c>
      <c r="M31" s="2">
        <v>0.01</v>
      </c>
      <c r="N31" s="2">
        <v>0.4</v>
      </c>
      <c r="O31" s="2">
        <v>0</v>
      </c>
      <c r="P31" s="2">
        <v>0</v>
      </c>
      <c r="Q31" s="2">
        <v>7.98</v>
      </c>
      <c r="R31" s="2">
        <v>0.09</v>
      </c>
      <c r="S31" s="2">
        <f t="shared" si="0"/>
        <v>28.580000000000002</v>
      </c>
    </row>
    <row r="32" spans="1:19" x14ac:dyDescent="0.25">
      <c r="A32" s="2" t="s">
        <v>234</v>
      </c>
      <c r="B32" s="2" t="s">
        <v>34</v>
      </c>
      <c r="C32" s="2">
        <v>4</v>
      </c>
      <c r="D32" s="2">
        <v>6866.4</v>
      </c>
      <c r="E32" s="2">
        <v>41</v>
      </c>
      <c r="F32" s="2">
        <v>49</v>
      </c>
      <c r="G32" s="2">
        <v>801510</v>
      </c>
      <c r="H32" s="2">
        <v>12437</v>
      </c>
      <c r="I32" s="2">
        <v>396988</v>
      </c>
      <c r="J32" s="2">
        <v>61901</v>
      </c>
      <c r="K32" s="2">
        <v>51.94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0.19</v>
      </c>
      <c r="R32" s="2">
        <v>0</v>
      </c>
      <c r="S32" s="2">
        <f t="shared" si="0"/>
        <v>0.19</v>
      </c>
    </row>
    <row r="33" spans="1:19" x14ac:dyDescent="0.25">
      <c r="A33" s="2" t="s">
        <v>239</v>
      </c>
      <c r="B33" s="2" t="s">
        <v>34</v>
      </c>
      <c r="C33" s="2">
        <v>2</v>
      </c>
      <c r="D33" s="2">
        <v>3104.4</v>
      </c>
      <c r="E33" s="2">
        <v>15</v>
      </c>
      <c r="F33" s="2">
        <v>15</v>
      </c>
      <c r="G33" s="2">
        <v>63983</v>
      </c>
      <c r="H33" s="2">
        <v>46321</v>
      </c>
      <c r="I33" s="2">
        <v>102312</v>
      </c>
      <c r="J33" s="2">
        <v>27987</v>
      </c>
      <c r="K33" s="2">
        <v>14.28</v>
      </c>
      <c r="L33" s="2">
        <v>1.06</v>
      </c>
      <c r="M33" s="2">
        <v>0</v>
      </c>
      <c r="N33" s="2">
        <v>0.04</v>
      </c>
      <c r="O33" s="2">
        <v>0</v>
      </c>
      <c r="P33" s="2">
        <v>0</v>
      </c>
      <c r="Q33" s="2">
        <v>0.5</v>
      </c>
      <c r="R33" s="2">
        <v>0.13</v>
      </c>
      <c r="S33" s="2">
        <f t="shared" si="0"/>
        <v>1.73</v>
      </c>
    </row>
    <row r="34" spans="1:19" x14ac:dyDescent="0.25">
      <c r="A34" s="2" t="s">
        <v>242</v>
      </c>
      <c r="B34" s="2" t="s">
        <v>25</v>
      </c>
      <c r="C34" s="2">
        <v>12</v>
      </c>
      <c r="D34" s="2">
        <v>12466.6</v>
      </c>
      <c r="E34" s="2">
        <v>58.5</v>
      </c>
      <c r="F34" s="2">
        <v>238</v>
      </c>
      <c r="G34" s="2">
        <v>3062187</v>
      </c>
      <c r="H34" s="2">
        <v>192295</v>
      </c>
      <c r="I34" s="2">
        <v>1597236</v>
      </c>
      <c r="J34" s="2">
        <v>112387</v>
      </c>
      <c r="K34" s="2">
        <v>179.08</v>
      </c>
      <c r="L34" s="2">
        <v>0.23</v>
      </c>
      <c r="M34" s="2">
        <v>0</v>
      </c>
      <c r="N34" s="2">
        <v>0</v>
      </c>
      <c r="O34" s="2">
        <v>0</v>
      </c>
      <c r="P34" s="2">
        <v>5.71</v>
      </c>
      <c r="Q34" s="2">
        <v>9.66</v>
      </c>
      <c r="R34" s="2">
        <v>0</v>
      </c>
      <c r="S34" s="2">
        <f t="shared" si="0"/>
        <v>15.600000000000001</v>
      </c>
    </row>
    <row r="35" spans="1:19" x14ac:dyDescent="0.25">
      <c r="A35" s="2" t="s">
        <v>255</v>
      </c>
      <c r="B35" s="2" t="s">
        <v>25</v>
      </c>
      <c r="C35" s="2">
        <v>7</v>
      </c>
      <c r="D35" s="2">
        <v>9780.6</v>
      </c>
      <c r="E35" s="2">
        <v>74.5</v>
      </c>
      <c r="F35" s="2">
        <v>488</v>
      </c>
      <c r="G35" s="2">
        <v>6287973</v>
      </c>
      <c r="H35" s="2">
        <v>45019</v>
      </c>
      <c r="I35" s="2">
        <v>2463400</v>
      </c>
      <c r="J35" s="2">
        <v>88172</v>
      </c>
      <c r="K35" s="2">
        <v>260.41000000000003</v>
      </c>
      <c r="L35" s="2">
        <v>53.15</v>
      </c>
      <c r="M35" s="2">
        <v>3.44</v>
      </c>
      <c r="N35" s="2">
        <v>11.89</v>
      </c>
      <c r="O35" s="2">
        <v>0.6</v>
      </c>
      <c r="P35" s="2">
        <v>12.07</v>
      </c>
      <c r="Q35" s="2">
        <v>23.68</v>
      </c>
      <c r="R35" s="2">
        <v>0.06</v>
      </c>
      <c r="S35" s="2">
        <f t="shared" si="0"/>
        <v>104.88999999999999</v>
      </c>
    </row>
    <row r="36" spans="1:19" x14ac:dyDescent="0.25">
      <c r="A36" s="2" t="s">
        <v>263</v>
      </c>
      <c r="B36" s="2" t="s">
        <v>79</v>
      </c>
      <c r="C36" s="2">
        <v>6</v>
      </c>
      <c r="D36" s="2">
        <v>6472.9</v>
      </c>
      <c r="E36" s="2">
        <v>45</v>
      </c>
      <c r="F36" s="2">
        <v>90.5</v>
      </c>
      <c r="G36" s="2">
        <v>1122683</v>
      </c>
      <c r="H36" s="2">
        <v>12105</v>
      </c>
      <c r="I36" s="2">
        <v>468076</v>
      </c>
      <c r="J36" s="2">
        <v>58354</v>
      </c>
      <c r="K36" s="2">
        <v>57.38</v>
      </c>
      <c r="L36" s="2">
        <v>14.09</v>
      </c>
      <c r="M36" s="2">
        <v>0</v>
      </c>
      <c r="N36" s="2">
        <v>0.12</v>
      </c>
      <c r="O36" s="2">
        <v>0</v>
      </c>
      <c r="P36" s="2">
        <v>0</v>
      </c>
      <c r="Q36" s="2">
        <v>2.8</v>
      </c>
      <c r="R36" s="2">
        <v>0.18</v>
      </c>
      <c r="S36" s="2">
        <f t="shared" si="0"/>
        <v>17.189999999999998</v>
      </c>
    </row>
    <row r="37" spans="1:19" x14ac:dyDescent="0.25">
      <c r="A37" s="2" t="s">
        <v>270</v>
      </c>
      <c r="B37" s="2" t="s">
        <v>34</v>
      </c>
      <c r="C37" s="2">
        <v>2</v>
      </c>
      <c r="D37" s="2">
        <v>1921.2</v>
      </c>
      <c r="E37" s="2">
        <v>10</v>
      </c>
      <c r="F37" s="2">
        <v>10</v>
      </c>
      <c r="G37" s="2">
        <v>60593</v>
      </c>
      <c r="H37" s="2">
        <v>5082</v>
      </c>
      <c r="I37" s="2">
        <v>46480</v>
      </c>
      <c r="J37" s="2">
        <v>17320</v>
      </c>
      <c r="K37" s="2">
        <v>7.91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f t="shared" si="0"/>
        <v>0</v>
      </c>
    </row>
    <row r="38" spans="1:19" x14ac:dyDescent="0.25">
      <c r="A38" s="2" t="s">
        <v>273</v>
      </c>
      <c r="B38" s="2" t="s">
        <v>34</v>
      </c>
      <c r="C38" s="2">
        <v>2</v>
      </c>
      <c r="D38" s="2">
        <v>2773.6</v>
      </c>
      <c r="E38" s="2">
        <v>14</v>
      </c>
      <c r="F38" s="2">
        <v>52.5</v>
      </c>
      <c r="G38" s="2">
        <v>275133</v>
      </c>
      <c r="H38" s="2">
        <v>5950</v>
      </c>
      <c r="I38" s="2">
        <v>123864</v>
      </c>
      <c r="J38" s="2">
        <v>25004</v>
      </c>
      <c r="K38" s="2">
        <v>16.66</v>
      </c>
      <c r="L38" s="2">
        <v>5.51</v>
      </c>
      <c r="M38" s="2">
        <v>0</v>
      </c>
      <c r="N38" s="2">
        <v>0.03</v>
      </c>
      <c r="O38" s="2">
        <v>0</v>
      </c>
      <c r="P38" s="2">
        <v>0</v>
      </c>
      <c r="Q38" s="2">
        <v>5.29</v>
      </c>
      <c r="R38" s="2">
        <v>0.11</v>
      </c>
      <c r="S38" s="2">
        <f t="shared" si="0"/>
        <v>10.94</v>
      </c>
    </row>
    <row r="39" spans="1:19" x14ac:dyDescent="0.25">
      <c r="A39" s="1" t="s">
        <v>286</v>
      </c>
      <c r="B39" s="1"/>
      <c r="C39" s="1">
        <f t="shared" ref="C39:S39" si="1">SUM(C2:C38)</f>
        <v>212</v>
      </c>
      <c r="D39" s="1">
        <f t="shared" si="1"/>
        <v>221345.39999999997</v>
      </c>
      <c r="E39" s="1">
        <f t="shared" si="1"/>
        <v>1116.5</v>
      </c>
      <c r="F39" s="1">
        <f t="shared" si="1"/>
        <v>3084</v>
      </c>
      <c r="G39" s="1">
        <f t="shared" si="1"/>
        <v>34865563</v>
      </c>
      <c r="H39" s="1">
        <f t="shared" si="1"/>
        <v>1754305</v>
      </c>
      <c r="I39" s="1">
        <f t="shared" si="1"/>
        <v>17519052</v>
      </c>
      <c r="J39" s="1">
        <f t="shared" si="1"/>
        <v>1999197</v>
      </c>
      <c r="K39" s="1">
        <f t="shared" si="1"/>
        <v>2092.63</v>
      </c>
      <c r="L39" s="1">
        <f t="shared" si="1"/>
        <v>290.31999999999994</v>
      </c>
      <c r="M39" s="1">
        <f t="shared" si="1"/>
        <v>4.5600000000000005</v>
      </c>
      <c r="N39" s="1">
        <f t="shared" si="1"/>
        <v>32.71</v>
      </c>
      <c r="O39" s="1">
        <f t="shared" si="1"/>
        <v>3.39</v>
      </c>
      <c r="P39" s="1">
        <f t="shared" si="1"/>
        <v>17.78</v>
      </c>
      <c r="Q39" s="1">
        <f t="shared" si="1"/>
        <v>191.68</v>
      </c>
      <c r="R39" s="1">
        <f t="shared" si="1"/>
        <v>2.3400000000000003</v>
      </c>
      <c r="S39" s="1">
        <f t="shared" si="1"/>
        <v>542.7800000000002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6" customWidth="1"/>
    <col min="2" max="2" width="16" customWidth="1"/>
  </cols>
  <sheetData>
    <row r="1" spans="1:2" ht="42" customHeight="1" x14ac:dyDescent="0.25">
      <c r="A1" s="3" t="s">
        <v>412</v>
      </c>
      <c r="B1" s="3" t="s">
        <v>413</v>
      </c>
    </row>
    <row r="2" spans="1:2" x14ac:dyDescent="0.25">
      <c r="A2" s="2" t="s">
        <v>414</v>
      </c>
      <c r="B2" s="2">
        <f>'Channel quantities'!L39</f>
        <v>290.31999999999994</v>
      </c>
    </row>
    <row r="3" spans="1:2" x14ac:dyDescent="0.25">
      <c r="A3" s="2" t="s">
        <v>415</v>
      </c>
      <c r="B3" s="2">
        <f>'Channel quantities'!M39</f>
        <v>4.5600000000000005</v>
      </c>
    </row>
    <row r="4" spans="1:2" x14ac:dyDescent="0.25">
      <c r="A4" s="2" t="s">
        <v>416</v>
      </c>
      <c r="B4" s="2">
        <f>'Channel quantities'!N39</f>
        <v>32.71</v>
      </c>
    </row>
    <row r="5" spans="1:2" x14ac:dyDescent="0.25">
      <c r="A5" s="2" t="s">
        <v>417</v>
      </c>
      <c r="B5" s="2">
        <f>'Channel quantities'!O39</f>
        <v>3.39</v>
      </c>
    </row>
    <row r="6" spans="1:2" x14ac:dyDescent="0.25">
      <c r="A6" s="2" t="s">
        <v>418</v>
      </c>
      <c r="B6" s="2">
        <f>'Channel quantities'!P39</f>
        <v>17.78</v>
      </c>
    </row>
    <row r="7" spans="1:2" x14ac:dyDescent="0.25">
      <c r="A7" s="2" t="s">
        <v>419</v>
      </c>
      <c r="B7" s="2">
        <f>'Channel quantities'!Q39</f>
        <v>191.68</v>
      </c>
    </row>
    <row r="8" spans="1:2" x14ac:dyDescent="0.25">
      <c r="A8" s="2" t="s">
        <v>420</v>
      </c>
      <c r="B8" s="2">
        <f>'Channel quantities'!R39</f>
        <v>2.3400000000000003</v>
      </c>
    </row>
    <row r="9" spans="1:2" x14ac:dyDescent="0.25">
      <c r="A9" s="1" t="s">
        <v>286</v>
      </c>
      <c r="B9" s="1">
        <f>SUM(B2:B8)</f>
        <v>542.77999999999986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Read me</vt:lpstr>
      <vt:lpstr>Reaches</vt:lpstr>
      <vt:lpstr>Channel sections</vt:lpstr>
      <vt:lpstr>Size inventory</vt:lpstr>
      <vt:lpstr>Outfalls</vt:lpstr>
      <vt:lpstr>Proposed culverts</vt:lpstr>
      <vt:lpstr>Dykes</vt:lpstr>
      <vt:lpstr>Channel quantities</vt:lpstr>
      <vt:lpstr>Land take by class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Mojtaba Keivanlou</cp:lastModifiedBy>
  <dcterms:created xsi:type="dcterms:W3CDTF">2026-10-14T11:23:49Z</dcterms:created>
  <dcterms:modified xsi:type="dcterms:W3CDTF">2026-10-14T11:23:49Z</dcterms:modified>
</cp:coreProperties>
</file>