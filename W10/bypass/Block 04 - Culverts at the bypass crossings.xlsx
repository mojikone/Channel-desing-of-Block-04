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Mojtaba\Renardet\2224 WS11\Batinah\Block 4\Claude Block 04\W10\bypass\"/>
    </mc:Choice>
  </mc:AlternateContent>
  <xr:revisionPtr revIDLastSave="0" documentId="13_ncr:1_{F1DD17FE-322F-4791-AEE2-BEC75DD368A4}" xr6:coauthVersionLast="47" xr6:coauthVersionMax="47" xr10:uidLastSave="{00000000-0000-0000-0000-000000000000}"/>
  <bookViews>
    <workbookView xWindow="-120" yWindow="-120" windowWidth="29040" windowHeight="15720" xr2:uid="{00000000-000D-0000-FFFF-FFFF00000000}"/>
  </bookViews>
  <sheets>
    <sheet name="Read me" sheetId="1" r:id="rId1"/>
    <sheet name="Rates and constants" sheetId="2" r:id="rId2"/>
    <sheet name="Culverts under the bypas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27" i="3" l="1"/>
  <c r="BA27" i="3" s="1"/>
  <c r="U27" i="3"/>
  <c r="S27" i="3"/>
  <c r="AB27" i="3" s="1"/>
  <c r="AQ27" i="3" s="1"/>
  <c r="O27" i="3"/>
  <c r="L27" i="3" s="1"/>
  <c r="N27" i="3" s="1"/>
  <c r="AM26" i="3"/>
  <c r="BA26" i="3" s="1"/>
  <c r="U26" i="3"/>
  <c r="S26" i="3"/>
  <c r="O26" i="3"/>
  <c r="L26" i="3"/>
  <c r="N26" i="3" s="1"/>
  <c r="AM25" i="3"/>
  <c r="BA25" i="3" s="1"/>
  <c r="U25" i="3"/>
  <c r="S25" i="3"/>
  <c r="O25" i="3"/>
  <c r="L25" i="3"/>
  <c r="N25" i="3" s="1"/>
  <c r="AM24" i="3"/>
  <c r="BA24" i="3" s="1"/>
  <c r="U24" i="3"/>
  <c r="S24" i="3"/>
  <c r="O24" i="3"/>
  <c r="L24" i="3"/>
  <c r="N24" i="3" s="1"/>
  <c r="AM23" i="3"/>
  <c r="BA23" i="3" s="1"/>
  <c r="U23" i="3"/>
  <c r="S23" i="3"/>
  <c r="O23" i="3"/>
  <c r="L23" i="3"/>
  <c r="N23" i="3" s="1"/>
  <c r="AM22" i="3"/>
  <c r="BA22" i="3" s="1"/>
  <c r="U22" i="3"/>
  <c r="S22" i="3"/>
  <c r="O22" i="3"/>
  <c r="L22" i="3" s="1"/>
  <c r="N22" i="3" s="1"/>
  <c r="AM21" i="3"/>
  <c r="BA21" i="3" s="1"/>
  <c r="U21" i="3"/>
  <c r="S21" i="3"/>
  <c r="O21" i="3"/>
  <c r="L21" i="3"/>
  <c r="N21" i="3" s="1"/>
  <c r="AM20" i="3"/>
  <c r="BA20" i="3" s="1"/>
  <c r="U20" i="3"/>
  <c r="S20" i="3"/>
  <c r="AB20" i="3" s="1"/>
  <c r="AQ20" i="3" s="1"/>
  <c r="O20" i="3"/>
  <c r="L20" i="3" s="1"/>
  <c r="N20" i="3" s="1"/>
  <c r="AM19" i="3"/>
  <c r="BA19" i="3" s="1"/>
  <c r="U19" i="3"/>
  <c r="S19" i="3"/>
  <c r="AB19" i="3" s="1"/>
  <c r="AQ19" i="3" s="1"/>
  <c r="O19" i="3"/>
  <c r="L19" i="3"/>
  <c r="N19" i="3" s="1"/>
  <c r="AM18" i="3"/>
  <c r="BA18" i="3" s="1"/>
  <c r="U18" i="3"/>
  <c r="S18" i="3"/>
  <c r="O18" i="3"/>
  <c r="L18" i="3"/>
  <c r="N18" i="3" s="1"/>
  <c r="AM17" i="3"/>
  <c r="BA17" i="3" s="1"/>
  <c r="U17" i="3"/>
  <c r="S17" i="3"/>
  <c r="O17" i="3"/>
  <c r="L17" i="3" s="1"/>
  <c r="N17" i="3" s="1"/>
  <c r="U16" i="3"/>
  <c r="S16" i="3"/>
  <c r="O16" i="3"/>
  <c r="L16" i="3"/>
  <c r="N16" i="3" s="1"/>
  <c r="AM15" i="3"/>
  <c r="BA15" i="3" s="1"/>
  <c r="U15" i="3"/>
  <c r="S15" i="3"/>
  <c r="O15" i="3"/>
  <c r="L15" i="3" s="1"/>
  <c r="N15" i="3" s="1"/>
  <c r="U14" i="3"/>
  <c r="S14" i="3"/>
  <c r="AB14" i="3" s="1"/>
  <c r="AQ14" i="3" s="1"/>
  <c r="O14" i="3"/>
  <c r="L14" i="3" s="1"/>
  <c r="N14" i="3" s="1"/>
  <c r="AM13" i="3"/>
  <c r="BA13" i="3" s="1"/>
  <c r="U13" i="3"/>
  <c r="S13" i="3"/>
  <c r="O13" i="3"/>
  <c r="L13" i="3"/>
  <c r="N13" i="3" s="1"/>
  <c r="AM12" i="3"/>
  <c r="BA12" i="3" s="1"/>
  <c r="U12" i="3"/>
  <c r="S12" i="3"/>
  <c r="O12" i="3"/>
  <c r="L12" i="3"/>
  <c r="N12" i="3" s="1"/>
  <c r="AM11" i="3"/>
  <c r="BA11" i="3" s="1"/>
  <c r="U11" i="3"/>
  <c r="S11" i="3"/>
  <c r="O11" i="3"/>
  <c r="L11" i="3"/>
  <c r="N11" i="3" s="1"/>
  <c r="U10" i="3"/>
  <c r="S10" i="3"/>
  <c r="O10" i="3"/>
  <c r="L10" i="3"/>
  <c r="N10" i="3" s="1"/>
  <c r="AM9" i="3"/>
  <c r="BA9" i="3" s="1"/>
  <c r="U9" i="3"/>
  <c r="S9" i="3"/>
  <c r="O9" i="3"/>
  <c r="L9" i="3" s="1"/>
  <c r="N9" i="3" s="1"/>
  <c r="U8" i="3"/>
  <c r="S8" i="3"/>
  <c r="AB8" i="3" s="1"/>
  <c r="AQ8" i="3" s="1"/>
  <c r="O8" i="3"/>
  <c r="L8" i="3"/>
  <c r="N8" i="3" s="1"/>
  <c r="AM7" i="3"/>
  <c r="BA7" i="3" s="1"/>
  <c r="U7" i="3"/>
  <c r="S7" i="3"/>
  <c r="O7" i="3"/>
  <c r="L7" i="3" s="1"/>
  <c r="N7" i="3" s="1"/>
  <c r="AM6" i="3"/>
  <c r="BA6" i="3" s="1"/>
  <c r="U6" i="3"/>
  <c r="S6" i="3"/>
  <c r="AB6" i="3" s="1"/>
  <c r="AQ6" i="3" s="1"/>
  <c r="O6" i="3"/>
  <c r="L6" i="3" s="1"/>
  <c r="N6" i="3" s="1"/>
  <c r="AM5" i="3"/>
  <c r="BA5" i="3" s="1"/>
  <c r="U5" i="3"/>
  <c r="S5" i="3"/>
  <c r="O5" i="3"/>
  <c r="L5" i="3"/>
  <c r="N5" i="3" s="1"/>
  <c r="AM4" i="3"/>
  <c r="BA4" i="3" s="1"/>
  <c r="U4" i="3"/>
  <c r="S4" i="3"/>
  <c r="O4" i="3"/>
  <c r="L4" i="3" s="1"/>
  <c r="N4" i="3" s="1"/>
  <c r="AM3" i="3"/>
  <c r="BA3" i="3" s="1"/>
  <c r="U3" i="3"/>
  <c r="S3" i="3"/>
  <c r="O3" i="3"/>
  <c r="L3" i="3" s="1"/>
  <c r="N3" i="3" s="1"/>
  <c r="AM2" i="3"/>
  <c r="BA2" i="3" s="1"/>
  <c r="U2" i="3"/>
  <c r="S2" i="3"/>
  <c r="O2" i="3"/>
  <c r="L2" i="3"/>
  <c r="N2" i="3" s="1"/>
  <c r="AB18" i="3" l="1"/>
  <c r="AQ18" i="3" s="1"/>
  <c r="AB26" i="3"/>
  <c r="AQ26" i="3" s="1"/>
  <c r="AB3" i="3"/>
  <c r="AQ3" i="3" s="1"/>
  <c r="AB10" i="3"/>
  <c r="AQ10" i="3" s="1"/>
  <c r="AB25" i="3"/>
  <c r="AQ25" i="3" s="1"/>
  <c r="AB13" i="3"/>
  <c r="AQ13" i="3" s="1"/>
  <c r="AB16" i="3"/>
  <c r="AQ16" i="3" s="1"/>
  <c r="AB12" i="3"/>
  <c r="AQ12" i="3" s="1"/>
  <c r="AB7" i="3"/>
  <c r="AQ7" i="3" s="1"/>
  <c r="AB9" i="3"/>
  <c r="AQ9" i="3" s="1"/>
  <c r="Y19" i="3"/>
  <c r="R19" i="3"/>
  <c r="Q19" i="3"/>
  <c r="Y20" i="3"/>
  <c r="R20" i="3"/>
  <c r="Q20" i="3"/>
  <c r="R8" i="3"/>
  <c r="Q8" i="3"/>
  <c r="Y8" i="3"/>
  <c r="R17" i="3"/>
  <c r="Q17" i="3"/>
  <c r="Y17" i="3"/>
  <c r="AL17" i="3"/>
  <c r="AZ17" i="3" s="1"/>
  <c r="Y18" i="3"/>
  <c r="R18" i="3"/>
  <c r="Q18" i="3"/>
  <c r="Y24" i="3"/>
  <c r="R24" i="3"/>
  <c r="AL24" i="3" s="1"/>
  <c r="AZ24" i="3" s="1"/>
  <c r="Q24" i="3"/>
  <c r="Y12" i="3"/>
  <c r="R12" i="3"/>
  <c r="Q12" i="3"/>
  <c r="Y13" i="3"/>
  <c r="R13" i="3"/>
  <c r="Q13" i="3"/>
  <c r="Y26" i="3"/>
  <c r="R26" i="3"/>
  <c r="Q26" i="3"/>
  <c r="Y16" i="3"/>
  <c r="R16" i="3"/>
  <c r="AL16" i="3" s="1"/>
  <c r="AZ16" i="3" s="1"/>
  <c r="Q16" i="3"/>
  <c r="Y10" i="3"/>
  <c r="R10" i="3"/>
  <c r="AL10" i="3" s="1"/>
  <c r="AZ10" i="3" s="1"/>
  <c r="Q10" i="3"/>
  <c r="Q4" i="3"/>
  <c r="R4" i="3"/>
  <c r="Y4" i="3"/>
  <c r="Y23" i="3"/>
  <c r="Q23" i="3"/>
  <c r="R23" i="3"/>
  <c r="AL23" i="3" s="1"/>
  <c r="AZ23" i="3" s="1"/>
  <c r="Y11" i="3"/>
  <c r="R11" i="3"/>
  <c r="Q11" i="3"/>
  <c r="AL11" i="3"/>
  <c r="AZ11" i="3" s="1"/>
  <c r="Q5" i="3"/>
  <c r="Y5" i="3"/>
  <c r="R5" i="3"/>
  <c r="AL5" i="3"/>
  <c r="AZ5" i="3" s="1"/>
  <c r="Y6" i="3"/>
  <c r="R6" i="3"/>
  <c r="Q6" i="3"/>
  <c r="Y25" i="3"/>
  <c r="R25" i="3"/>
  <c r="Q25" i="3"/>
  <c r="R7" i="3"/>
  <c r="Y7" i="3"/>
  <c r="Q7" i="3"/>
  <c r="Y14" i="3"/>
  <c r="R14" i="3"/>
  <c r="Q14" i="3"/>
  <c r="Q2" i="3"/>
  <c r="N28" i="3"/>
  <c r="Y2" i="3"/>
  <c r="R2" i="3"/>
  <c r="R21" i="3"/>
  <c r="Q21" i="3"/>
  <c r="Y21" i="3"/>
  <c r="R15" i="3"/>
  <c r="Q15" i="3"/>
  <c r="Y15" i="3"/>
  <c r="R27" i="3"/>
  <c r="Q27" i="3"/>
  <c r="Y27" i="3"/>
  <c r="AL2" i="3"/>
  <c r="AZ2" i="3" s="1"/>
  <c r="AL15" i="3"/>
  <c r="AZ15" i="3" s="1"/>
  <c r="AL21" i="3"/>
  <c r="AZ21" i="3" s="1"/>
  <c r="R9" i="3"/>
  <c r="Y9" i="3"/>
  <c r="Q9" i="3"/>
  <c r="Y3" i="3"/>
  <c r="Q3" i="3"/>
  <c r="R3" i="3"/>
  <c r="Q22" i="3"/>
  <c r="Y22" i="3"/>
  <c r="R22" i="3"/>
  <c r="AL22" i="3" s="1"/>
  <c r="AZ22" i="3" s="1"/>
  <c r="AB2" i="3"/>
  <c r="AQ2" i="3" s="1"/>
  <c r="AB21" i="3"/>
  <c r="AQ21" i="3" s="1"/>
  <c r="AB15" i="3"/>
  <c r="AQ15" i="3" s="1"/>
  <c r="AB22" i="3"/>
  <c r="AQ22" i="3" s="1"/>
  <c r="AB23" i="3"/>
  <c r="AQ23" i="3" s="1"/>
  <c r="AB4" i="3"/>
  <c r="AQ4" i="3" s="1"/>
  <c r="AB17" i="3"/>
  <c r="AQ17" i="3" s="1"/>
  <c r="AB11" i="3"/>
  <c r="AQ11" i="3" s="1"/>
  <c r="AB24" i="3"/>
  <c r="AQ24" i="3" s="1"/>
  <c r="AB5" i="3"/>
  <c r="AQ5" i="3" s="1"/>
  <c r="Z13" i="3" l="1"/>
  <c r="AO13" i="3" s="1"/>
  <c r="AN13" i="3"/>
  <c r="AK18" i="3"/>
  <c r="AY18" i="3" s="1"/>
  <c r="AJ18" i="3"/>
  <c r="AX18" i="3" s="1"/>
  <c r="AI18" i="3"/>
  <c r="AW18" i="3" s="1"/>
  <c r="AC18" i="3"/>
  <c r="AA18" i="3"/>
  <c r="AP18" i="3" s="1"/>
  <c r="AL18" i="3"/>
  <c r="AZ18" i="3" s="1"/>
  <c r="Z18" i="3"/>
  <c r="AO18" i="3" s="1"/>
  <c r="AN18" i="3"/>
  <c r="AK14" i="3"/>
  <c r="AY14" i="3" s="1"/>
  <c r="AJ14" i="3"/>
  <c r="AX14" i="3" s="1"/>
  <c r="AC14" i="3"/>
  <c r="AM14" i="3"/>
  <c r="BA14" i="3" s="1"/>
  <c r="AL14" i="3"/>
  <c r="AZ14" i="3" s="1"/>
  <c r="AI14" i="3"/>
  <c r="AW14" i="3" s="1"/>
  <c r="AA14" i="3"/>
  <c r="AP14" i="3" s="1"/>
  <c r="AA3" i="3"/>
  <c r="AP3" i="3" s="1"/>
  <c r="AC3" i="3"/>
  <c r="AK3" i="3"/>
  <c r="AY3" i="3" s="1"/>
  <c r="AJ3" i="3"/>
  <c r="AX3" i="3" s="1"/>
  <c r="AI3" i="3"/>
  <c r="AW3" i="3" s="1"/>
  <c r="Z6" i="3"/>
  <c r="AO6" i="3" s="1"/>
  <c r="AN6" i="3"/>
  <c r="AK5" i="3"/>
  <c r="AY5" i="3" s="1"/>
  <c r="AJ5" i="3"/>
  <c r="AX5" i="3" s="1"/>
  <c r="AI5" i="3"/>
  <c r="AW5" i="3" s="1"/>
  <c r="AC5" i="3"/>
  <c r="AA5" i="3"/>
  <c r="AP5" i="3" s="1"/>
  <c r="AC9" i="3"/>
  <c r="AA9" i="3"/>
  <c r="AP9" i="3" s="1"/>
  <c r="AK9" i="3"/>
  <c r="AY9" i="3" s="1"/>
  <c r="AJ9" i="3"/>
  <c r="AX9" i="3" s="1"/>
  <c r="AI9" i="3"/>
  <c r="AW9" i="3" s="1"/>
  <c r="AN17" i="3"/>
  <c r="Z17" i="3"/>
  <c r="AO17" i="3" s="1"/>
  <c r="Z24" i="3"/>
  <c r="AO24" i="3" s="1"/>
  <c r="AN24" i="3"/>
  <c r="Z5" i="3"/>
  <c r="AO5" i="3" s="1"/>
  <c r="AN5" i="3"/>
  <c r="AJ11" i="3"/>
  <c r="AX11" i="3" s="1"/>
  <c r="AI11" i="3"/>
  <c r="AW11" i="3" s="1"/>
  <c r="AK11" i="3"/>
  <c r="AY11" i="3" s="1"/>
  <c r="AC11" i="3"/>
  <c r="AA11" i="3"/>
  <c r="AP11" i="3" s="1"/>
  <c r="AN27" i="3"/>
  <c r="Z27" i="3"/>
  <c r="AO27" i="3" s="1"/>
  <c r="AN11" i="3"/>
  <c r="Z11" i="3"/>
  <c r="AO11" i="3" s="1"/>
  <c r="AK17" i="3"/>
  <c r="AY17" i="3" s="1"/>
  <c r="AJ17" i="3"/>
  <c r="AX17" i="3" s="1"/>
  <c r="AI17" i="3"/>
  <c r="AW17" i="3" s="1"/>
  <c r="AC17" i="3"/>
  <c r="AA17" i="3"/>
  <c r="AP17" i="3" s="1"/>
  <c r="AN8" i="3"/>
  <c r="Z8" i="3"/>
  <c r="AO8" i="3" s="1"/>
  <c r="AN3" i="3"/>
  <c r="Z3" i="3"/>
  <c r="AO3" i="3" s="1"/>
  <c r="AK23" i="3"/>
  <c r="AY23" i="3" s="1"/>
  <c r="AJ23" i="3"/>
  <c r="AX23" i="3" s="1"/>
  <c r="AI23" i="3"/>
  <c r="AW23" i="3" s="1"/>
  <c r="AC23" i="3"/>
  <c r="AA23" i="3"/>
  <c r="AP23" i="3" s="1"/>
  <c r="AK27" i="3"/>
  <c r="AY27" i="3" s="1"/>
  <c r="AL27" i="3"/>
  <c r="AZ27" i="3" s="1"/>
  <c r="AJ27" i="3"/>
  <c r="AX27" i="3" s="1"/>
  <c r="AI27" i="3"/>
  <c r="AW27" i="3" s="1"/>
  <c r="AC27" i="3"/>
  <c r="AA27" i="3"/>
  <c r="AP27" i="3" s="1"/>
  <c r="AN15" i="3"/>
  <c r="Z15" i="3"/>
  <c r="AO15" i="3" s="1"/>
  <c r="AN23" i="3"/>
  <c r="Z23" i="3"/>
  <c r="AO23" i="3" s="1"/>
  <c r="AC8" i="3"/>
  <c r="AJ8" i="3"/>
  <c r="AX8" i="3" s="1"/>
  <c r="AL8" i="3"/>
  <c r="AZ8" i="3" s="1"/>
  <c r="AA8" i="3"/>
  <c r="AP8" i="3" s="1"/>
  <c r="AI8" i="3"/>
  <c r="AW8" i="3" s="1"/>
  <c r="AM8" i="3"/>
  <c r="BA8" i="3" s="1"/>
  <c r="AK8" i="3"/>
  <c r="AY8" i="3" s="1"/>
  <c r="AN4" i="3"/>
  <c r="Z4" i="3"/>
  <c r="AO4" i="3" s="1"/>
  <c r="AK15" i="3"/>
  <c r="AY15" i="3" s="1"/>
  <c r="AJ15" i="3"/>
  <c r="AX15" i="3" s="1"/>
  <c r="AI15" i="3"/>
  <c r="AW15" i="3" s="1"/>
  <c r="AC15" i="3"/>
  <c r="AA15" i="3"/>
  <c r="AP15" i="3" s="1"/>
  <c r="AK4" i="3"/>
  <c r="AY4" i="3" s="1"/>
  <c r="AI4" i="3"/>
  <c r="AW4" i="3" s="1"/>
  <c r="AJ4" i="3"/>
  <c r="AX4" i="3" s="1"/>
  <c r="AC4" i="3"/>
  <c r="AA4" i="3"/>
  <c r="AP4" i="3" s="1"/>
  <c r="AA20" i="3"/>
  <c r="AP20" i="3" s="1"/>
  <c r="AL20" i="3"/>
  <c r="AZ20" i="3" s="1"/>
  <c r="AK20" i="3"/>
  <c r="AY20" i="3" s="1"/>
  <c r="AJ20" i="3"/>
  <c r="AX20" i="3" s="1"/>
  <c r="AC20" i="3"/>
  <c r="AI20" i="3"/>
  <c r="AW20" i="3" s="1"/>
  <c r="Z20" i="3"/>
  <c r="AO20" i="3" s="1"/>
  <c r="AN20" i="3"/>
  <c r="Z21" i="3"/>
  <c r="AO21" i="3" s="1"/>
  <c r="AN21" i="3"/>
  <c r="Z14" i="3"/>
  <c r="AO14" i="3" s="1"/>
  <c r="AN14" i="3"/>
  <c r="AC25" i="3"/>
  <c r="AA25" i="3"/>
  <c r="AP25" i="3" s="1"/>
  <c r="AJ25" i="3"/>
  <c r="AX25" i="3" s="1"/>
  <c r="AL25" i="3"/>
  <c r="AZ25" i="3" s="1"/>
  <c r="AK25" i="3"/>
  <c r="AY25" i="3" s="1"/>
  <c r="AI25" i="3"/>
  <c r="AW25" i="3" s="1"/>
  <c r="AI12" i="3"/>
  <c r="AW12" i="3" s="1"/>
  <c r="AC12" i="3"/>
  <c r="AA12" i="3"/>
  <c r="AP12" i="3" s="1"/>
  <c r="AL12" i="3"/>
  <c r="AZ12" i="3" s="1"/>
  <c r="AK12" i="3"/>
  <c r="AY12" i="3" s="1"/>
  <c r="AJ12" i="3"/>
  <c r="AX12" i="3" s="1"/>
  <c r="AN22" i="3"/>
  <c r="Z22" i="3"/>
  <c r="AO22" i="3" s="1"/>
  <c r="AN9" i="3"/>
  <c r="Z9" i="3"/>
  <c r="AO9" i="3" s="1"/>
  <c r="AI21" i="3"/>
  <c r="AW21" i="3" s="1"/>
  <c r="AK21" i="3"/>
  <c r="AY21" i="3" s="1"/>
  <c r="AJ21" i="3"/>
  <c r="AX21" i="3" s="1"/>
  <c r="AC21" i="3"/>
  <c r="AA21" i="3"/>
  <c r="AP21" i="3" s="1"/>
  <c r="AM10" i="3"/>
  <c r="BA10" i="3" s="1"/>
  <c r="AK10" i="3"/>
  <c r="AY10" i="3" s="1"/>
  <c r="AJ10" i="3"/>
  <c r="AX10" i="3" s="1"/>
  <c r="AI10" i="3"/>
  <c r="AW10" i="3" s="1"/>
  <c r="AC10" i="3"/>
  <c r="AA10" i="3"/>
  <c r="AP10" i="3" s="1"/>
  <c r="AL4" i="3"/>
  <c r="AZ4" i="3" s="1"/>
  <c r="AL3" i="3"/>
  <c r="AZ3" i="3" s="1"/>
  <c r="AK2" i="3"/>
  <c r="AY2" i="3" s="1"/>
  <c r="AJ2" i="3"/>
  <c r="AX2" i="3" s="1"/>
  <c r="AA2" i="3"/>
  <c r="AP2" i="3" s="1"/>
  <c r="AI2" i="3"/>
  <c r="AW2" i="3" s="1"/>
  <c r="AC2" i="3"/>
  <c r="Z10" i="3"/>
  <c r="AO10" i="3" s="1"/>
  <c r="AN10" i="3"/>
  <c r="Z26" i="3"/>
  <c r="AO26" i="3" s="1"/>
  <c r="AN26" i="3"/>
  <c r="AC13" i="3"/>
  <c r="AA13" i="3"/>
  <c r="AP13" i="3" s="1"/>
  <c r="AL13" i="3"/>
  <c r="AZ13" i="3" s="1"/>
  <c r="AK13" i="3"/>
  <c r="AY13" i="3" s="1"/>
  <c r="AJ13" i="3"/>
  <c r="AX13" i="3" s="1"/>
  <c r="AI13" i="3"/>
  <c r="AW13" i="3" s="1"/>
  <c r="AA7" i="3"/>
  <c r="AP7" i="3" s="1"/>
  <c r="AL7" i="3"/>
  <c r="AZ7" i="3" s="1"/>
  <c r="AK7" i="3"/>
  <c r="AY7" i="3" s="1"/>
  <c r="AJ7" i="3"/>
  <c r="AX7" i="3" s="1"/>
  <c r="AI7" i="3"/>
  <c r="AW7" i="3" s="1"/>
  <c r="AC7" i="3"/>
  <c r="AA22" i="3"/>
  <c r="AP22" i="3" s="1"/>
  <c r="AK22" i="3"/>
  <c r="AY22" i="3" s="1"/>
  <c r="AJ22" i="3"/>
  <c r="AX22" i="3" s="1"/>
  <c r="AI22" i="3"/>
  <c r="AW22" i="3" s="1"/>
  <c r="AC22" i="3"/>
  <c r="Z25" i="3"/>
  <c r="AO25" i="3" s="1"/>
  <c r="AN25" i="3"/>
  <c r="AI24" i="3"/>
  <c r="AW24" i="3" s="1"/>
  <c r="AK24" i="3"/>
  <c r="AY24" i="3" s="1"/>
  <c r="AJ24" i="3"/>
  <c r="AX24" i="3" s="1"/>
  <c r="AC24" i="3"/>
  <c r="AA24" i="3"/>
  <c r="AP24" i="3" s="1"/>
  <c r="AC26" i="3"/>
  <c r="AA26" i="3"/>
  <c r="AP26" i="3" s="1"/>
  <c r="AL26" i="3"/>
  <c r="AZ26" i="3" s="1"/>
  <c r="AK26" i="3"/>
  <c r="AY26" i="3" s="1"/>
  <c r="AJ26" i="3"/>
  <c r="AX26" i="3" s="1"/>
  <c r="AI26" i="3"/>
  <c r="AW26" i="3" s="1"/>
  <c r="Z7" i="3"/>
  <c r="AO7" i="3" s="1"/>
  <c r="AN7" i="3"/>
  <c r="Z12" i="3"/>
  <c r="AO12" i="3" s="1"/>
  <c r="AN12" i="3"/>
  <c r="AC6" i="3"/>
  <c r="AA6" i="3"/>
  <c r="AP6" i="3" s="1"/>
  <c r="AK6" i="3"/>
  <c r="AY6" i="3" s="1"/>
  <c r="AI6" i="3"/>
  <c r="AW6" i="3" s="1"/>
  <c r="AL6" i="3"/>
  <c r="AZ6" i="3" s="1"/>
  <c r="AJ6" i="3"/>
  <c r="AX6" i="3" s="1"/>
  <c r="AN2" i="3"/>
  <c r="Z2" i="3"/>
  <c r="AO2" i="3" s="1"/>
  <c r="AL9" i="3"/>
  <c r="AZ9" i="3" s="1"/>
  <c r="AM16" i="3"/>
  <c r="BA16" i="3" s="1"/>
  <c r="AK16" i="3"/>
  <c r="AY16" i="3" s="1"/>
  <c r="AJ16" i="3"/>
  <c r="AX16" i="3" s="1"/>
  <c r="AI16" i="3"/>
  <c r="AW16" i="3" s="1"/>
  <c r="AA16" i="3"/>
  <c r="AP16" i="3" s="1"/>
  <c r="AC16" i="3"/>
  <c r="AC19" i="3"/>
  <c r="AA19" i="3"/>
  <c r="AP19" i="3" s="1"/>
  <c r="AJ19" i="3"/>
  <c r="AX19" i="3" s="1"/>
  <c r="AL19" i="3"/>
  <c r="AZ19" i="3" s="1"/>
  <c r="AK19" i="3"/>
  <c r="AY19" i="3" s="1"/>
  <c r="AI19" i="3"/>
  <c r="AW19" i="3" s="1"/>
  <c r="Z16" i="3"/>
  <c r="AO16" i="3" s="1"/>
  <c r="AN16" i="3"/>
  <c r="Z19" i="3"/>
  <c r="AO19" i="3" s="1"/>
  <c r="AN19" i="3"/>
  <c r="AE7" i="3" l="1"/>
  <c r="AS7" i="3" s="1"/>
  <c r="AH7" i="3"/>
  <c r="AV7" i="3" s="1"/>
  <c r="AD7" i="3"/>
  <c r="AR7" i="3" s="1"/>
  <c r="AF7" i="3"/>
  <c r="AT7" i="3" s="1"/>
  <c r="AG7" i="3"/>
  <c r="AU7" i="3" s="1"/>
  <c r="AD22" i="3"/>
  <c r="AR22" i="3" s="1"/>
  <c r="AH22" i="3"/>
  <c r="AV22" i="3" s="1"/>
  <c r="AG22" i="3"/>
  <c r="AU22" i="3" s="1"/>
  <c r="AF22" i="3"/>
  <c r="AT22" i="3" s="1"/>
  <c r="AE22" i="3"/>
  <c r="AS22" i="3" s="1"/>
  <c r="AF19" i="3"/>
  <c r="AT19" i="3" s="1"/>
  <c r="AH19" i="3"/>
  <c r="AV19" i="3" s="1"/>
  <c r="AG19" i="3"/>
  <c r="AU19" i="3" s="1"/>
  <c r="AE19" i="3"/>
  <c r="AS19" i="3" s="1"/>
  <c r="AD19" i="3"/>
  <c r="AR19" i="3" s="1"/>
  <c r="AH16" i="3"/>
  <c r="AV16" i="3" s="1"/>
  <c r="AG16" i="3"/>
  <c r="AU16" i="3" s="1"/>
  <c r="AF16" i="3"/>
  <c r="AT16" i="3" s="1"/>
  <c r="AE16" i="3"/>
  <c r="AS16" i="3" s="1"/>
  <c r="AD16" i="3"/>
  <c r="AR16" i="3" s="1"/>
  <c r="AE4" i="3"/>
  <c r="AS4" i="3" s="1"/>
  <c r="AH4" i="3"/>
  <c r="AV4" i="3" s="1"/>
  <c r="AG4" i="3"/>
  <c r="AU4" i="3" s="1"/>
  <c r="AF4" i="3"/>
  <c r="AT4" i="3" s="1"/>
  <c r="AD4" i="3"/>
  <c r="AR4" i="3" s="1"/>
  <c r="BB4" i="3" s="1"/>
  <c r="BB6" i="3"/>
  <c r="AH23" i="3"/>
  <c r="AV23" i="3" s="1"/>
  <c r="AG23" i="3"/>
  <c r="AU23" i="3" s="1"/>
  <c r="AF23" i="3"/>
  <c r="AT23" i="3" s="1"/>
  <c r="AE23" i="3"/>
  <c r="AS23" i="3" s="1"/>
  <c r="AD23" i="3"/>
  <c r="AR23" i="3" s="1"/>
  <c r="BB23" i="3" s="1"/>
  <c r="AH21" i="3"/>
  <c r="AV21" i="3" s="1"/>
  <c r="BB21" i="3" s="1"/>
  <c r="AF21" i="3"/>
  <c r="AT21" i="3" s="1"/>
  <c r="AG21" i="3"/>
  <c r="AU21" i="3" s="1"/>
  <c r="AE21" i="3"/>
  <c r="AS21" i="3" s="1"/>
  <c r="AD21" i="3"/>
  <c r="AR21" i="3" s="1"/>
  <c r="AF15" i="3"/>
  <c r="AT15" i="3" s="1"/>
  <c r="AE15" i="3"/>
  <c r="AS15" i="3" s="1"/>
  <c r="AG15" i="3"/>
  <c r="AU15" i="3" s="1"/>
  <c r="AD15" i="3"/>
  <c r="AR15" i="3" s="1"/>
  <c r="AH15" i="3"/>
  <c r="AV15" i="3" s="1"/>
  <c r="AD9" i="3"/>
  <c r="AR9" i="3" s="1"/>
  <c r="AG9" i="3"/>
  <c r="AU9" i="3" s="1"/>
  <c r="AH9" i="3"/>
  <c r="AV9" i="3" s="1"/>
  <c r="AF9" i="3"/>
  <c r="AT9" i="3" s="1"/>
  <c r="AE9" i="3"/>
  <c r="AS9" i="3" s="1"/>
  <c r="BB22" i="3"/>
  <c r="AG18" i="3"/>
  <c r="AU18" i="3" s="1"/>
  <c r="AH18" i="3"/>
  <c r="AV18" i="3" s="1"/>
  <c r="AF18" i="3"/>
  <c r="AT18" i="3" s="1"/>
  <c r="AE18" i="3"/>
  <c r="AS18" i="3" s="1"/>
  <c r="AD18" i="3"/>
  <c r="AR18" i="3" s="1"/>
  <c r="BB18" i="3" s="1"/>
  <c r="AH17" i="3"/>
  <c r="AV17" i="3" s="1"/>
  <c r="AG17" i="3"/>
  <c r="AU17" i="3" s="1"/>
  <c r="AF17" i="3"/>
  <c r="AT17" i="3" s="1"/>
  <c r="AE17" i="3"/>
  <c r="AS17" i="3" s="1"/>
  <c r="AD17" i="3"/>
  <c r="AR17" i="3" s="1"/>
  <c r="BB17" i="3" s="1"/>
  <c r="BB7" i="3"/>
  <c r="BB16" i="3"/>
  <c r="BB2" i="3"/>
  <c r="AH3" i="3"/>
  <c r="AV3" i="3" s="1"/>
  <c r="AF3" i="3"/>
  <c r="AT3" i="3" s="1"/>
  <c r="AE3" i="3"/>
  <c r="AS3" i="3" s="1"/>
  <c r="AG3" i="3"/>
  <c r="AU3" i="3" s="1"/>
  <c r="AD3" i="3"/>
  <c r="AR3" i="3" s="1"/>
  <c r="AG6" i="3"/>
  <c r="AU6" i="3" s="1"/>
  <c r="AF6" i="3"/>
  <c r="AT6" i="3" s="1"/>
  <c r="AD6" i="3"/>
  <c r="AR6" i="3" s="1"/>
  <c r="AE6" i="3"/>
  <c r="AS6" i="3" s="1"/>
  <c r="AH6" i="3"/>
  <c r="AV6" i="3" s="1"/>
  <c r="AH12" i="3"/>
  <c r="AV12" i="3" s="1"/>
  <c r="AG12" i="3"/>
  <c r="AU12" i="3" s="1"/>
  <c r="AF12" i="3"/>
  <c r="AT12" i="3" s="1"/>
  <c r="AE12" i="3"/>
  <c r="AS12" i="3" s="1"/>
  <c r="AD12" i="3"/>
  <c r="AR12" i="3" s="1"/>
  <c r="BB12" i="3" s="1"/>
  <c r="AF2" i="3"/>
  <c r="AT2" i="3" s="1"/>
  <c r="AE2" i="3"/>
  <c r="AS2" i="3" s="1"/>
  <c r="AD2" i="3"/>
  <c r="AR2" i="3" s="1"/>
  <c r="AG2" i="3"/>
  <c r="AU2" i="3" s="1"/>
  <c r="AH2" i="3"/>
  <c r="AV2" i="3" s="1"/>
  <c r="BB19" i="3"/>
  <c r="AH27" i="3"/>
  <c r="AV27" i="3" s="1"/>
  <c r="AG27" i="3"/>
  <c r="AU27" i="3" s="1"/>
  <c r="AF27" i="3"/>
  <c r="AT27" i="3" s="1"/>
  <c r="AE27" i="3"/>
  <c r="AS27" i="3" s="1"/>
  <c r="AD27" i="3"/>
  <c r="AR27" i="3" s="1"/>
  <c r="BB27" i="3" s="1"/>
  <c r="AG5" i="3"/>
  <c r="AU5" i="3" s="1"/>
  <c r="AF5" i="3"/>
  <c r="AT5" i="3" s="1"/>
  <c r="AE5" i="3"/>
  <c r="AS5" i="3" s="1"/>
  <c r="AH5" i="3"/>
  <c r="AV5" i="3" s="1"/>
  <c r="AD5" i="3"/>
  <c r="AR5" i="3" s="1"/>
  <c r="AH11" i="3"/>
  <c r="AV11" i="3" s="1"/>
  <c r="AG11" i="3"/>
  <c r="AU11" i="3" s="1"/>
  <c r="AF11" i="3"/>
  <c r="AT11" i="3" s="1"/>
  <c r="AE11" i="3"/>
  <c r="AS11" i="3" s="1"/>
  <c r="AD11" i="3"/>
  <c r="AR11" i="3" s="1"/>
  <c r="AF8" i="3"/>
  <c r="AT8" i="3" s="1"/>
  <c r="AG8" i="3"/>
  <c r="AU8" i="3" s="1"/>
  <c r="AH8" i="3"/>
  <c r="AV8" i="3" s="1"/>
  <c r="AE8" i="3"/>
  <c r="AS8" i="3" s="1"/>
  <c r="AD8" i="3"/>
  <c r="AR8" i="3" s="1"/>
  <c r="BB8" i="3" s="1"/>
  <c r="AG26" i="3"/>
  <c r="AU26" i="3" s="1"/>
  <c r="AE26" i="3"/>
  <c r="AS26" i="3" s="1"/>
  <c r="AH26" i="3"/>
  <c r="AV26" i="3" s="1"/>
  <c r="AF26" i="3"/>
  <c r="AT26" i="3" s="1"/>
  <c r="AD26" i="3"/>
  <c r="AR26" i="3" s="1"/>
  <c r="AD13" i="3"/>
  <c r="AR13" i="3" s="1"/>
  <c r="AE13" i="3"/>
  <c r="AS13" i="3" s="1"/>
  <c r="AG13" i="3"/>
  <c r="AU13" i="3" s="1"/>
  <c r="AF13" i="3"/>
  <c r="AT13" i="3" s="1"/>
  <c r="AH13" i="3"/>
  <c r="AV13" i="3" s="1"/>
  <c r="BB26" i="3"/>
  <c r="BB15" i="3"/>
  <c r="AH24" i="3"/>
  <c r="AV24" i="3" s="1"/>
  <c r="AG24" i="3"/>
  <c r="AU24" i="3" s="1"/>
  <c r="AF24" i="3"/>
  <c r="AT24" i="3" s="1"/>
  <c r="AE24" i="3"/>
  <c r="AS24" i="3" s="1"/>
  <c r="AD24" i="3"/>
  <c r="AR24" i="3" s="1"/>
  <c r="AH10" i="3"/>
  <c r="AV10" i="3" s="1"/>
  <c r="AG10" i="3"/>
  <c r="AU10" i="3" s="1"/>
  <c r="AF10" i="3"/>
  <c r="AT10" i="3" s="1"/>
  <c r="AE10" i="3"/>
  <c r="AS10" i="3" s="1"/>
  <c r="AD10" i="3"/>
  <c r="AR10" i="3" s="1"/>
  <c r="BB10" i="3" s="1"/>
  <c r="AH14" i="3"/>
  <c r="AV14" i="3" s="1"/>
  <c r="AG14" i="3"/>
  <c r="AU14" i="3" s="1"/>
  <c r="AE14" i="3"/>
  <c r="AS14" i="3" s="1"/>
  <c r="BB14" i="3" s="1"/>
  <c r="AF14" i="3"/>
  <c r="AT14" i="3" s="1"/>
  <c r="AD14" i="3"/>
  <c r="AR14" i="3" s="1"/>
  <c r="AH25" i="3"/>
  <c r="AV25" i="3" s="1"/>
  <c r="AG25" i="3"/>
  <c r="AU25" i="3" s="1"/>
  <c r="AD25" i="3"/>
  <c r="AR25" i="3" s="1"/>
  <c r="AF25" i="3"/>
  <c r="AT25" i="3" s="1"/>
  <c r="AE25" i="3"/>
  <c r="AS25" i="3" s="1"/>
  <c r="BB25" i="3"/>
  <c r="AG20" i="3"/>
  <c r="AU20" i="3" s="1"/>
  <c r="AH20" i="3"/>
  <c r="AV20" i="3" s="1"/>
  <c r="AE20" i="3"/>
  <c r="AS20" i="3" s="1"/>
  <c r="AF20" i="3"/>
  <c r="AT20" i="3" s="1"/>
  <c r="AD20" i="3"/>
  <c r="AR20" i="3" s="1"/>
  <c r="BB20" i="3" s="1"/>
  <c r="BB3" i="3" l="1"/>
  <c r="BB5" i="3"/>
  <c r="BB24" i="3"/>
  <c r="BB13" i="3"/>
  <c r="BB9" i="3"/>
  <c r="BB11" i="3"/>
  <c r="BB28" i="3"/>
</calcChain>
</file>

<file path=xl/sharedStrings.xml><?xml version="1.0" encoding="utf-8"?>
<sst xmlns="http://schemas.openxmlformats.org/spreadsheetml/2006/main" count="217" uniqueCount="159">
  <si>
    <t>Block 04 - proposed box culverts under the planned North Batinah Bypass</t>
  </si>
  <si>
    <t>One box culvert per crossing: cells of 4.0 m clear width and the full channel depth as clear height (2.5 m, or 3.0 m where the channel is deeper), the number of cells from the designed bed width of the channel reach at the crossing, the barrel on the slope of the channel; length across the road = the bypass corridor taken as 45 m.</t>
  </si>
  <si>
    <t>Headwater: inlet- and outlet-control check (FHWA culvert design method, square-edged inlet with wingwalls, entrance loss 0.4, barrel roughness 0.015, tailwater at the normal depth of the channel downstream); every culvert keeps its headwater below 1.2 times the clear height; the cells it added, if any, are in their own column.</t>
  </si>
  <si>
    <t>Cost: concrete and reinforcement, blinding, waterproofing, the road works over the culvert and the removal of the existing structure where there is one, at the master plan unit rates (sheet 'Rates and constants').</t>
  </si>
  <si>
    <t>Every derived number is a live formula on the inputs (bed width, depth, flow, headwater) and on the rates and constants sheet: the cells, the overall width, the size text, the quantities and the costs. The headwater check is iterative and is given as values.</t>
  </si>
  <si>
    <t>Code</t>
  </si>
  <si>
    <t>Item</t>
  </si>
  <si>
    <t>Unit</t>
  </si>
  <si>
    <t>Value</t>
  </si>
  <si>
    <t>conc</t>
  </si>
  <si>
    <t>Reinforced concrete of the culverts</t>
  </si>
  <si>
    <t>m³</t>
  </si>
  <si>
    <t>rebar</t>
  </si>
  <si>
    <t>Reinforcement (120 kg/m³)</t>
  </si>
  <si>
    <t>t</t>
  </si>
  <si>
    <t>blind</t>
  </si>
  <si>
    <t>Blinding concrete</t>
  </si>
  <si>
    <t>wp</t>
  </si>
  <si>
    <t>Waterproofing</t>
  </si>
  <si>
    <t>m²</t>
  </si>
  <si>
    <t>abc</t>
  </si>
  <si>
    <t>Aggregate base course</t>
  </si>
  <si>
    <t>bbc</t>
  </si>
  <si>
    <t>Bituminous base course</t>
  </si>
  <si>
    <t>wbc</t>
  </si>
  <si>
    <t>Wearing course</t>
  </si>
  <si>
    <t>pc</t>
  </si>
  <si>
    <t>Prime coat</t>
  </si>
  <si>
    <t>tc</t>
  </si>
  <si>
    <t>Tack coat</t>
  </si>
  <si>
    <t>mark</t>
  </si>
  <si>
    <t>Road marking</t>
  </si>
  <si>
    <t>rail</t>
  </si>
  <si>
    <t>Guardrail</t>
  </si>
  <si>
    <t>m</t>
  </si>
  <si>
    <t>post</t>
  </si>
  <si>
    <t>Guardrail post</t>
  </si>
  <si>
    <t>no.</t>
  </si>
  <si>
    <t>cng</t>
  </si>
  <si>
    <t>Compaction of natural ground</t>
  </si>
  <si>
    <t>removal</t>
  </si>
  <si>
    <t>Removal of the existing structure</t>
  </si>
  <si>
    <t>B</t>
  </si>
  <si>
    <t>Clear width of a cell (m)</t>
  </si>
  <si>
    <t>WALL</t>
  </si>
  <si>
    <t>Wall thickness (m)</t>
  </si>
  <si>
    <t>LCOR</t>
  </si>
  <si>
    <t>Length across the road = the bypass corridor (m)</t>
  </si>
  <si>
    <t>Blue on yellow: the unit rates (master plan estimate) and the constants; change them here and every size, quantity and cost follows.</t>
  </si>
  <si>
    <t>ID</t>
  </si>
  <si>
    <t>Channel</t>
  </si>
  <si>
    <t>Reach</t>
  </si>
  <si>
    <t>Station (m)</t>
  </si>
  <si>
    <t>Easting</t>
  </si>
  <si>
    <t>Northing</t>
  </si>
  <si>
    <t>Design flow 200-year (m³/s)</t>
  </si>
  <si>
    <t>Channel bed width (m)</t>
  </si>
  <si>
    <t>Channel depth (m)</t>
  </si>
  <si>
    <t>Slope (m/m)</t>
  </si>
  <si>
    <t>Skew (deg)</t>
  </si>
  <si>
    <t>Cells from the bed width</t>
  </si>
  <si>
    <t>Cells added for the headwater check</t>
  </si>
  <si>
    <t>Cells</t>
  </si>
  <si>
    <t>Cell width (m)</t>
  </si>
  <si>
    <t>Cell height (m)</t>
  </si>
  <si>
    <t>Cells x width x height (m)</t>
  </si>
  <si>
    <t>Overall width G (m)</t>
  </si>
  <si>
    <t>Length L (m)</t>
  </si>
  <si>
    <t>Headwater (m)</t>
  </si>
  <si>
    <t>Headwater / height</t>
  </si>
  <si>
    <t>Control</t>
  </si>
  <si>
    <t>Tailwater (m)</t>
  </si>
  <si>
    <t>Existing structure</t>
  </si>
  <si>
    <t>Concrete (m³)</t>
  </si>
  <si>
    <t>Reinforcement (t)</t>
  </si>
  <si>
    <t>Blinding (m³)</t>
  </si>
  <si>
    <t>Waterproofing (m²)</t>
  </si>
  <si>
    <t>Pavement area (m²)</t>
  </si>
  <si>
    <t>Aggregate base (m³)</t>
  </si>
  <si>
    <t>Bituminous base (m³)</t>
  </si>
  <si>
    <t>Wearing course (m³)</t>
  </si>
  <si>
    <t>Prime coat (m²)</t>
  </si>
  <si>
    <t>Tack coat (m²)</t>
  </si>
  <si>
    <t>Marking (m²)</t>
  </si>
  <si>
    <t>Guardrail (m)</t>
  </si>
  <si>
    <t>Posts (no.)</t>
  </si>
  <si>
    <t>Compaction (m²)</t>
  </si>
  <si>
    <t>Removal of existing (m³)</t>
  </si>
  <si>
    <t>Concrete cost</t>
  </si>
  <si>
    <t>Reinforcement cost</t>
  </si>
  <si>
    <t>Blinding cost</t>
  </si>
  <si>
    <t>Waterproofing cost</t>
  </si>
  <si>
    <t>Aggregate base cost</t>
  </si>
  <si>
    <t>Bituminous base cost</t>
  </si>
  <si>
    <t>Wearing course cost</t>
  </si>
  <si>
    <t>Prime coat cost</t>
  </si>
  <si>
    <t>Tack coat cost</t>
  </si>
  <si>
    <t>Marking cost</t>
  </si>
  <si>
    <t>Guardrail cost</t>
  </si>
  <si>
    <t>Posts cost</t>
  </si>
  <si>
    <t>Compaction cost</t>
  </si>
  <si>
    <t>Removal cost</t>
  </si>
  <si>
    <t>Culvert cost (OMR)</t>
  </si>
  <si>
    <t>HAW-CH1-FP</t>
  </si>
  <si>
    <t>HAWCH1-C2</t>
  </si>
  <si>
    <t>inlet</t>
  </si>
  <si>
    <t>None</t>
  </si>
  <si>
    <t>HAW-CH2-SS</t>
  </si>
  <si>
    <t>HAWCH2-C3</t>
  </si>
  <si>
    <t>HAW-CH5-SS</t>
  </si>
  <si>
    <t>HAWCH5-C3</t>
  </si>
  <si>
    <t>HAW-CH7-SS</t>
  </si>
  <si>
    <t>HAWCH7-C1</t>
  </si>
  <si>
    <t>SHA-CH1-FP</t>
  </si>
  <si>
    <t>SHACH1-C4</t>
  </si>
  <si>
    <t>SHA-CH2-SM</t>
  </si>
  <si>
    <t>SHACH2-C5</t>
  </si>
  <si>
    <t>SHA-CH3-SM</t>
  </si>
  <si>
    <t>SHACH3-C7</t>
  </si>
  <si>
    <t>Culvert</t>
  </si>
  <si>
    <t>SHA-CH4-SM</t>
  </si>
  <si>
    <t>SHACH4-C3</t>
  </si>
  <si>
    <t>SHA-CH5-SM</t>
  </si>
  <si>
    <t>SHACH5-C1</t>
  </si>
  <si>
    <t>SHA-CH6-SM</t>
  </si>
  <si>
    <t>SHACH6-C1</t>
  </si>
  <si>
    <t>SHA-CH7-SM</t>
  </si>
  <si>
    <t>SHACH7-C2</t>
  </si>
  <si>
    <t>SHA-CH8-SS</t>
  </si>
  <si>
    <t>SHACH8-C1</t>
  </si>
  <si>
    <t>SHA-CH9-SS</t>
  </si>
  <si>
    <t>SHACH9-C1</t>
  </si>
  <si>
    <t>SHA-CH10-SS</t>
  </si>
  <si>
    <t>SHACH10-C1</t>
  </si>
  <si>
    <t>SHA-CH11-SS</t>
  </si>
  <si>
    <t>SHACH11-C1</t>
  </si>
  <si>
    <t>SHA-CH14-SS</t>
  </si>
  <si>
    <t>SHACH14-C1</t>
  </si>
  <si>
    <t>SHA-CH15-SS</t>
  </si>
  <si>
    <t>SHACH15-C2</t>
  </si>
  <si>
    <t>SHA-CH16-SS</t>
  </si>
  <si>
    <t>SHACH16-C1</t>
  </si>
  <si>
    <t>SHA-CH17-SS</t>
  </si>
  <si>
    <t>SHACH17-C2</t>
  </si>
  <si>
    <t>SHA-CH18-SS</t>
  </si>
  <si>
    <t>SHACH18-C2</t>
  </si>
  <si>
    <t>SHA-CH20-SS</t>
  </si>
  <si>
    <t>SHACH20-C1</t>
  </si>
  <si>
    <t>SAR-CH1-FP</t>
  </si>
  <si>
    <t>SARCH1-C7</t>
  </si>
  <si>
    <t>SAR-CH2-SM</t>
  </si>
  <si>
    <t>SARCH2-C1</t>
  </si>
  <si>
    <t>SAK-CH2-FP</t>
  </si>
  <si>
    <t>SAKCH2-C4</t>
  </si>
  <si>
    <t>SAK-CH3-SM</t>
  </si>
  <si>
    <t>SAKCH3-C1</t>
  </si>
  <si>
    <t>SAK-CH4-SS</t>
  </si>
  <si>
    <t>SAKCH4-C1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</si>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</sst>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0"/>
      <color rgb="FFFFFFFF"/>
      <name val="Arial"/>
    </font>
    <font>
      <sz val="10"/>
      <color rgb="FF0000FF"/>
      <name val="Arial"/>
    </font>
    <font>
      <sz val="10"/>
      <name val="Arial"/>
    </font>
    <font>
      <b/>
      <sz val="10"/>
      <name val="Arial"/>
    </font>
  </fonts>
  <fills count="4">
    <fill>
      <patternFill patternType="none"/>
    </fill>
    <fill>
      <patternFill patternType="gray125"/>
    </fill>
    <fill>
      <patternFill patternType="solid">
        <fgColor rgb="FF1F5F8B"/>
      </patternFill>
    </fill>
    <fill>
      <patternFill patternType="solid">
        <fgColor rgb="FFFFFF00"/>
      </patternFill>
    </fill>
  </fills>
  <borders count="1">
    <border>
      <left/>
      <right/>
      <top/>
      <bottom/>
      <diagonal/>
    </border>
  </borders>
  <cellStyleXfs count="1">
    <xf numFmtId="0" fontId="0" fillId="0" borderId="0"/>
  </cellStyleXfs>
  <cellXfs count="10">
    <xf numFmtId="0" fontId="0" fillId="0" borderId="0" xfId="0"/>
    <xf numFmtId="0" fontId="3" fillId="0" borderId="0" xfId="0" applyFont="1"/>
    <xf numFmtId="0" fontId="1" fillId="2" borderId="0" xfId="0" applyFont="1" applyFill="1"/>
    <xf numFmtId="0" fontId="2" fillId="3" borderId="0" xfId="0" applyFont="1" applyFill="1"/>
    <xf numFmtId="0" fontId="1" fillId="2" borderId="0" xfId="0" applyFont="1" applyFill="1" applyAlignment="1">
      <alignment horizontal="center" vertical="center" wrapText="1"/>
    </xf>
    <xf numFmtId="164" fontId="3" fillId="0" borderId="0" xfId="0" applyNumberFormat="1" applyFont="1"/>
    <xf numFmtId="3" fontId="3" fillId="0" borderId="0" xfId="0" applyNumberFormat="1" applyFont="1"/>
    <xf numFmtId="0" fontId="4" fillId="0" borderId="0" xfId="0" applyFont="1"/>
    <xf numFmtId="164" fontId="4" fillId="0" borderId="0" xfId="0" applyNumberFormat="1" applyFont="1"/>
    <xf numFmtId="3" fontId="4"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7"/>
  <sheetViews>
    <sheetView tabSelected="1" workbookViewId="0"/>
  </sheetViews>
  <sheetFormatPr defaultRowHeight="15" x14ac:dyDescent="0.25"/>
  <cols>
    <col min="1" max="1" width="160" customWidth="1"/>
  </cols>
  <sheetData>
    <row r="2" spans="1:1" x14ac:dyDescent="0.25">
      <c r="A2" s="1" t="s">
        <v>0</v>
      </c>
    </row>
    <row r="3" spans="1:1" x14ac:dyDescent="0.25">
      <c r="A3" s="1"/>
    </row>
    <row r="4" spans="1:1" x14ac:dyDescent="0.25">
      <c r="A4" s="1" t="s">
        <v>1</v>
      </c>
    </row>
    <row r="5" spans="1:1" x14ac:dyDescent="0.25">
      <c r="A5" s="1" t="s">
        <v>2</v>
      </c>
    </row>
    <row r="6" spans="1:1" x14ac:dyDescent="0.25">
      <c r="A6" s="1" t="s">
        <v>3</v>
      </c>
    </row>
    <row r="7" spans="1:1" x14ac:dyDescent="0.25">
      <c r="A7" s="1"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heetViews>
  <sheetFormatPr defaultRowHeight="15" x14ac:dyDescent="0.25"/>
  <cols>
    <col min="2" max="2" width="54" customWidth="1"/>
    <col min="4" max="4" width="12" customWidth="1"/>
  </cols>
  <sheetData>
    <row r="1" spans="1:4" x14ac:dyDescent="0.25">
      <c r="A1" s="2" t="s">
        <v>5</v>
      </c>
      <c r="B1" s="2" t="s">
        <v>6</v>
      </c>
      <c r="C1" s="2" t="s">
        <v>7</v>
      </c>
      <c r="D1" s="2" t="s">
        <v>8</v>
      </c>
    </row>
    <row r="2" spans="1:4" x14ac:dyDescent="0.25">
      <c r="A2" t="s">
        <v>9</v>
      </c>
      <c r="B2" t="s">
        <v>10</v>
      </c>
      <c r="C2" t="s">
        <v>11</v>
      </c>
      <c r="D2" s="3">
        <v>106.9</v>
      </c>
    </row>
    <row r="3" spans="1:4" x14ac:dyDescent="0.25">
      <c r="A3" t="s">
        <v>12</v>
      </c>
      <c r="B3" t="s">
        <v>13</v>
      </c>
      <c r="C3" t="s">
        <v>14</v>
      </c>
      <c r="D3" s="3">
        <v>417.1</v>
      </c>
    </row>
    <row r="4" spans="1:4" x14ac:dyDescent="0.25">
      <c r="A4" t="s">
        <v>15</v>
      </c>
      <c r="B4" t="s">
        <v>16</v>
      </c>
      <c r="C4" t="s">
        <v>11</v>
      </c>
      <c r="D4" s="3">
        <v>45</v>
      </c>
    </row>
    <row r="5" spans="1:4" x14ac:dyDescent="0.25">
      <c r="A5" t="s">
        <v>17</v>
      </c>
      <c r="B5" t="s">
        <v>18</v>
      </c>
      <c r="C5" t="s">
        <v>19</v>
      </c>
      <c r="D5" s="3">
        <v>2</v>
      </c>
    </row>
    <row r="6" spans="1:4" x14ac:dyDescent="0.25">
      <c r="A6" t="s">
        <v>20</v>
      </c>
      <c r="B6" t="s">
        <v>21</v>
      </c>
      <c r="C6" t="s">
        <v>11</v>
      </c>
      <c r="D6" s="3">
        <v>6.5</v>
      </c>
    </row>
    <row r="7" spans="1:4" x14ac:dyDescent="0.25">
      <c r="A7" t="s">
        <v>22</v>
      </c>
      <c r="B7" t="s">
        <v>23</v>
      </c>
      <c r="C7" t="s">
        <v>11</v>
      </c>
      <c r="D7" s="3">
        <v>45</v>
      </c>
    </row>
    <row r="8" spans="1:4" x14ac:dyDescent="0.25">
      <c r="A8" t="s">
        <v>24</v>
      </c>
      <c r="B8" t="s">
        <v>25</v>
      </c>
      <c r="C8" t="s">
        <v>11</v>
      </c>
      <c r="D8" s="3">
        <v>47</v>
      </c>
    </row>
    <row r="9" spans="1:4" x14ac:dyDescent="0.25">
      <c r="A9" t="s">
        <v>26</v>
      </c>
      <c r="B9" t="s">
        <v>27</v>
      </c>
      <c r="C9" t="s">
        <v>19</v>
      </c>
      <c r="D9" s="3">
        <v>0.45</v>
      </c>
    </row>
    <row r="10" spans="1:4" x14ac:dyDescent="0.25">
      <c r="A10" t="s">
        <v>28</v>
      </c>
      <c r="B10" t="s">
        <v>29</v>
      </c>
      <c r="C10" t="s">
        <v>19</v>
      </c>
      <c r="D10" s="3">
        <v>0.35</v>
      </c>
    </row>
    <row r="11" spans="1:4" x14ac:dyDescent="0.25">
      <c r="A11" t="s">
        <v>30</v>
      </c>
      <c r="B11" t="s">
        <v>31</v>
      </c>
      <c r="C11" t="s">
        <v>19</v>
      </c>
      <c r="D11" s="3">
        <v>4</v>
      </c>
    </row>
    <row r="12" spans="1:4" x14ac:dyDescent="0.25">
      <c r="A12" t="s">
        <v>32</v>
      </c>
      <c r="B12" t="s">
        <v>33</v>
      </c>
      <c r="C12" t="s">
        <v>34</v>
      </c>
      <c r="D12" s="3">
        <v>53</v>
      </c>
    </row>
    <row r="13" spans="1:4" x14ac:dyDescent="0.25">
      <c r="A13" t="s">
        <v>35</v>
      </c>
      <c r="B13" t="s">
        <v>36</v>
      </c>
      <c r="C13" t="s">
        <v>37</v>
      </c>
      <c r="D13" s="3">
        <v>3</v>
      </c>
    </row>
    <row r="14" spans="1:4" x14ac:dyDescent="0.25">
      <c r="A14" t="s">
        <v>38</v>
      </c>
      <c r="B14" t="s">
        <v>39</v>
      </c>
      <c r="C14" t="s">
        <v>19</v>
      </c>
      <c r="D14" s="3">
        <v>0.2</v>
      </c>
    </row>
    <row r="15" spans="1:4" x14ac:dyDescent="0.25">
      <c r="A15" t="s">
        <v>40</v>
      </c>
      <c r="B15" t="s">
        <v>41</v>
      </c>
      <c r="C15" t="s">
        <v>11</v>
      </c>
      <c r="D15" s="3">
        <v>4</v>
      </c>
    </row>
    <row r="17" spans="1:4" x14ac:dyDescent="0.25">
      <c r="A17" t="s">
        <v>42</v>
      </c>
      <c r="B17" t="s">
        <v>43</v>
      </c>
      <c r="D17" s="3">
        <v>4</v>
      </c>
    </row>
    <row r="18" spans="1:4" x14ac:dyDescent="0.25">
      <c r="A18" t="s">
        <v>44</v>
      </c>
      <c r="B18" t="s">
        <v>45</v>
      </c>
      <c r="D18" s="3">
        <v>0.25</v>
      </c>
    </row>
    <row r="19" spans="1:4" x14ac:dyDescent="0.25">
      <c r="A19" t="s">
        <v>46</v>
      </c>
      <c r="B19" t="s">
        <v>47</v>
      </c>
      <c r="D19" s="3">
        <v>45</v>
      </c>
    </row>
    <row r="21" spans="1:4" x14ac:dyDescent="0.25">
      <c r="B21"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28"/>
  <sheetViews>
    <sheetView workbookViewId="0">
      <pane xSplit="3" ySplit="1" topLeftCell="D2" activePane="bottomRight" state="frozen"/>
      <selection pane="topRight"/>
      <selection pane="bottomLeft"/>
      <selection pane="bottomRight"/>
    </sheetView>
  </sheetViews>
  <sheetFormatPr defaultRowHeight="15" x14ac:dyDescent="0.25"/>
  <cols>
    <col min="1" max="1" width="11" customWidth="1"/>
    <col min="2" max="2" width="13" customWidth="1"/>
    <col min="3" max="16" width="11" customWidth="1"/>
    <col min="17" max="17" width="14" customWidth="1"/>
    <col min="18" max="54" width="11" customWidth="1"/>
  </cols>
  <sheetData>
    <row r="1" spans="1:54" ht="62.1" customHeight="1" x14ac:dyDescent="0.25">
      <c r="A1" s="4" t="s">
        <v>49</v>
      </c>
      <c r="B1" s="4" t="s">
        <v>50</v>
      </c>
      <c r="C1" s="4" t="s">
        <v>51</v>
      </c>
      <c r="D1" s="4" t="s">
        <v>52</v>
      </c>
      <c r="E1" s="4" t="s">
        <v>53</v>
      </c>
      <c r="F1" s="4" t="s">
        <v>54</v>
      </c>
      <c r="G1" s="4" t="s">
        <v>55</v>
      </c>
      <c r="H1" s="4" t="s">
        <v>56</v>
      </c>
      <c r="I1" s="4" t="s">
        <v>57</v>
      </c>
      <c r="J1" s="4" t="s">
        <v>58</v>
      </c>
      <c r="K1" s="4" t="s">
        <v>59</v>
      </c>
      <c r="L1" s="4" t="s">
        <v>60</v>
      </c>
      <c r="M1" s="4" t="s">
        <v>61</v>
      </c>
      <c r="N1" s="4" t="s">
        <v>62</v>
      </c>
      <c r="O1" s="4" t="s">
        <v>63</v>
      </c>
      <c r="P1" s="4" t="s">
        <v>64</v>
      </c>
      <c r="Q1" s="4" t="s">
        <v>65</v>
      </c>
      <c r="R1" s="4" t="s">
        <v>66</v>
      </c>
      <c r="S1" s="4" t="s">
        <v>67</v>
      </c>
      <c r="T1" s="4" t="s">
        <v>68</v>
      </c>
      <c r="U1" s="4" t="s">
        <v>69</v>
      </c>
      <c r="V1" s="4" t="s">
        <v>70</v>
      </c>
      <c r="W1" s="4" t="s">
        <v>71</v>
      </c>
      <c r="X1" s="4" t="s">
        <v>72</v>
      </c>
      <c r="Y1" s="4" t="s">
        <v>73</v>
      </c>
      <c r="Z1" s="4" t="s">
        <v>74</v>
      </c>
      <c r="AA1" s="4" t="s">
        <v>75</v>
      </c>
      <c r="AB1" s="4" t="s">
        <v>76</v>
      </c>
      <c r="AC1" s="4" t="s">
        <v>77</v>
      </c>
      <c r="AD1" s="4" t="s">
        <v>78</v>
      </c>
      <c r="AE1" s="4" t="s">
        <v>79</v>
      </c>
      <c r="AF1" s="4" t="s">
        <v>80</v>
      </c>
      <c r="AG1" s="4" t="s">
        <v>81</v>
      </c>
      <c r="AH1" s="4" t="s">
        <v>82</v>
      </c>
      <c r="AI1" s="4" t="s">
        <v>83</v>
      </c>
      <c r="AJ1" s="4" t="s">
        <v>84</v>
      </c>
      <c r="AK1" s="4" t="s">
        <v>85</v>
      </c>
      <c r="AL1" s="4" t="s">
        <v>86</v>
      </c>
      <c r="AM1" s="4" t="s">
        <v>87</v>
      </c>
      <c r="AN1" s="4" t="s">
        <v>88</v>
      </c>
      <c r="AO1" s="4" t="s">
        <v>89</v>
      </c>
      <c r="AP1" s="4" t="s">
        <v>90</v>
      </c>
      <c r="AQ1" s="4" t="s">
        <v>91</v>
      </c>
      <c r="AR1" s="4" t="s">
        <v>92</v>
      </c>
      <c r="AS1" s="4" t="s">
        <v>93</v>
      </c>
      <c r="AT1" s="4" t="s">
        <v>94</v>
      </c>
      <c r="AU1" s="4" t="s">
        <v>95</v>
      </c>
      <c r="AV1" s="4" t="s">
        <v>96</v>
      </c>
      <c r="AW1" s="4" t="s">
        <v>97</v>
      </c>
      <c r="AX1" s="4" t="s">
        <v>98</v>
      </c>
      <c r="AY1" s="4" t="s">
        <v>99</v>
      </c>
      <c r="AZ1" s="4" t="s">
        <v>100</v>
      </c>
      <c r="BA1" s="4" t="s">
        <v>101</v>
      </c>
      <c r="BB1" s="4" t="s">
        <v>102</v>
      </c>
    </row>
    <row r="2" spans="1:54" x14ac:dyDescent="0.25">
      <c r="A2" s="1">
        <v>3</v>
      </c>
      <c r="B2" s="1" t="s">
        <v>103</v>
      </c>
      <c r="C2" s="1" t="s">
        <v>104</v>
      </c>
      <c r="D2" s="5">
        <v>3070.8</v>
      </c>
      <c r="E2" s="5">
        <v>504451.1</v>
      </c>
      <c r="F2" s="5">
        <v>2651247.2000000002</v>
      </c>
      <c r="G2" s="5">
        <v>173.7</v>
      </c>
      <c r="H2" s="5">
        <v>29</v>
      </c>
      <c r="I2" s="5">
        <v>2.5</v>
      </c>
      <c r="J2" s="1">
        <v>5.7999999999999996E-3</v>
      </c>
      <c r="K2" s="1">
        <v>0.3</v>
      </c>
      <c r="L2" s="1">
        <f t="shared" ref="L2:L27" si="0">MAX(1,ROUNDUP(H2/O2,0))</f>
        <v>8</v>
      </c>
      <c r="M2" s="1">
        <v>0</v>
      </c>
      <c r="N2" s="1">
        <f t="shared" ref="N2:N27" si="1">L2+M2</f>
        <v>8</v>
      </c>
      <c r="O2" s="1">
        <f>'Rates and constants'!$D$17</f>
        <v>4</v>
      </c>
      <c r="P2" s="1">
        <v>2.5</v>
      </c>
      <c r="Q2" s="1" t="str">
        <f t="shared" ref="Q2:Q27" si="2">N2&amp;" x "&amp;TEXT(O2,"0")&amp;" x "&amp;TEXT(P2,"0.0")</f>
        <v>8 x 4 x 2.5</v>
      </c>
      <c r="R2" s="5">
        <f>N2*O2+(N2+1)*'Rates and constants'!$D$18</f>
        <v>34.25</v>
      </c>
      <c r="S2" s="5">
        <f>'Rates and constants'!$D$19</f>
        <v>45</v>
      </c>
      <c r="T2" s="5">
        <v>2.25</v>
      </c>
      <c r="U2" s="5">
        <f t="shared" ref="U2:U27" si="3">T2/P2</f>
        <v>0.9</v>
      </c>
      <c r="V2" s="1" t="s">
        <v>105</v>
      </c>
      <c r="W2" s="5">
        <v>1.75</v>
      </c>
      <c r="X2" s="1" t="s">
        <v>106</v>
      </c>
      <c r="Y2" s="6">
        <f>(N2*((O2+'Rates and constants'!$D$18)*(P2+0.6)-O2*P2)+0.8)*S2</f>
        <v>1179.0000000000002</v>
      </c>
      <c r="Z2" s="6">
        <f t="shared" ref="Z2:Z27" si="4">0.12*Y2</f>
        <v>141.48000000000002</v>
      </c>
      <c r="AA2" s="6">
        <f t="shared" ref="AA2:AA27" si="5">R2*S2*0.1*1.1</f>
        <v>169.53750000000002</v>
      </c>
      <c r="AB2" s="6">
        <f t="shared" ref="AB2:AB27" si="6">2*P2*S2+O2*S2</f>
        <v>405</v>
      </c>
      <c r="AC2" s="6">
        <f t="shared" ref="AC2:AC27" si="7">R2*S2*1.1</f>
        <v>1695.3750000000002</v>
      </c>
      <c r="AD2" s="6">
        <f t="shared" ref="AD2:AD27" si="8">AC2*0.1</f>
        <v>169.53750000000002</v>
      </c>
      <c r="AE2" s="6">
        <f t="shared" ref="AE2:AE27" si="9">AC2*0.05</f>
        <v>84.768750000000011</v>
      </c>
      <c r="AF2" s="6">
        <f t="shared" ref="AF2:AF27" si="10">AC2*0.05</f>
        <v>84.768750000000011</v>
      </c>
      <c r="AG2" s="6">
        <f t="shared" ref="AG2:AG27" si="11">AC2</f>
        <v>1695.3750000000002</v>
      </c>
      <c r="AH2" s="6">
        <f t="shared" ref="AH2:AH27" si="12">2*AC2</f>
        <v>3390.7500000000005</v>
      </c>
      <c r="AI2" s="6">
        <f t="shared" ref="AI2:AI27" si="13">R2*0.1*1.1</f>
        <v>3.7675000000000005</v>
      </c>
      <c r="AJ2" s="6">
        <f t="shared" ref="AJ2:AJ27" si="14">2*R2*1.1</f>
        <v>75.350000000000009</v>
      </c>
      <c r="AK2" s="6">
        <f t="shared" ref="AK2:AK27" si="15">ROUNDUP(2*R2*1.1/4,0)</f>
        <v>19</v>
      </c>
      <c r="AL2" s="6">
        <f t="shared" ref="AL2:AL27" si="16">(S2+3)*R2*1.1</f>
        <v>1808.4</v>
      </c>
      <c r="AM2" s="6">
        <f t="shared" ref="AM2:AM27" si="17">IF(X2="None",0,R2*S2*(P2+0.5)*1.1)</f>
        <v>0</v>
      </c>
      <c r="AN2" s="6">
        <f>Y2*'Rates and constants'!$D$2</f>
        <v>126035.10000000003</v>
      </c>
      <c r="AO2" s="6">
        <f>Z2*'Rates and constants'!$D$3</f>
        <v>59011.308000000012</v>
      </c>
      <c r="AP2" s="6">
        <f>AA2*'Rates and constants'!$D$4</f>
        <v>7629.1875000000009</v>
      </c>
      <c r="AQ2" s="6">
        <f>AB2*'Rates and constants'!$D$5</f>
        <v>810</v>
      </c>
      <c r="AR2" s="6">
        <f>AD2*'Rates and constants'!$D$6</f>
        <v>1101.9937500000001</v>
      </c>
      <c r="AS2" s="6">
        <f>AE2*'Rates and constants'!$D$7</f>
        <v>3814.5937500000005</v>
      </c>
      <c r="AT2" s="6">
        <f>AF2*'Rates and constants'!$D$8</f>
        <v>3984.1312500000004</v>
      </c>
      <c r="AU2" s="6">
        <f>AG2*'Rates and constants'!$D$9</f>
        <v>762.91875000000016</v>
      </c>
      <c r="AV2" s="6">
        <f>AH2*'Rates and constants'!$D$10</f>
        <v>1186.7625</v>
      </c>
      <c r="AW2" s="6">
        <f>AI2*'Rates and constants'!$D$11</f>
        <v>15.070000000000002</v>
      </c>
      <c r="AX2" s="6">
        <f>AJ2*'Rates and constants'!$D$12</f>
        <v>3993.5500000000006</v>
      </c>
      <c r="AY2" s="6">
        <f>AK2*'Rates and constants'!$D$13</f>
        <v>57</v>
      </c>
      <c r="AZ2" s="6">
        <f>AL2*'Rates and constants'!$D$14</f>
        <v>361.68000000000006</v>
      </c>
      <c r="BA2" s="6">
        <f>AM2*'Rates and constants'!$D$15</f>
        <v>0</v>
      </c>
      <c r="BB2" s="6">
        <f t="shared" ref="BB2:BB27" si="18">SUM(AN2:BA2)</f>
        <v>208763.29550000007</v>
      </c>
    </row>
    <row r="3" spans="1:54" x14ac:dyDescent="0.25">
      <c r="A3" s="1">
        <v>5</v>
      </c>
      <c r="B3" s="1" t="s">
        <v>107</v>
      </c>
      <c r="C3" s="1" t="s">
        <v>108</v>
      </c>
      <c r="D3" s="5">
        <v>3345.8</v>
      </c>
      <c r="E3" s="5">
        <v>502947.6</v>
      </c>
      <c r="F3" s="5">
        <v>2652539.1</v>
      </c>
      <c r="G3" s="5">
        <v>131.9</v>
      </c>
      <c r="H3" s="5">
        <v>30.5</v>
      </c>
      <c r="I3" s="5">
        <v>2.5</v>
      </c>
      <c r="J3" s="1">
        <v>2.3999999999999998E-3</v>
      </c>
      <c r="K3" s="1">
        <v>1.6</v>
      </c>
      <c r="L3" s="1">
        <f t="shared" si="0"/>
        <v>8</v>
      </c>
      <c r="M3" s="1">
        <v>0</v>
      </c>
      <c r="N3" s="1">
        <f t="shared" si="1"/>
        <v>8</v>
      </c>
      <c r="O3" s="1">
        <f>'Rates and constants'!$D$17</f>
        <v>4</v>
      </c>
      <c r="P3" s="1">
        <v>2.5</v>
      </c>
      <c r="Q3" s="1" t="str">
        <f t="shared" si="2"/>
        <v>8 x 4 x 2.5</v>
      </c>
      <c r="R3" s="5">
        <f>N3*O3+(N3+1)*'Rates and constants'!$D$18</f>
        <v>34.25</v>
      </c>
      <c r="S3" s="5">
        <f>'Rates and constants'!$D$19</f>
        <v>45</v>
      </c>
      <c r="T3" s="5">
        <v>1.87</v>
      </c>
      <c r="U3" s="5">
        <f t="shared" si="3"/>
        <v>0.748</v>
      </c>
      <c r="V3" s="1" t="s">
        <v>105</v>
      </c>
      <c r="W3" s="5">
        <v>1.87</v>
      </c>
      <c r="X3" s="1" t="s">
        <v>106</v>
      </c>
      <c r="Y3" s="6">
        <f>(N3*((O3+'Rates and constants'!$D$18)*(P3+0.6)-O3*P3)+0.8)*S3</f>
        <v>1179.0000000000002</v>
      </c>
      <c r="Z3" s="6">
        <f t="shared" si="4"/>
        <v>141.48000000000002</v>
      </c>
      <c r="AA3" s="6">
        <f t="shared" si="5"/>
        <v>169.53750000000002</v>
      </c>
      <c r="AB3" s="6">
        <f t="shared" si="6"/>
        <v>405</v>
      </c>
      <c r="AC3" s="6">
        <f t="shared" si="7"/>
        <v>1695.3750000000002</v>
      </c>
      <c r="AD3" s="6">
        <f t="shared" si="8"/>
        <v>169.53750000000002</v>
      </c>
      <c r="AE3" s="6">
        <f t="shared" si="9"/>
        <v>84.768750000000011</v>
      </c>
      <c r="AF3" s="6">
        <f t="shared" si="10"/>
        <v>84.768750000000011</v>
      </c>
      <c r="AG3" s="6">
        <f t="shared" si="11"/>
        <v>1695.3750000000002</v>
      </c>
      <c r="AH3" s="6">
        <f t="shared" si="12"/>
        <v>3390.7500000000005</v>
      </c>
      <c r="AI3" s="6">
        <f t="shared" si="13"/>
        <v>3.7675000000000005</v>
      </c>
      <c r="AJ3" s="6">
        <f t="shared" si="14"/>
        <v>75.350000000000009</v>
      </c>
      <c r="AK3" s="6">
        <f t="shared" si="15"/>
        <v>19</v>
      </c>
      <c r="AL3" s="6">
        <f t="shared" si="16"/>
        <v>1808.4</v>
      </c>
      <c r="AM3" s="6">
        <f t="shared" si="17"/>
        <v>0</v>
      </c>
      <c r="AN3" s="6">
        <f>Y3*'Rates and constants'!$D$2</f>
        <v>126035.10000000003</v>
      </c>
      <c r="AO3" s="6">
        <f>Z3*'Rates and constants'!$D$3</f>
        <v>59011.308000000012</v>
      </c>
      <c r="AP3" s="6">
        <f>AA3*'Rates and constants'!$D$4</f>
        <v>7629.1875000000009</v>
      </c>
      <c r="AQ3" s="6">
        <f>AB3*'Rates and constants'!$D$5</f>
        <v>810</v>
      </c>
      <c r="AR3" s="6">
        <f>AD3*'Rates and constants'!$D$6</f>
        <v>1101.9937500000001</v>
      </c>
      <c r="AS3" s="6">
        <f>AE3*'Rates and constants'!$D$7</f>
        <v>3814.5937500000005</v>
      </c>
      <c r="AT3" s="6">
        <f>AF3*'Rates and constants'!$D$8</f>
        <v>3984.1312500000004</v>
      </c>
      <c r="AU3" s="6">
        <f>AG3*'Rates and constants'!$D$9</f>
        <v>762.91875000000016</v>
      </c>
      <c r="AV3" s="6">
        <f>AH3*'Rates and constants'!$D$10</f>
        <v>1186.7625</v>
      </c>
      <c r="AW3" s="6">
        <f>AI3*'Rates and constants'!$D$11</f>
        <v>15.070000000000002</v>
      </c>
      <c r="AX3" s="6">
        <f>AJ3*'Rates and constants'!$D$12</f>
        <v>3993.5500000000006</v>
      </c>
      <c r="AY3" s="6">
        <f>AK3*'Rates and constants'!$D$13</f>
        <v>57</v>
      </c>
      <c r="AZ3" s="6">
        <f>AL3*'Rates and constants'!$D$14</f>
        <v>361.68000000000006</v>
      </c>
      <c r="BA3" s="6">
        <f>AM3*'Rates and constants'!$D$15</f>
        <v>0</v>
      </c>
      <c r="BB3" s="6">
        <f t="shared" si="18"/>
        <v>208763.29550000007</v>
      </c>
    </row>
    <row r="4" spans="1:54" x14ac:dyDescent="0.25">
      <c r="A4" s="1">
        <v>7</v>
      </c>
      <c r="B4" s="1" t="s">
        <v>109</v>
      </c>
      <c r="C4" s="1" t="s">
        <v>110</v>
      </c>
      <c r="D4" s="5">
        <v>3023.4</v>
      </c>
      <c r="E4" s="5">
        <v>505491.7</v>
      </c>
      <c r="F4" s="5">
        <v>2650353.1</v>
      </c>
      <c r="G4" s="5">
        <v>114.8</v>
      </c>
      <c r="H4" s="5">
        <v>20.5</v>
      </c>
      <c r="I4" s="5">
        <v>2.5</v>
      </c>
      <c r="J4" s="1">
        <v>4.4999999999999997E-3</v>
      </c>
      <c r="K4" s="1">
        <v>13.8</v>
      </c>
      <c r="L4" s="1">
        <f t="shared" si="0"/>
        <v>6</v>
      </c>
      <c r="M4" s="1">
        <v>0</v>
      </c>
      <c r="N4" s="1">
        <f t="shared" si="1"/>
        <v>6</v>
      </c>
      <c r="O4" s="1">
        <f>'Rates and constants'!$D$17</f>
        <v>4</v>
      </c>
      <c r="P4" s="1">
        <v>2.5</v>
      </c>
      <c r="Q4" s="1" t="str">
        <f t="shared" si="2"/>
        <v>6 x 4 x 2.5</v>
      </c>
      <c r="R4" s="5">
        <f>N4*O4+(N4+1)*'Rates and constants'!$D$18</f>
        <v>25.75</v>
      </c>
      <c r="S4" s="5">
        <f>'Rates and constants'!$D$19</f>
        <v>45</v>
      </c>
      <c r="T4" s="5">
        <v>2.06</v>
      </c>
      <c r="U4" s="5">
        <f t="shared" si="3"/>
        <v>0.82400000000000007</v>
      </c>
      <c r="V4" s="1" t="s">
        <v>105</v>
      </c>
      <c r="W4" s="5">
        <v>1.85</v>
      </c>
      <c r="X4" s="1" t="s">
        <v>106</v>
      </c>
      <c r="Y4" s="6">
        <f>(N4*((O4+'Rates and constants'!$D$18)*(P4+0.6)-O4*P4)+0.8)*S4</f>
        <v>893.25000000000023</v>
      </c>
      <c r="Z4" s="6">
        <f t="shared" si="4"/>
        <v>107.19000000000003</v>
      </c>
      <c r="AA4" s="6">
        <f t="shared" si="5"/>
        <v>127.46250000000001</v>
      </c>
      <c r="AB4" s="6">
        <f t="shared" si="6"/>
        <v>405</v>
      </c>
      <c r="AC4" s="6">
        <f t="shared" si="7"/>
        <v>1274.625</v>
      </c>
      <c r="AD4" s="6">
        <f t="shared" si="8"/>
        <v>127.46250000000001</v>
      </c>
      <c r="AE4" s="6">
        <f t="shared" si="9"/>
        <v>63.731250000000003</v>
      </c>
      <c r="AF4" s="6">
        <f t="shared" si="10"/>
        <v>63.731250000000003</v>
      </c>
      <c r="AG4" s="6">
        <f t="shared" si="11"/>
        <v>1274.625</v>
      </c>
      <c r="AH4" s="6">
        <f t="shared" si="12"/>
        <v>2549.25</v>
      </c>
      <c r="AI4" s="6">
        <f t="shared" si="13"/>
        <v>2.8325000000000005</v>
      </c>
      <c r="AJ4" s="6">
        <f t="shared" si="14"/>
        <v>56.650000000000006</v>
      </c>
      <c r="AK4" s="6">
        <f t="shared" si="15"/>
        <v>15</v>
      </c>
      <c r="AL4" s="6">
        <f t="shared" si="16"/>
        <v>1359.6000000000001</v>
      </c>
      <c r="AM4" s="6">
        <f t="shared" si="17"/>
        <v>0</v>
      </c>
      <c r="AN4" s="6">
        <f>Y4*'Rates and constants'!$D$2</f>
        <v>95488.425000000032</v>
      </c>
      <c r="AO4" s="6">
        <f>Z4*'Rates and constants'!$D$3</f>
        <v>44708.949000000015</v>
      </c>
      <c r="AP4" s="6">
        <f>AA4*'Rates and constants'!$D$4</f>
        <v>5735.8125</v>
      </c>
      <c r="AQ4" s="6">
        <f>AB4*'Rates and constants'!$D$5</f>
        <v>810</v>
      </c>
      <c r="AR4" s="6">
        <f>AD4*'Rates and constants'!$D$6</f>
        <v>828.50625000000002</v>
      </c>
      <c r="AS4" s="6">
        <f>AE4*'Rates and constants'!$D$7</f>
        <v>2867.90625</v>
      </c>
      <c r="AT4" s="6">
        <f>AF4*'Rates and constants'!$D$8</f>
        <v>2995.3687500000001</v>
      </c>
      <c r="AU4" s="6">
        <f>AG4*'Rates and constants'!$D$9</f>
        <v>573.58125000000007</v>
      </c>
      <c r="AV4" s="6">
        <f>AH4*'Rates and constants'!$D$10</f>
        <v>892.23749999999995</v>
      </c>
      <c r="AW4" s="6">
        <f>AI4*'Rates and constants'!$D$11</f>
        <v>11.330000000000002</v>
      </c>
      <c r="AX4" s="6">
        <f>AJ4*'Rates and constants'!$D$12</f>
        <v>3002.4500000000003</v>
      </c>
      <c r="AY4" s="6">
        <f>AK4*'Rates and constants'!$D$13</f>
        <v>45</v>
      </c>
      <c r="AZ4" s="6">
        <f>AL4*'Rates and constants'!$D$14</f>
        <v>271.92</v>
      </c>
      <c r="BA4" s="6">
        <f>AM4*'Rates and constants'!$D$15</f>
        <v>0</v>
      </c>
      <c r="BB4" s="6">
        <f t="shared" si="18"/>
        <v>158231.48650000003</v>
      </c>
    </row>
    <row r="5" spans="1:54" x14ac:dyDescent="0.25">
      <c r="A5" s="1">
        <v>10</v>
      </c>
      <c r="B5" s="1" t="s">
        <v>111</v>
      </c>
      <c r="C5" s="1" t="s">
        <v>112</v>
      </c>
      <c r="D5" s="5">
        <v>1169.2</v>
      </c>
      <c r="E5" s="5">
        <v>506068.7</v>
      </c>
      <c r="F5" s="5">
        <v>2649857.2999999998</v>
      </c>
      <c r="G5" s="5">
        <v>65.900000000000006</v>
      </c>
      <c r="H5" s="5">
        <v>12.5</v>
      </c>
      <c r="I5" s="5">
        <v>2.5</v>
      </c>
      <c r="J5" s="1">
        <v>4.4999999999999997E-3</v>
      </c>
      <c r="K5" s="1">
        <v>2.1</v>
      </c>
      <c r="L5" s="1">
        <f t="shared" si="0"/>
        <v>4</v>
      </c>
      <c r="M5" s="1">
        <v>0</v>
      </c>
      <c r="N5" s="1">
        <f t="shared" si="1"/>
        <v>4</v>
      </c>
      <c r="O5" s="1">
        <f>'Rates and constants'!$D$17</f>
        <v>4</v>
      </c>
      <c r="P5" s="1">
        <v>2.5</v>
      </c>
      <c r="Q5" s="1" t="str">
        <f t="shared" si="2"/>
        <v>4 x 4 x 2.5</v>
      </c>
      <c r="R5" s="5">
        <f>N5*O5+(N5+1)*'Rates and constants'!$D$18</f>
        <v>17.25</v>
      </c>
      <c r="S5" s="5">
        <f>'Rates and constants'!$D$19</f>
        <v>45</v>
      </c>
      <c r="T5" s="5">
        <v>1.86</v>
      </c>
      <c r="U5" s="5">
        <f t="shared" si="3"/>
        <v>0.74399999999999999</v>
      </c>
      <c r="V5" s="1" t="s">
        <v>105</v>
      </c>
      <c r="W5" s="5">
        <v>1.86</v>
      </c>
      <c r="X5" s="1" t="s">
        <v>106</v>
      </c>
      <c r="Y5" s="6">
        <f>(N5*((O5+'Rates and constants'!$D$18)*(P5+0.6)-O5*P5)+0.8)*S5</f>
        <v>607.50000000000011</v>
      </c>
      <c r="Z5" s="6">
        <f t="shared" si="4"/>
        <v>72.900000000000006</v>
      </c>
      <c r="AA5" s="6">
        <f t="shared" si="5"/>
        <v>85.387500000000003</v>
      </c>
      <c r="AB5" s="6">
        <f t="shared" si="6"/>
        <v>405</v>
      </c>
      <c r="AC5" s="6">
        <f t="shared" si="7"/>
        <v>853.87500000000011</v>
      </c>
      <c r="AD5" s="6">
        <f t="shared" si="8"/>
        <v>85.387500000000017</v>
      </c>
      <c r="AE5" s="6">
        <f t="shared" si="9"/>
        <v>42.693750000000009</v>
      </c>
      <c r="AF5" s="6">
        <f t="shared" si="10"/>
        <v>42.693750000000009</v>
      </c>
      <c r="AG5" s="6">
        <f t="shared" si="11"/>
        <v>853.87500000000011</v>
      </c>
      <c r="AH5" s="6">
        <f t="shared" si="12"/>
        <v>1707.7500000000002</v>
      </c>
      <c r="AI5" s="6">
        <f t="shared" si="13"/>
        <v>1.8975000000000002</v>
      </c>
      <c r="AJ5" s="6">
        <f t="shared" si="14"/>
        <v>37.950000000000003</v>
      </c>
      <c r="AK5" s="6">
        <f t="shared" si="15"/>
        <v>10</v>
      </c>
      <c r="AL5" s="6">
        <f t="shared" si="16"/>
        <v>910.80000000000007</v>
      </c>
      <c r="AM5" s="6">
        <f t="shared" si="17"/>
        <v>0</v>
      </c>
      <c r="AN5" s="6">
        <f>Y5*'Rates and constants'!$D$2</f>
        <v>64941.750000000015</v>
      </c>
      <c r="AO5" s="6">
        <f>Z5*'Rates and constants'!$D$3</f>
        <v>30406.590000000004</v>
      </c>
      <c r="AP5" s="6">
        <f>AA5*'Rates and constants'!$D$4</f>
        <v>3842.4375</v>
      </c>
      <c r="AQ5" s="6">
        <f>AB5*'Rates and constants'!$D$5</f>
        <v>810</v>
      </c>
      <c r="AR5" s="6">
        <f>AD5*'Rates and constants'!$D$6</f>
        <v>555.01875000000007</v>
      </c>
      <c r="AS5" s="6">
        <f>AE5*'Rates and constants'!$D$7</f>
        <v>1921.2187500000005</v>
      </c>
      <c r="AT5" s="6">
        <f>AF5*'Rates and constants'!$D$8</f>
        <v>2006.6062500000005</v>
      </c>
      <c r="AU5" s="6">
        <f>AG5*'Rates and constants'!$D$9</f>
        <v>384.24375000000003</v>
      </c>
      <c r="AV5" s="6">
        <f>AH5*'Rates and constants'!$D$10</f>
        <v>597.71250000000009</v>
      </c>
      <c r="AW5" s="6">
        <f>AI5*'Rates and constants'!$D$11</f>
        <v>7.5900000000000007</v>
      </c>
      <c r="AX5" s="6">
        <f>AJ5*'Rates and constants'!$D$12</f>
        <v>2011.3500000000001</v>
      </c>
      <c r="AY5" s="6">
        <f>AK5*'Rates and constants'!$D$13</f>
        <v>30</v>
      </c>
      <c r="AZ5" s="6">
        <f>AL5*'Rates and constants'!$D$14</f>
        <v>182.16000000000003</v>
      </c>
      <c r="BA5" s="6">
        <f>AM5*'Rates and constants'!$D$15</f>
        <v>0</v>
      </c>
      <c r="BB5" s="6">
        <f t="shared" si="18"/>
        <v>107696.67750000002</v>
      </c>
    </row>
    <row r="6" spans="1:54" x14ac:dyDescent="0.25">
      <c r="A6" s="1">
        <v>13</v>
      </c>
      <c r="B6" s="1" t="s">
        <v>113</v>
      </c>
      <c r="C6" s="1" t="s">
        <v>114</v>
      </c>
      <c r="D6" s="5">
        <v>2964</v>
      </c>
      <c r="E6" s="5">
        <v>499561.9</v>
      </c>
      <c r="F6" s="5">
        <v>2655465.2000000002</v>
      </c>
      <c r="G6" s="5">
        <v>916.7</v>
      </c>
      <c r="H6" s="5">
        <v>179.5</v>
      </c>
      <c r="I6" s="5">
        <v>2.5</v>
      </c>
      <c r="J6" s="1">
        <v>3.0000000000000001E-3</v>
      </c>
      <c r="K6" s="1">
        <v>2.8</v>
      </c>
      <c r="L6" s="1">
        <f t="shared" si="0"/>
        <v>45</v>
      </c>
      <c r="M6" s="1">
        <v>0</v>
      </c>
      <c r="N6" s="1">
        <f t="shared" si="1"/>
        <v>45</v>
      </c>
      <c r="O6" s="1">
        <f>'Rates and constants'!$D$17</f>
        <v>4</v>
      </c>
      <c r="P6" s="1">
        <v>2.5</v>
      </c>
      <c r="Q6" s="1" t="str">
        <f t="shared" si="2"/>
        <v>45 x 4 x 2.5</v>
      </c>
      <c r="R6" s="5">
        <f>N6*O6+(N6+1)*'Rates and constants'!$D$18</f>
        <v>191.5</v>
      </c>
      <c r="S6" s="5">
        <f>'Rates and constants'!$D$19</f>
        <v>45</v>
      </c>
      <c r="T6" s="5">
        <v>2.15</v>
      </c>
      <c r="U6" s="5">
        <f t="shared" si="3"/>
        <v>0.86</v>
      </c>
      <c r="V6" s="1" t="s">
        <v>105</v>
      </c>
      <c r="W6" s="5">
        <v>1.87</v>
      </c>
      <c r="X6" s="1" t="s">
        <v>106</v>
      </c>
      <c r="Y6" s="6">
        <f>(N6*((O6+'Rates and constants'!$D$18)*(P6+0.6)-O6*P6)+0.8)*S6</f>
        <v>6465.3750000000018</v>
      </c>
      <c r="Z6" s="6">
        <f t="shared" si="4"/>
        <v>775.84500000000014</v>
      </c>
      <c r="AA6" s="6">
        <f t="shared" si="5"/>
        <v>947.92500000000007</v>
      </c>
      <c r="AB6" s="6">
        <f t="shared" si="6"/>
        <v>405</v>
      </c>
      <c r="AC6" s="6">
        <f t="shared" si="7"/>
        <v>9479.25</v>
      </c>
      <c r="AD6" s="6">
        <f t="shared" si="8"/>
        <v>947.92500000000007</v>
      </c>
      <c r="AE6" s="6">
        <f t="shared" si="9"/>
        <v>473.96250000000003</v>
      </c>
      <c r="AF6" s="6">
        <f t="shared" si="10"/>
        <v>473.96250000000003</v>
      </c>
      <c r="AG6" s="6">
        <f t="shared" si="11"/>
        <v>9479.25</v>
      </c>
      <c r="AH6" s="6">
        <f t="shared" si="12"/>
        <v>18958.5</v>
      </c>
      <c r="AI6" s="6">
        <f t="shared" si="13"/>
        <v>21.065000000000005</v>
      </c>
      <c r="AJ6" s="6">
        <f t="shared" si="14"/>
        <v>421.3</v>
      </c>
      <c r="AK6" s="6">
        <f t="shared" si="15"/>
        <v>106</v>
      </c>
      <c r="AL6" s="6">
        <f t="shared" si="16"/>
        <v>10111.200000000001</v>
      </c>
      <c r="AM6" s="6">
        <f t="shared" si="17"/>
        <v>0</v>
      </c>
      <c r="AN6" s="6">
        <f>Y6*'Rates and constants'!$D$2</f>
        <v>691148.58750000026</v>
      </c>
      <c r="AO6" s="6">
        <f>Z6*'Rates and constants'!$D$3</f>
        <v>323604.9495000001</v>
      </c>
      <c r="AP6" s="6">
        <f>AA6*'Rates and constants'!$D$4</f>
        <v>42656.625</v>
      </c>
      <c r="AQ6" s="6">
        <f>AB6*'Rates and constants'!$D$5</f>
        <v>810</v>
      </c>
      <c r="AR6" s="6">
        <f>AD6*'Rates and constants'!$D$6</f>
        <v>6161.5125000000007</v>
      </c>
      <c r="AS6" s="6">
        <f>AE6*'Rates and constants'!$D$7</f>
        <v>21328.3125</v>
      </c>
      <c r="AT6" s="6">
        <f>AF6*'Rates and constants'!$D$8</f>
        <v>22276.237500000003</v>
      </c>
      <c r="AU6" s="6">
        <f>AG6*'Rates and constants'!$D$9</f>
        <v>4265.6625000000004</v>
      </c>
      <c r="AV6" s="6">
        <f>AH6*'Rates and constants'!$D$10</f>
        <v>6635.4749999999995</v>
      </c>
      <c r="AW6" s="6">
        <f>AI6*'Rates and constants'!$D$11</f>
        <v>84.260000000000019</v>
      </c>
      <c r="AX6" s="6">
        <f>AJ6*'Rates and constants'!$D$12</f>
        <v>22328.9</v>
      </c>
      <c r="AY6" s="6">
        <f>AK6*'Rates and constants'!$D$13</f>
        <v>318</v>
      </c>
      <c r="AZ6" s="6">
        <f>AL6*'Rates and constants'!$D$14</f>
        <v>2022.2400000000002</v>
      </c>
      <c r="BA6" s="6">
        <f>AM6*'Rates and constants'!$D$15</f>
        <v>0</v>
      </c>
      <c r="BB6" s="6">
        <f t="shared" si="18"/>
        <v>1143640.7620000006</v>
      </c>
    </row>
    <row r="7" spans="1:54" x14ac:dyDescent="0.25">
      <c r="A7" s="1">
        <v>14</v>
      </c>
      <c r="B7" s="1" t="s">
        <v>115</v>
      </c>
      <c r="C7" s="1" t="s">
        <v>116</v>
      </c>
      <c r="D7" s="5">
        <v>8933.1</v>
      </c>
      <c r="E7" s="5">
        <v>487271.9</v>
      </c>
      <c r="F7" s="5">
        <v>2665878.2999999998</v>
      </c>
      <c r="G7" s="5">
        <v>637.1</v>
      </c>
      <c r="H7" s="5">
        <v>100</v>
      </c>
      <c r="I7" s="5">
        <v>2.5</v>
      </c>
      <c r="J7" s="1">
        <v>4.7000000000000002E-3</v>
      </c>
      <c r="K7" s="1">
        <v>14.8</v>
      </c>
      <c r="L7" s="1">
        <f t="shared" si="0"/>
        <v>25</v>
      </c>
      <c r="M7" s="1">
        <v>0</v>
      </c>
      <c r="N7" s="1">
        <f t="shared" si="1"/>
        <v>25</v>
      </c>
      <c r="O7" s="1">
        <f>'Rates and constants'!$D$17</f>
        <v>4</v>
      </c>
      <c r="P7" s="1">
        <v>2.5</v>
      </c>
      <c r="Q7" s="1" t="str">
        <f t="shared" si="2"/>
        <v>25 x 4 x 2.5</v>
      </c>
      <c r="R7" s="5">
        <f>N7*O7+(N7+1)*'Rates and constants'!$D$18</f>
        <v>106.5</v>
      </c>
      <c r="S7" s="5">
        <f>'Rates and constants'!$D$19</f>
        <v>45</v>
      </c>
      <c r="T7" s="5">
        <v>2.5099999999999998</v>
      </c>
      <c r="U7" s="5">
        <f t="shared" si="3"/>
        <v>1.004</v>
      </c>
      <c r="V7" s="1" t="s">
        <v>105</v>
      </c>
      <c r="W7" s="5">
        <v>1.87</v>
      </c>
      <c r="X7" s="1" t="s">
        <v>106</v>
      </c>
      <c r="Y7" s="6">
        <f>(N7*((O7+'Rates and constants'!$D$18)*(P7+0.6)-O7*P7)+0.8)*S7</f>
        <v>3607.8750000000005</v>
      </c>
      <c r="Z7" s="6">
        <f t="shared" si="4"/>
        <v>432.94500000000005</v>
      </c>
      <c r="AA7" s="6">
        <f t="shared" si="5"/>
        <v>527.17500000000007</v>
      </c>
      <c r="AB7" s="6">
        <f t="shared" si="6"/>
        <v>405</v>
      </c>
      <c r="AC7" s="6">
        <f t="shared" si="7"/>
        <v>5271.75</v>
      </c>
      <c r="AD7" s="6">
        <f t="shared" si="8"/>
        <v>527.17500000000007</v>
      </c>
      <c r="AE7" s="6">
        <f t="shared" si="9"/>
        <v>263.58750000000003</v>
      </c>
      <c r="AF7" s="6">
        <f t="shared" si="10"/>
        <v>263.58750000000003</v>
      </c>
      <c r="AG7" s="6">
        <f t="shared" si="11"/>
        <v>5271.75</v>
      </c>
      <c r="AH7" s="6">
        <f t="shared" si="12"/>
        <v>10543.5</v>
      </c>
      <c r="AI7" s="6">
        <f t="shared" si="13"/>
        <v>11.715000000000002</v>
      </c>
      <c r="AJ7" s="6">
        <f t="shared" si="14"/>
        <v>234.3</v>
      </c>
      <c r="AK7" s="6">
        <f t="shared" si="15"/>
        <v>59</v>
      </c>
      <c r="AL7" s="6">
        <f t="shared" si="16"/>
        <v>5623.2000000000007</v>
      </c>
      <c r="AM7" s="6">
        <f t="shared" si="17"/>
        <v>0</v>
      </c>
      <c r="AN7" s="6">
        <f>Y7*'Rates and constants'!$D$2</f>
        <v>385681.83750000008</v>
      </c>
      <c r="AO7" s="6">
        <f>Z7*'Rates and constants'!$D$3</f>
        <v>180581.35950000002</v>
      </c>
      <c r="AP7" s="6">
        <f>AA7*'Rates and constants'!$D$4</f>
        <v>23722.875000000004</v>
      </c>
      <c r="AQ7" s="6">
        <f>AB7*'Rates and constants'!$D$5</f>
        <v>810</v>
      </c>
      <c r="AR7" s="6">
        <f>AD7*'Rates and constants'!$D$6</f>
        <v>3426.6375000000003</v>
      </c>
      <c r="AS7" s="6">
        <f>AE7*'Rates and constants'!$D$7</f>
        <v>11861.437500000002</v>
      </c>
      <c r="AT7" s="6">
        <f>AF7*'Rates and constants'!$D$8</f>
        <v>12388.612500000001</v>
      </c>
      <c r="AU7" s="6">
        <f>AG7*'Rates and constants'!$D$9</f>
        <v>2372.2874999999999</v>
      </c>
      <c r="AV7" s="6">
        <f>AH7*'Rates and constants'!$D$10</f>
        <v>3690.2249999999999</v>
      </c>
      <c r="AW7" s="6">
        <f>AI7*'Rates and constants'!$D$11</f>
        <v>46.860000000000007</v>
      </c>
      <c r="AX7" s="6">
        <f>AJ7*'Rates and constants'!$D$12</f>
        <v>12417.900000000001</v>
      </c>
      <c r="AY7" s="6">
        <f>AK7*'Rates and constants'!$D$13</f>
        <v>177</v>
      </c>
      <c r="AZ7" s="6">
        <f>AL7*'Rates and constants'!$D$14</f>
        <v>1124.6400000000001</v>
      </c>
      <c r="BA7" s="6">
        <f>AM7*'Rates and constants'!$D$15</f>
        <v>0</v>
      </c>
      <c r="BB7" s="6">
        <f t="shared" si="18"/>
        <v>638301.67200000014</v>
      </c>
    </row>
    <row r="8" spans="1:54" x14ac:dyDescent="0.25">
      <c r="A8" s="1">
        <v>17</v>
      </c>
      <c r="B8" s="1" t="s">
        <v>117</v>
      </c>
      <c r="C8" s="1" t="s">
        <v>118</v>
      </c>
      <c r="D8" s="5">
        <v>8414.1</v>
      </c>
      <c r="E8" s="5">
        <v>494006.2</v>
      </c>
      <c r="F8" s="5">
        <v>2660034.1</v>
      </c>
      <c r="G8" s="5">
        <v>327.39999999999998</v>
      </c>
      <c r="H8" s="5">
        <v>65</v>
      </c>
      <c r="I8" s="5">
        <v>2.5</v>
      </c>
      <c r="J8" s="1">
        <v>3.0999999999999999E-3</v>
      </c>
      <c r="K8" s="1">
        <v>37</v>
      </c>
      <c r="L8" s="1">
        <f t="shared" si="0"/>
        <v>17</v>
      </c>
      <c r="M8" s="1">
        <v>0</v>
      </c>
      <c r="N8" s="1">
        <f t="shared" si="1"/>
        <v>17</v>
      </c>
      <c r="O8" s="1">
        <f>'Rates and constants'!$D$17</f>
        <v>4</v>
      </c>
      <c r="P8" s="1">
        <v>2.5</v>
      </c>
      <c r="Q8" s="1" t="str">
        <f t="shared" si="2"/>
        <v>17 x 4 x 2.5</v>
      </c>
      <c r="R8" s="5">
        <f>N8*O8+(N8+1)*'Rates and constants'!$D$18</f>
        <v>72.5</v>
      </c>
      <c r="S8" s="5">
        <f>'Rates and constants'!$D$19</f>
        <v>45</v>
      </c>
      <c r="T8" s="5">
        <v>2.0699999999999998</v>
      </c>
      <c r="U8" s="5">
        <f t="shared" si="3"/>
        <v>0.82799999999999996</v>
      </c>
      <c r="V8" s="1" t="s">
        <v>105</v>
      </c>
      <c r="W8" s="5">
        <v>1.87</v>
      </c>
      <c r="X8" s="1" t="s">
        <v>119</v>
      </c>
      <c r="Y8" s="6">
        <f>(N8*((O8+'Rates and constants'!$D$18)*(P8+0.6)-O8*P8)+0.8)*S8</f>
        <v>2464.8750000000005</v>
      </c>
      <c r="Z8" s="6">
        <f t="shared" si="4"/>
        <v>295.78500000000003</v>
      </c>
      <c r="AA8" s="6">
        <f t="shared" si="5"/>
        <v>358.87500000000006</v>
      </c>
      <c r="AB8" s="6">
        <f t="shared" si="6"/>
        <v>405</v>
      </c>
      <c r="AC8" s="6">
        <f t="shared" si="7"/>
        <v>3588.7500000000005</v>
      </c>
      <c r="AD8" s="6">
        <f t="shared" si="8"/>
        <v>358.87500000000006</v>
      </c>
      <c r="AE8" s="6">
        <f t="shared" si="9"/>
        <v>179.43750000000003</v>
      </c>
      <c r="AF8" s="6">
        <f t="shared" si="10"/>
        <v>179.43750000000003</v>
      </c>
      <c r="AG8" s="6">
        <f t="shared" si="11"/>
        <v>3588.7500000000005</v>
      </c>
      <c r="AH8" s="6">
        <f t="shared" si="12"/>
        <v>7177.5000000000009</v>
      </c>
      <c r="AI8" s="6">
        <f t="shared" si="13"/>
        <v>7.9750000000000005</v>
      </c>
      <c r="AJ8" s="6">
        <f t="shared" si="14"/>
        <v>159.5</v>
      </c>
      <c r="AK8" s="6">
        <f t="shared" si="15"/>
        <v>40</v>
      </c>
      <c r="AL8" s="6">
        <f t="shared" si="16"/>
        <v>3828.0000000000005</v>
      </c>
      <c r="AM8" s="6">
        <f t="shared" si="17"/>
        <v>10766.25</v>
      </c>
      <c r="AN8" s="6">
        <f>Y8*'Rates and constants'!$D$2</f>
        <v>263495.13750000007</v>
      </c>
      <c r="AO8" s="6">
        <f>Z8*'Rates and constants'!$D$3</f>
        <v>123371.92350000002</v>
      </c>
      <c r="AP8" s="6">
        <f>AA8*'Rates and constants'!$D$4</f>
        <v>16149.375000000002</v>
      </c>
      <c r="AQ8" s="6">
        <f>AB8*'Rates and constants'!$D$5</f>
        <v>810</v>
      </c>
      <c r="AR8" s="6">
        <f>AD8*'Rates and constants'!$D$6</f>
        <v>2332.6875000000005</v>
      </c>
      <c r="AS8" s="6">
        <f>AE8*'Rates and constants'!$D$7</f>
        <v>8074.6875000000009</v>
      </c>
      <c r="AT8" s="6">
        <f>AF8*'Rates and constants'!$D$8</f>
        <v>8433.5625000000018</v>
      </c>
      <c r="AU8" s="6">
        <f>AG8*'Rates and constants'!$D$9</f>
        <v>1614.9375000000002</v>
      </c>
      <c r="AV8" s="6">
        <f>AH8*'Rates and constants'!$D$10</f>
        <v>2512.125</v>
      </c>
      <c r="AW8" s="6">
        <f>AI8*'Rates and constants'!$D$11</f>
        <v>31.900000000000002</v>
      </c>
      <c r="AX8" s="6">
        <f>AJ8*'Rates and constants'!$D$12</f>
        <v>8453.5</v>
      </c>
      <c r="AY8" s="6">
        <f>AK8*'Rates and constants'!$D$13</f>
        <v>120</v>
      </c>
      <c r="AZ8" s="6">
        <f>AL8*'Rates and constants'!$D$14</f>
        <v>765.60000000000014</v>
      </c>
      <c r="BA8" s="6">
        <f>AM8*'Rates and constants'!$D$15</f>
        <v>43065</v>
      </c>
      <c r="BB8" s="6">
        <f t="shared" si="18"/>
        <v>479230.4360000001</v>
      </c>
    </row>
    <row r="9" spans="1:54" x14ac:dyDescent="0.25">
      <c r="A9" s="1">
        <v>20</v>
      </c>
      <c r="B9" s="1" t="s">
        <v>120</v>
      </c>
      <c r="C9" s="1" t="s">
        <v>121</v>
      </c>
      <c r="D9" s="5">
        <v>2783.8</v>
      </c>
      <c r="E9" s="5">
        <v>491169</v>
      </c>
      <c r="F9" s="5">
        <v>2662494.2999999998</v>
      </c>
      <c r="G9" s="5">
        <v>554.4</v>
      </c>
      <c r="H9" s="5">
        <v>116</v>
      </c>
      <c r="I9" s="5">
        <v>2.5</v>
      </c>
      <c r="J9" s="1">
        <v>2.5999999999999999E-3</v>
      </c>
      <c r="K9" s="1">
        <v>16.100000000000001</v>
      </c>
      <c r="L9" s="1">
        <f t="shared" si="0"/>
        <v>29</v>
      </c>
      <c r="M9" s="1">
        <v>0</v>
      </c>
      <c r="N9" s="1">
        <f t="shared" si="1"/>
        <v>29</v>
      </c>
      <c r="O9" s="1">
        <f>'Rates and constants'!$D$17</f>
        <v>4</v>
      </c>
      <c r="P9" s="1">
        <v>2.5</v>
      </c>
      <c r="Q9" s="1" t="str">
        <f t="shared" si="2"/>
        <v>29 x 4 x 2.5</v>
      </c>
      <c r="R9" s="5">
        <f>N9*O9+(N9+1)*'Rates and constants'!$D$18</f>
        <v>123.5</v>
      </c>
      <c r="S9" s="5">
        <f>'Rates and constants'!$D$19</f>
        <v>45</v>
      </c>
      <c r="T9" s="5">
        <v>2.06</v>
      </c>
      <c r="U9" s="5">
        <f t="shared" si="3"/>
        <v>0.82400000000000007</v>
      </c>
      <c r="V9" s="1" t="s">
        <v>105</v>
      </c>
      <c r="W9" s="5">
        <v>1.87</v>
      </c>
      <c r="X9" s="1" t="s">
        <v>106</v>
      </c>
      <c r="Y9" s="6">
        <f>(N9*((O9+'Rates and constants'!$D$18)*(P9+0.6)-O9*P9)+0.8)*S9</f>
        <v>4179.3750000000009</v>
      </c>
      <c r="Z9" s="6">
        <f t="shared" si="4"/>
        <v>501.52500000000009</v>
      </c>
      <c r="AA9" s="6">
        <f t="shared" si="5"/>
        <v>611.32500000000005</v>
      </c>
      <c r="AB9" s="6">
        <f t="shared" si="6"/>
        <v>405</v>
      </c>
      <c r="AC9" s="6">
        <f t="shared" si="7"/>
        <v>6113.2500000000009</v>
      </c>
      <c r="AD9" s="6">
        <f t="shared" si="8"/>
        <v>611.32500000000016</v>
      </c>
      <c r="AE9" s="6">
        <f t="shared" si="9"/>
        <v>305.66250000000008</v>
      </c>
      <c r="AF9" s="6">
        <f t="shared" si="10"/>
        <v>305.66250000000008</v>
      </c>
      <c r="AG9" s="6">
        <f t="shared" si="11"/>
        <v>6113.2500000000009</v>
      </c>
      <c r="AH9" s="6">
        <f t="shared" si="12"/>
        <v>12226.500000000002</v>
      </c>
      <c r="AI9" s="6">
        <f t="shared" si="13"/>
        <v>13.585000000000003</v>
      </c>
      <c r="AJ9" s="6">
        <f t="shared" si="14"/>
        <v>271.70000000000005</v>
      </c>
      <c r="AK9" s="6">
        <f t="shared" si="15"/>
        <v>68</v>
      </c>
      <c r="AL9" s="6">
        <f t="shared" si="16"/>
        <v>6520.8</v>
      </c>
      <c r="AM9" s="6">
        <f t="shared" si="17"/>
        <v>0</v>
      </c>
      <c r="AN9" s="6">
        <f>Y9*'Rates and constants'!$D$2</f>
        <v>446775.18750000012</v>
      </c>
      <c r="AO9" s="6">
        <f>Z9*'Rates and constants'!$D$3</f>
        <v>209186.07750000004</v>
      </c>
      <c r="AP9" s="6">
        <f>AA9*'Rates and constants'!$D$4</f>
        <v>27509.625000000004</v>
      </c>
      <c r="AQ9" s="6">
        <f>AB9*'Rates and constants'!$D$5</f>
        <v>810</v>
      </c>
      <c r="AR9" s="6">
        <f>AD9*'Rates and constants'!$D$6</f>
        <v>3973.6125000000011</v>
      </c>
      <c r="AS9" s="6">
        <f>AE9*'Rates and constants'!$D$7</f>
        <v>13754.812500000004</v>
      </c>
      <c r="AT9" s="6">
        <f>AF9*'Rates and constants'!$D$8</f>
        <v>14366.137500000004</v>
      </c>
      <c r="AU9" s="6">
        <f>AG9*'Rates and constants'!$D$9</f>
        <v>2750.9625000000005</v>
      </c>
      <c r="AV9" s="6">
        <f>AH9*'Rates and constants'!$D$10</f>
        <v>4279.2750000000005</v>
      </c>
      <c r="AW9" s="6">
        <f>AI9*'Rates and constants'!$D$11</f>
        <v>54.340000000000011</v>
      </c>
      <c r="AX9" s="6">
        <f>AJ9*'Rates and constants'!$D$12</f>
        <v>14400.100000000002</v>
      </c>
      <c r="AY9" s="6">
        <f>AK9*'Rates and constants'!$D$13</f>
        <v>204</v>
      </c>
      <c r="AZ9" s="6">
        <f>AL9*'Rates and constants'!$D$14</f>
        <v>1304.1600000000001</v>
      </c>
      <c r="BA9" s="6">
        <f>AM9*'Rates and constants'!$D$15</f>
        <v>0</v>
      </c>
      <c r="BB9" s="6">
        <f t="shared" si="18"/>
        <v>739368.29000000015</v>
      </c>
    </row>
    <row r="10" spans="1:54" x14ac:dyDescent="0.25">
      <c r="A10" s="1">
        <v>22</v>
      </c>
      <c r="B10" s="1" t="s">
        <v>122</v>
      </c>
      <c r="C10" s="1" t="s">
        <v>123</v>
      </c>
      <c r="D10" s="5">
        <v>4747.7</v>
      </c>
      <c r="E10" s="5">
        <v>492520.4</v>
      </c>
      <c r="F10" s="5">
        <v>2661322.4</v>
      </c>
      <c r="G10" s="5">
        <v>127</v>
      </c>
      <c r="H10" s="5">
        <v>20.5</v>
      </c>
      <c r="I10" s="5">
        <v>2.5</v>
      </c>
      <c r="J10" s="1">
        <v>5.4999999999999997E-3</v>
      </c>
      <c r="K10" s="1">
        <v>37.200000000000003</v>
      </c>
      <c r="L10" s="1">
        <f t="shared" si="0"/>
        <v>6</v>
      </c>
      <c r="M10" s="1">
        <v>0</v>
      </c>
      <c r="N10" s="1">
        <f t="shared" si="1"/>
        <v>6</v>
      </c>
      <c r="O10" s="1">
        <f>'Rates and constants'!$D$17</f>
        <v>4</v>
      </c>
      <c r="P10" s="1">
        <v>2.5</v>
      </c>
      <c r="Q10" s="1" t="str">
        <f t="shared" si="2"/>
        <v>6 x 4 x 2.5</v>
      </c>
      <c r="R10" s="5">
        <f>N10*O10+(N10+1)*'Rates and constants'!$D$18</f>
        <v>25.75</v>
      </c>
      <c r="S10" s="5">
        <f>'Rates and constants'!$D$19</f>
        <v>45</v>
      </c>
      <c r="T10" s="5">
        <v>2.21</v>
      </c>
      <c r="U10" s="5">
        <f t="shared" si="3"/>
        <v>0.88400000000000001</v>
      </c>
      <c r="V10" s="1" t="s">
        <v>105</v>
      </c>
      <c r="W10" s="5">
        <v>1.85</v>
      </c>
      <c r="X10" s="1" t="s">
        <v>119</v>
      </c>
      <c r="Y10" s="6">
        <f>(N10*((O10+'Rates and constants'!$D$18)*(P10+0.6)-O10*P10)+0.8)*S10</f>
        <v>893.25000000000023</v>
      </c>
      <c r="Z10" s="6">
        <f t="shared" si="4"/>
        <v>107.19000000000003</v>
      </c>
      <c r="AA10" s="6">
        <f t="shared" si="5"/>
        <v>127.46250000000001</v>
      </c>
      <c r="AB10" s="6">
        <f t="shared" si="6"/>
        <v>405</v>
      </c>
      <c r="AC10" s="6">
        <f t="shared" si="7"/>
        <v>1274.625</v>
      </c>
      <c r="AD10" s="6">
        <f t="shared" si="8"/>
        <v>127.46250000000001</v>
      </c>
      <c r="AE10" s="6">
        <f t="shared" si="9"/>
        <v>63.731250000000003</v>
      </c>
      <c r="AF10" s="6">
        <f t="shared" si="10"/>
        <v>63.731250000000003</v>
      </c>
      <c r="AG10" s="6">
        <f t="shared" si="11"/>
        <v>1274.625</v>
      </c>
      <c r="AH10" s="6">
        <f t="shared" si="12"/>
        <v>2549.25</v>
      </c>
      <c r="AI10" s="6">
        <f t="shared" si="13"/>
        <v>2.8325000000000005</v>
      </c>
      <c r="AJ10" s="6">
        <f t="shared" si="14"/>
        <v>56.650000000000006</v>
      </c>
      <c r="AK10" s="6">
        <f t="shared" si="15"/>
        <v>15</v>
      </c>
      <c r="AL10" s="6">
        <f t="shared" si="16"/>
        <v>1359.6000000000001</v>
      </c>
      <c r="AM10" s="6">
        <f t="shared" si="17"/>
        <v>3823.8750000000005</v>
      </c>
      <c r="AN10" s="6">
        <f>Y10*'Rates and constants'!$D$2</f>
        <v>95488.425000000032</v>
      </c>
      <c r="AO10" s="6">
        <f>Z10*'Rates and constants'!$D$3</f>
        <v>44708.949000000015</v>
      </c>
      <c r="AP10" s="6">
        <f>AA10*'Rates and constants'!$D$4</f>
        <v>5735.8125</v>
      </c>
      <c r="AQ10" s="6">
        <f>AB10*'Rates and constants'!$D$5</f>
        <v>810</v>
      </c>
      <c r="AR10" s="6">
        <f>AD10*'Rates and constants'!$D$6</f>
        <v>828.50625000000002</v>
      </c>
      <c r="AS10" s="6">
        <f>AE10*'Rates and constants'!$D$7</f>
        <v>2867.90625</v>
      </c>
      <c r="AT10" s="6">
        <f>AF10*'Rates and constants'!$D$8</f>
        <v>2995.3687500000001</v>
      </c>
      <c r="AU10" s="6">
        <f>AG10*'Rates and constants'!$D$9</f>
        <v>573.58125000000007</v>
      </c>
      <c r="AV10" s="6">
        <f>AH10*'Rates and constants'!$D$10</f>
        <v>892.23749999999995</v>
      </c>
      <c r="AW10" s="6">
        <f>AI10*'Rates and constants'!$D$11</f>
        <v>11.330000000000002</v>
      </c>
      <c r="AX10" s="6">
        <f>AJ10*'Rates and constants'!$D$12</f>
        <v>3002.4500000000003</v>
      </c>
      <c r="AY10" s="6">
        <f>AK10*'Rates and constants'!$D$13</f>
        <v>45</v>
      </c>
      <c r="AZ10" s="6">
        <f>AL10*'Rates and constants'!$D$14</f>
        <v>271.92</v>
      </c>
      <c r="BA10" s="6">
        <f>AM10*'Rates and constants'!$D$15</f>
        <v>15295.500000000002</v>
      </c>
      <c r="BB10" s="6">
        <f t="shared" si="18"/>
        <v>173526.98650000003</v>
      </c>
    </row>
    <row r="11" spans="1:54" x14ac:dyDescent="0.25">
      <c r="A11" s="1">
        <v>25</v>
      </c>
      <c r="B11" s="1" t="s">
        <v>124</v>
      </c>
      <c r="C11" s="1" t="s">
        <v>125</v>
      </c>
      <c r="D11" s="5">
        <v>0</v>
      </c>
      <c r="E11" s="5">
        <v>497342</v>
      </c>
      <c r="F11" s="5">
        <v>2657409</v>
      </c>
      <c r="G11" s="5">
        <v>74.8</v>
      </c>
      <c r="H11" s="5">
        <v>14.5</v>
      </c>
      <c r="I11" s="5">
        <v>2.5</v>
      </c>
      <c r="J11" s="1">
        <v>4.0000000000000001E-3</v>
      </c>
      <c r="K11" s="1">
        <v>4.9000000000000004</v>
      </c>
      <c r="L11" s="1">
        <f t="shared" si="0"/>
        <v>4</v>
      </c>
      <c r="M11" s="1">
        <v>0</v>
      </c>
      <c r="N11" s="1">
        <f t="shared" si="1"/>
        <v>4</v>
      </c>
      <c r="O11" s="1">
        <f>'Rates and constants'!$D$17</f>
        <v>4</v>
      </c>
      <c r="P11" s="1">
        <v>2.5</v>
      </c>
      <c r="Q11" s="1" t="str">
        <f t="shared" si="2"/>
        <v>4 x 4 x 2.5</v>
      </c>
      <c r="R11" s="5">
        <f>N11*O11+(N11+1)*'Rates and constants'!$D$18</f>
        <v>17.25</v>
      </c>
      <c r="S11" s="5">
        <f>'Rates and constants'!$D$19</f>
        <v>45</v>
      </c>
      <c r="T11" s="5">
        <v>2.0299999999999998</v>
      </c>
      <c r="U11" s="5">
        <f t="shared" si="3"/>
        <v>0.81199999999999994</v>
      </c>
      <c r="V11" s="1" t="s">
        <v>105</v>
      </c>
      <c r="W11" s="5">
        <v>1.87</v>
      </c>
      <c r="X11" s="1" t="s">
        <v>106</v>
      </c>
      <c r="Y11" s="6">
        <f>(N11*((O11+'Rates and constants'!$D$18)*(P11+0.6)-O11*P11)+0.8)*S11</f>
        <v>607.50000000000011</v>
      </c>
      <c r="Z11" s="6">
        <f t="shared" si="4"/>
        <v>72.900000000000006</v>
      </c>
      <c r="AA11" s="6">
        <f t="shared" si="5"/>
        <v>85.387500000000003</v>
      </c>
      <c r="AB11" s="6">
        <f t="shared" si="6"/>
        <v>405</v>
      </c>
      <c r="AC11" s="6">
        <f t="shared" si="7"/>
        <v>853.87500000000011</v>
      </c>
      <c r="AD11" s="6">
        <f t="shared" si="8"/>
        <v>85.387500000000017</v>
      </c>
      <c r="AE11" s="6">
        <f t="shared" si="9"/>
        <v>42.693750000000009</v>
      </c>
      <c r="AF11" s="6">
        <f t="shared" si="10"/>
        <v>42.693750000000009</v>
      </c>
      <c r="AG11" s="6">
        <f t="shared" si="11"/>
        <v>853.87500000000011</v>
      </c>
      <c r="AH11" s="6">
        <f t="shared" si="12"/>
        <v>1707.7500000000002</v>
      </c>
      <c r="AI11" s="6">
        <f t="shared" si="13"/>
        <v>1.8975000000000002</v>
      </c>
      <c r="AJ11" s="6">
        <f t="shared" si="14"/>
        <v>37.950000000000003</v>
      </c>
      <c r="AK11" s="6">
        <f t="shared" si="15"/>
        <v>10</v>
      </c>
      <c r="AL11" s="6">
        <f t="shared" si="16"/>
        <v>910.80000000000007</v>
      </c>
      <c r="AM11" s="6">
        <f t="shared" si="17"/>
        <v>0</v>
      </c>
      <c r="AN11" s="6">
        <f>Y11*'Rates and constants'!$D$2</f>
        <v>64941.750000000015</v>
      </c>
      <c r="AO11" s="6">
        <f>Z11*'Rates and constants'!$D$3</f>
        <v>30406.590000000004</v>
      </c>
      <c r="AP11" s="6">
        <f>AA11*'Rates and constants'!$D$4</f>
        <v>3842.4375</v>
      </c>
      <c r="AQ11" s="6">
        <f>AB11*'Rates and constants'!$D$5</f>
        <v>810</v>
      </c>
      <c r="AR11" s="6">
        <f>AD11*'Rates and constants'!$D$6</f>
        <v>555.01875000000007</v>
      </c>
      <c r="AS11" s="6">
        <f>AE11*'Rates and constants'!$D$7</f>
        <v>1921.2187500000005</v>
      </c>
      <c r="AT11" s="6">
        <f>AF11*'Rates and constants'!$D$8</f>
        <v>2006.6062500000005</v>
      </c>
      <c r="AU11" s="6">
        <f>AG11*'Rates and constants'!$D$9</f>
        <v>384.24375000000003</v>
      </c>
      <c r="AV11" s="6">
        <f>AH11*'Rates and constants'!$D$10</f>
        <v>597.71250000000009</v>
      </c>
      <c r="AW11" s="6">
        <f>AI11*'Rates and constants'!$D$11</f>
        <v>7.5900000000000007</v>
      </c>
      <c r="AX11" s="6">
        <f>AJ11*'Rates and constants'!$D$12</f>
        <v>2011.3500000000001</v>
      </c>
      <c r="AY11" s="6">
        <f>AK11*'Rates and constants'!$D$13</f>
        <v>30</v>
      </c>
      <c r="AZ11" s="6">
        <f>AL11*'Rates and constants'!$D$14</f>
        <v>182.16000000000003</v>
      </c>
      <c r="BA11" s="6">
        <f>AM11*'Rates and constants'!$D$15</f>
        <v>0</v>
      </c>
      <c r="BB11" s="6">
        <f t="shared" si="18"/>
        <v>107696.67750000002</v>
      </c>
    </row>
    <row r="12" spans="1:54" x14ac:dyDescent="0.25">
      <c r="A12" s="1">
        <v>28</v>
      </c>
      <c r="B12" s="1" t="s">
        <v>126</v>
      </c>
      <c r="C12" s="1" t="s">
        <v>127</v>
      </c>
      <c r="D12" s="5">
        <v>1850.9</v>
      </c>
      <c r="E12" s="5">
        <v>501786.6</v>
      </c>
      <c r="F12" s="5">
        <v>2653540.5</v>
      </c>
      <c r="G12" s="5">
        <v>166.5</v>
      </c>
      <c r="H12" s="5">
        <v>29.5</v>
      </c>
      <c r="I12" s="5">
        <v>2.5</v>
      </c>
      <c r="J12" s="1">
        <v>4.1999999999999997E-3</v>
      </c>
      <c r="K12" s="1">
        <v>39.799999999999997</v>
      </c>
      <c r="L12" s="1">
        <f t="shared" si="0"/>
        <v>8</v>
      </c>
      <c r="M12" s="1">
        <v>0</v>
      </c>
      <c r="N12" s="1">
        <f t="shared" si="1"/>
        <v>8</v>
      </c>
      <c r="O12" s="1">
        <f>'Rates and constants'!$D$17</f>
        <v>4</v>
      </c>
      <c r="P12" s="1">
        <v>2.5</v>
      </c>
      <c r="Q12" s="1" t="str">
        <f t="shared" si="2"/>
        <v>8 x 4 x 2.5</v>
      </c>
      <c r="R12" s="5">
        <f>N12*O12+(N12+1)*'Rates and constants'!$D$18</f>
        <v>34.25</v>
      </c>
      <c r="S12" s="5">
        <f>'Rates and constants'!$D$19</f>
        <v>45</v>
      </c>
      <c r="T12" s="5">
        <v>2.1800000000000002</v>
      </c>
      <c r="U12" s="5">
        <f t="shared" si="3"/>
        <v>0.87200000000000011</v>
      </c>
      <c r="V12" s="1" t="s">
        <v>105</v>
      </c>
      <c r="W12" s="5">
        <v>1.87</v>
      </c>
      <c r="X12" s="1" t="s">
        <v>106</v>
      </c>
      <c r="Y12" s="6">
        <f>(N12*((O12+'Rates and constants'!$D$18)*(P12+0.6)-O12*P12)+0.8)*S12</f>
        <v>1179.0000000000002</v>
      </c>
      <c r="Z12" s="6">
        <f t="shared" si="4"/>
        <v>141.48000000000002</v>
      </c>
      <c r="AA12" s="6">
        <f t="shared" si="5"/>
        <v>169.53750000000002</v>
      </c>
      <c r="AB12" s="6">
        <f t="shared" si="6"/>
        <v>405</v>
      </c>
      <c r="AC12" s="6">
        <f t="shared" si="7"/>
        <v>1695.3750000000002</v>
      </c>
      <c r="AD12" s="6">
        <f t="shared" si="8"/>
        <v>169.53750000000002</v>
      </c>
      <c r="AE12" s="6">
        <f t="shared" si="9"/>
        <v>84.768750000000011</v>
      </c>
      <c r="AF12" s="6">
        <f t="shared" si="10"/>
        <v>84.768750000000011</v>
      </c>
      <c r="AG12" s="6">
        <f t="shared" si="11"/>
        <v>1695.3750000000002</v>
      </c>
      <c r="AH12" s="6">
        <f t="shared" si="12"/>
        <v>3390.7500000000005</v>
      </c>
      <c r="AI12" s="6">
        <f t="shared" si="13"/>
        <v>3.7675000000000005</v>
      </c>
      <c r="AJ12" s="6">
        <f t="shared" si="14"/>
        <v>75.350000000000009</v>
      </c>
      <c r="AK12" s="6">
        <f t="shared" si="15"/>
        <v>19</v>
      </c>
      <c r="AL12" s="6">
        <f t="shared" si="16"/>
        <v>1808.4</v>
      </c>
      <c r="AM12" s="6">
        <f t="shared" si="17"/>
        <v>0</v>
      </c>
      <c r="AN12" s="6">
        <f>Y12*'Rates and constants'!$D$2</f>
        <v>126035.10000000003</v>
      </c>
      <c r="AO12" s="6">
        <f>Z12*'Rates and constants'!$D$3</f>
        <v>59011.308000000012</v>
      </c>
      <c r="AP12" s="6">
        <f>AA12*'Rates and constants'!$D$4</f>
        <v>7629.1875000000009</v>
      </c>
      <c r="AQ12" s="6">
        <f>AB12*'Rates and constants'!$D$5</f>
        <v>810</v>
      </c>
      <c r="AR12" s="6">
        <f>AD12*'Rates and constants'!$D$6</f>
        <v>1101.9937500000001</v>
      </c>
      <c r="AS12" s="6">
        <f>AE12*'Rates and constants'!$D$7</f>
        <v>3814.5937500000005</v>
      </c>
      <c r="AT12" s="6">
        <f>AF12*'Rates and constants'!$D$8</f>
        <v>3984.1312500000004</v>
      </c>
      <c r="AU12" s="6">
        <f>AG12*'Rates and constants'!$D$9</f>
        <v>762.91875000000016</v>
      </c>
      <c r="AV12" s="6">
        <f>AH12*'Rates and constants'!$D$10</f>
        <v>1186.7625</v>
      </c>
      <c r="AW12" s="6">
        <f>AI12*'Rates and constants'!$D$11</f>
        <v>15.070000000000002</v>
      </c>
      <c r="AX12" s="6">
        <f>AJ12*'Rates and constants'!$D$12</f>
        <v>3993.5500000000006</v>
      </c>
      <c r="AY12" s="6">
        <f>AK12*'Rates and constants'!$D$13</f>
        <v>57</v>
      </c>
      <c r="AZ12" s="6">
        <f>AL12*'Rates and constants'!$D$14</f>
        <v>361.68000000000006</v>
      </c>
      <c r="BA12" s="6">
        <f>AM12*'Rates and constants'!$D$15</f>
        <v>0</v>
      </c>
      <c r="BB12" s="6">
        <f t="shared" si="18"/>
        <v>208763.29550000007</v>
      </c>
    </row>
    <row r="13" spans="1:54" x14ac:dyDescent="0.25">
      <c r="A13" s="1">
        <v>30</v>
      </c>
      <c r="B13" s="1" t="s">
        <v>128</v>
      </c>
      <c r="C13" s="1" t="s">
        <v>129</v>
      </c>
      <c r="D13" s="5">
        <v>0</v>
      </c>
      <c r="E13" s="5">
        <v>487968.3</v>
      </c>
      <c r="F13" s="5">
        <v>2665269.7999999998</v>
      </c>
      <c r="G13" s="5">
        <v>76.400000000000006</v>
      </c>
      <c r="H13" s="5">
        <v>13</v>
      </c>
      <c r="I13" s="5">
        <v>2.5</v>
      </c>
      <c r="J13" s="1">
        <v>5.7999999999999996E-3</v>
      </c>
      <c r="K13" s="1">
        <v>15.5</v>
      </c>
      <c r="L13" s="1">
        <f t="shared" si="0"/>
        <v>4</v>
      </c>
      <c r="M13" s="1">
        <v>0</v>
      </c>
      <c r="N13" s="1">
        <f t="shared" si="1"/>
        <v>4</v>
      </c>
      <c r="O13" s="1">
        <f>'Rates and constants'!$D$17</f>
        <v>4</v>
      </c>
      <c r="P13" s="1">
        <v>2.5</v>
      </c>
      <c r="Q13" s="1" t="str">
        <f t="shared" si="2"/>
        <v>4 x 4 x 2.5</v>
      </c>
      <c r="R13" s="5">
        <f>N13*O13+(N13+1)*'Rates and constants'!$D$18</f>
        <v>17.25</v>
      </c>
      <c r="S13" s="5">
        <f>'Rates and constants'!$D$19</f>
        <v>45</v>
      </c>
      <c r="T13" s="5">
        <v>2.06</v>
      </c>
      <c r="U13" s="5">
        <f t="shared" si="3"/>
        <v>0.82400000000000007</v>
      </c>
      <c r="V13" s="1" t="s">
        <v>105</v>
      </c>
      <c r="W13" s="5">
        <v>1.82</v>
      </c>
      <c r="X13" s="1" t="s">
        <v>106</v>
      </c>
      <c r="Y13" s="6">
        <f>(N13*((O13+'Rates and constants'!$D$18)*(P13+0.6)-O13*P13)+0.8)*S13</f>
        <v>607.50000000000011</v>
      </c>
      <c r="Z13" s="6">
        <f t="shared" si="4"/>
        <v>72.900000000000006</v>
      </c>
      <c r="AA13" s="6">
        <f t="shared" si="5"/>
        <v>85.387500000000003</v>
      </c>
      <c r="AB13" s="6">
        <f t="shared" si="6"/>
        <v>405</v>
      </c>
      <c r="AC13" s="6">
        <f t="shared" si="7"/>
        <v>853.87500000000011</v>
      </c>
      <c r="AD13" s="6">
        <f t="shared" si="8"/>
        <v>85.387500000000017</v>
      </c>
      <c r="AE13" s="6">
        <f t="shared" si="9"/>
        <v>42.693750000000009</v>
      </c>
      <c r="AF13" s="6">
        <f t="shared" si="10"/>
        <v>42.693750000000009</v>
      </c>
      <c r="AG13" s="6">
        <f t="shared" si="11"/>
        <v>853.87500000000011</v>
      </c>
      <c r="AH13" s="6">
        <f t="shared" si="12"/>
        <v>1707.7500000000002</v>
      </c>
      <c r="AI13" s="6">
        <f t="shared" si="13"/>
        <v>1.8975000000000002</v>
      </c>
      <c r="AJ13" s="6">
        <f t="shared" si="14"/>
        <v>37.950000000000003</v>
      </c>
      <c r="AK13" s="6">
        <f t="shared" si="15"/>
        <v>10</v>
      </c>
      <c r="AL13" s="6">
        <f t="shared" si="16"/>
        <v>910.80000000000007</v>
      </c>
      <c r="AM13" s="6">
        <f t="shared" si="17"/>
        <v>0</v>
      </c>
      <c r="AN13" s="6">
        <f>Y13*'Rates and constants'!$D$2</f>
        <v>64941.750000000015</v>
      </c>
      <c r="AO13" s="6">
        <f>Z13*'Rates and constants'!$D$3</f>
        <v>30406.590000000004</v>
      </c>
      <c r="AP13" s="6">
        <f>AA13*'Rates and constants'!$D$4</f>
        <v>3842.4375</v>
      </c>
      <c r="AQ13" s="6">
        <f>AB13*'Rates and constants'!$D$5</f>
        <v>810</v>
      </c>
      <c r="AR13" s="6">
        <f>AD13*'Rates and constants'!$D$6</f>
        <v>555.01875000000007</v>
      </c>
      <c r="AS13" s="6">
        <f>AE13*'Rates and constants'!$D$7</f>
        <v>1921.2187500000005</v>
      </c>
      <c r="AT13" s="6">
        <f>AF13*'Rates and constants'!$D$8</f>
        <v>2006.6062500000005</v>
      </c>
      <c r="AU13" s="6">
        <f>AG13*'Rates and constants'!$D$9</f>
        <v>384.24375000000003</v>
      </c>
      <c r="AV13" s="6">
        <f>AH13*'Rates and constants'!$D$10</f>
        <v>597.71250000000009</v>
      </c>
      <c r="AW13" s="6">
        <f>AI13*'Rates and constants'!$D$11</f>
        <v>7.5900000000000007</v>
      </c>
      <c r="AX13" s="6">
        <f>AJ13*'Rates and constants'!$D$12</f>
        <v>2011.3500000000001</v>
      </c>
      <c r="AY13" s="6">
        <f>AK13*'Rates and constants'!$D$13</f>
        <v>30</v>
      </c>
      <c r="AZ13" s="6">
        <f>AL13*'Rates and constants'!$D$14</f>
        <v>182.16000000000003</v>
      </c>
      <c r="BA13" s="6">
        <f>AM13*'Rates and constants'!$D$15</f>
        <v>0</v>
      </c>
      <c r="BB13" s="6">
        <f t="shared" si="18"/>
        <v>107696.67750000002</v>
      </c>
    </row>
    <row r="14" spans="1:54" x14ac:dyDescent="0.25">
      <c r="A14" s="1">
        <v>32</v>
      </c>
      <c r="B14" s="1" t="s">
        <v>130</v>
      </c>
      <c r="C14" s="1" t="s">
        <v>131</v>
      </c>
      <c r="D14" s="5">
        <v>0</v>
      </c>
      <c r="E14" s="5">
        <v>488667.8</v>
      </c>
      <c r="F14" s="5">
        <v>2664663.2000000002</v>
      </c>
      <c r="G14" s="5">
        <v>53.4</v>
      </c>
      <c r="H14" s="5">
        <v>10</v>
      </c>
      <c r="I14" s="5">
        <v>2.5</v>
      </c>
      <c r="J14" s="1">
        <v>5.4999999999999997E-3</v>
      </c>
      <c r="K14" s="1">
        <v>0.2</v>
      </c>
      <c r="L14" s="1">
        <f t="shared" si="0"/>
        <v>3</v>
      </c>
      <c r="M14" s="1">
        <v>0</v>
      </c>
      <c r="N14" s="1">
        <f t="shared" si="1"/>
        <v>3</v>
      </c>
      <c r="O14" s="1">
        <f>'Rates and constants'!$D$17</f>
        <v>4</v>
      </c>
      <c r="P14" s="1">
        <v>2.5</v>
      </c>
      <c r="Q14" s="1" t="str">
        <f t="shared" si="2"/>
        <v>3 x 4 x 2.5</v>
      </c>
      <c r="R14" s="5">
        <f>N14*O14+(N14+1)*'Rates and constants'!$D$18</f>
        <v>13</v>
      </c>
      <c r="S14" s="5">
        <f>'Rates and constants'!$D$19</f>
        <v>45</v>
      </c>
      <c r="T14" s="5">
        <v>1.96</v>
      </c>
      <c r="U14" s="5">
        <f t="shared" si="3"/>
        <v>0.78400000000000003</v>
      </c>
      <c r="V14" s="1" t="s">
        <v>105</v>
      </c>
      <c r="W14" s="5">
        <v>1.79</v>
      </c>
      <c r="X14" s="1" t="s">
        <v>119</v>
      </c>
      <c r="Y14" s="6">
        <f>(N14*((O14+'Rates and constants'!$D$18)*(P14+0.6)-O14*P14)+0.8)*S14</f>
        <v>464.62500000000011</v>
      </c>
      <c r="Z14" s="6">
        <f t="shared" si="4"/>
        <v>55.75500000000001</v>
      </c>
      <c r="AA14" s="6">
        <f t="shared" si="5"/>
        <v>64.350000000000009</v>
      </c>
      <c r="AB14" s="6">
        <f t="shared" si="6"/>
        <v>405</v>
      </c>
      <c r="AC14" s="6">
        <f t="shared" si="7"/>
        <v>643.5</v>
      </c>
      <c r="AD14" s="6">
        <f t="shared" si="8"/>
        <v>64.350000000000009</v>
      </c>
      <c r="AE14" s="6">
        <f t="shared" si="9"/>
        <v>32.175000000000004</v>
      </c>
      <c r="AF14" s="6">
        <f t="shared" si="10"/>
        <v>32.175000000000004</v>
      </c>
      <c r="AG14" s="6">
        <f t="shared" si="11"/>
        <v>643.5</v>
      </c>
      <c r="AH14" s="6">
        <f t="shared" si="12"/>
        <v>1287</v>
      </c>
      <c r="AI14" s="6">
        <f t="shared" si="13"/>
        <v>1.4300000000000002</v>
      </c>
      <c r="AJ14" s="6">
        <f t="shared" si="14"/>
        <v>28.6</v>
      </c>
      <c r="AK14" s="6">
        <f t="shared" si="15"/>
        <v>8</v>
      </c>
      <c r="AL14" s="6">
        <f t="shared" si="16"/>
        <v>686.40000000000009</v>
      </c>
      <c r="AM14" s="6">
        <f t="shared" si="17"/>
        <v>1930.5000000000002</v>
      </c>
      <c r="AN14" s="6">
        <f>Y14*'Rates and constants'!$D$2</f>
        <v>49668.412500000013</v>
      </c>
      <c r="AO14" s="6">
        <f>Z14*'Rates and constants'!$D$3</f>
        <v>23255.410500000005</v>
      </c>
      <c r="AP14" s="6">
        <f>AA14*'Rates and constants'!$D$4</f>
        <v>2895.7500000000005</v>
      </c>
      <c r="AQ14" s="6">
        <f>AB14*'Rates and constants'!$D$5</f>
        <v>810</v>
      </c>
      <c r="AR14" s="6">
        <f>AD14*'Rates and constants'!$D$6</f>
        <v>418.27500000000003</v>
      </c>
      <c r="AS14" s="6">
        <f>AE14*'Rates and constants'!$D$7</f>
        <v>1447.8750000000002</v>
      </c>
      <c r="AT14" s="6">
        <f>AF14*'Rates and constants'!$D$8</f>
        <v>1512.2250000000001</v>
      </c>
      <c r="AU14" s="6">
        <f>AG14*'Rates and constants'!$D$9</f>
        <v>289.57499999999999</v>
      </c>
      <c r="AV14" s="6">
        <f>AH14*'Rates and constants'!$D$10</f>
        <v>450.45</v>
      </c>
      <c r="AW14" s="6">
        <f>AI14*'Rates and constants'!$D$11</f>
        <v>5.7200000000000006</v>
      </c>
      <c r="AX14" s="6">
        <f>AJ14*'Rates and constants'!$D$12</f>
        <v>1515.8000000000002</v>
      </c>
      <c r="AY14" s="6">
        <f>AK14*'Rates and constants'!$D$13</f>
        <v>24</v>
      </c>
      <c r="AZ14" s="6">
        <f>AL14*'Rates and constants'!$D$14</f>
        <v>137.28000000000003</v>
      </c>
      <c r="BA14" s="6">
        <f>AM14*'Rates and constants'!$D$15</f>
        <v>7722.0000000000009</v>
      </c>
      <c r="BB14" s="6">
        <f t="shared" si="18"/>
        <v>90152.773000000016</v>
      </c>
    </row>
    <row r="15" spans="1:54" x14ac:dyDescent="0.25">
      <c r="A15" s="1">
        <v>34</v>
      </c>
      <c r="B15" s="1" t="s">
        <v>132</v>
      </c>
      <c r="C15" s="1" t="s">
        <v>133</v>
      </c>
      <c r="D15" s="5">
        <v>0</v>
      </c>
      <c r="E15" s="5">
        <v>489354</v>
      </c>
      <c r="F15" s="5">
        <v>2664068.1</v>
      </c>
      <c r="G15" s="5">
        <v>168</v>
      </c>
      <c r="H15" s="5">
        <v>25</v>
      </c>
      <c r="I15" s="5">
        <v>2.5</v>
      </c>
      <c r="J15" s="1">
        <v>6.1000000000000004E-3</v>
      </c>
      <c r="K15" s="1">
        <v>17.100000000000001</v>
      </c>
      <c r="L15" s="1">
        <f t="shared" si="0"/>
        <v>7</v>
      </c>
      <c r="M15" s="1">
        <v>0</v>
      </c>
      <c r="N15" s="1">
        <f t="shared" si="1"/>
        <v>7</v>
      </c>
      <c r="O15" s="1">
        <f>'Rates and constants'!$D$17</f>
        <v>4</v>
      </c>
      <c r="P15" s="1">
        <v>2.5</v>
      </c>
      <c r="Q15" s="1" t="str">
        <f t="shared" si="2"/>
        <v>7 x 4 x 2.5</v>
      </c>
      <c r="R15" s="5">
        <f>N15*O15+(N15+1)*'Rates and constants'!$D$18</f>
        <v>30</v>
      </c>
      <c r="S15" s="5">
        <f>'Rates and constants'!$D$19</f>
        <v>45</v>
      </c>
      <c r="T15" s="5">
        <v>2.4</v>
      </c>
      <c r="U15" s="5">
        <f t="shared" si="3"/>
        <v>0.96</v>
      </c>
      <c r="V15" s="1" t="s">
        <v>105</v>
      </c>
      <c r="W15" s="5">
        <v>1.87</v>
      </c>
      <c r="X15" s="1" t="s">
        <v>106</v>
      </c>
      <c r="Y15" s="6">
        <f>(N15*((O15+'Rates and constants'!$D$18)*(P15+0.6)-O15*P15)+0.8)*S15</f>
        <v>1036.1250000000002</v>
      </c>
      <c r="Z15" s="6">
        <f t="shared" si="4"/>
        <v>124.33500000000002</v>
      </c>
      <c r="AA15" s="6">
        <f t="shared" si="5"/>
        <v>148.5</v>
      </c>
      <c r="AB15" s="6">
        <f t="shared" si="6"/>
        <v>405</v>
      </c>
      <c r="AC15" s="6">
        <f t="shared" si="7"/>
        <v>1485.0000000000002</v>
      </c>
      <c r="AD15" s="6">
        <f t="shared" si="8"/>
        <v>148.50000000000003</v>
      </c>
      <c r="AE15" s="6">
        <f t="shared" si="9"/>
        <v>74.250000000000014</v>
      </c>
      <c r="AF15" s="6">
        <f t="shared" si="10"/>
        <v>74.250000000000014</v>
      </c>
      <c r="AG15" s="6">
        <f t="shared" si="11"/>
        <v>1485.0000000000002</v>
      </c>
      <c r="AH15" s="6">
        <f t="shared" si="12"/>
        <v>2970.0000000000005</v>
      </c>
      <c r="AI15" s="6">
        <f t="shared" si="13"/>
        <v>3.3000000000000003</v>
      </c>
      <c r="AJ15" s="6">
        <f t="shared" si="14"/>
        <v>66</v>
      </c>
      <c r="AK15" s="6">
        <f t="shared" si="15"/>
        <v>17</v>
      </c>
      <c r="AL15" s="6">
        <f t="shared" si="16"/>
        <v>1584.0000000000002</v>
      </c>
      <c r="AM15" s="6">
        <f t="shared" si="17"/>
        <v>0</v>
      </c>
      <c r="AN15" s="6">
        <f>Y15*'Rates and constants'!$D$2</f>
        <v>110761.76250000003</v>
      </c>
      <c r="AO15" s="6">
        <f>Z15*'Rates and constants'!$D$3</f>
        <v>51860.128500000013</v>
      </c>
      <c r="AP15" s="6">
        <f>AA15*'Rates and constants'!$D$4</f>
        <v>6682.5</v>
      </c>
      <c r="AQ15" s="6">
        <f>AB15*'Rates and constants'!$D$5</f>
        <v>810</v>
      </c>
      <c r="AR15" s="6">
        <f>AD15*'Rates and constants'!$D$6</f>
        <v>965.25000000000023</v>
      </c>
      <c r="AS15" s="6">
        <f>AE15*'Rates and constants'!$D$7</f>
        <v>3341.2500000000005</v>
      </c>
      <c r="AT15" s="6">
        <f>AF15*'Rates and constants'!$D$8</f>
        <v>3489.7500000000005</v>
      </c>
      <c r="AU15" s="6">
        <f>AG15*'Rates and constants'!$D$9</f>
        <v>668.25000000000011</v>
      </c>
      <c r="AV15" s="6">
        <f>AH15*'Rates and constants'!$D$10</f>
        <v>1039.5</v>
      </c>
      <c r="AW15" s="6">
        <f>AI15*'Rates and constants'!$D$11</f>
        <v>13.200000000000001</v>
      </c>
      <c r="AX15" s="6">
        <f>AJ15*'Rates and constants'!$D$12</f>
        <v>3498</v>
      </c>
      <c r="AY15" s="6">
        <f>AK15*'Rates and constants'!$D$13</f>
        <v>51</v>
      </c>
      <c r="AZ15" s="6">
        <f>AL15*'Rates and constants'!$D$14</f>
        <v>316.80000000000007</v>
      </c>
      <c r="BA15" s="6">
        <f>AM15*'Rates and constants'!$D$15</f>
        <v>0</v>
      </c>
      <c r="BB15" s="6">
        <f t="shared" si="18"/>
        <v>183497.39100000003</v>
      </c>
    </row>
    <row r="16" spans="1:54" x14ac:dyDescent="0.25">
      <c r="A16" s="1">
        <v>35</v>
      </c>
      <c r="B16" s="1" t="s">
        <v>134</v>
      </c>
      <c r="C16" s="1" t="s">
        <v>135</v>
      </c>
      <c r="D16" s="5">
        <v>1349.9</v>
      </c>
      <c r="E16" s="5">
        <v>491890.4</v>
      </c>
      <c r="F16" s="5">
        <v>2661868.7000000002</v>
      </c>
      <c r="G16" s="5">
        <v>106.4</v>
      </c>
      <c r="H16" s="5">
        <v>22</v>
      </c>
      <c r="I16" s="5">
        <v>2.5</v>
      </c>
      <c r="J16" s="1">
        <v>3.3E-3</v>
      </c>
      <c r="K16" s="1">
        <v>21.9</v>
      </c>
      <c r="L16" s="1">
        <f t="shared" si="0"/>
        <v>6</v>
      </c>
      <c r="M16" s="1">
        <v>0</v>
      </c>
      <c r="N16" s="1">
        <f t="shared" si="1"/>
        <v>6</v>
      </c>
      <c r="O16" s="1">
        <f>'Rates and constants'!$D$17</f>
        <v>4</v>
      </c>
      <c r="P16" s="1">
        <v>2.5</v>
      </c>
      <c r="Q16" s="1" t="str">
        <f t="shared" si="2"/>
        <v>6 x 4 x 2.5</v>
      </c>
      <c r="R16" s="5">
        <f>N16*O16+(N16+1)*'Rates and constants'!$D$18</f>
        <v>25.75</v>
      </c>
      <c r="S16" s="5">
        <f>'Rates and constants'!$D$19</f>
        <v>45</v>
      </c>
      <c r="T16" s="5">
        <v>1.96</v>
      </c>
      <c r="U16" s="5">
        <f t="shared" si="3"/>
        <v>0.78400000000000003</v>
      </c>
      <c r="V16" s="1" t="s">
        <v>105</v>
      </c>
      <c r="W16" s="5">
        <v>1.86</v>
      </c>
      <c r="X16" s="1" t="s">
        <v>119</v>
      </c>
      <c r="Y16" s="6">
        <f>(N16*((O16+'Rates and constants'!$D$18)*(P16+0.6)-O16*P16)+0.8)*S16</f>
        <v>893.25000000000023</v>
      </c>
      <c r="Z16" s="6">
        <f t="shared" si="4"/>
        <v>107.19000000000003</v>
      </c>
      <c r="AA16" s="6">
        <f t="shared" si="5"/>
        <v>127.46250000000001</v>
      </c>
      <c r="AB16" s="6">
        <f t="shared" si="6"/>
        <v>405</v>
      </c>
      <c r="AC16" s="6">
        <f t="shared" si="7"/>
        <v>1274.625</v>
      </c>
      <c r="AD16" s="6">
        <f t="shared" si="8"/>
        <v>127.46250000000001</v>
      </c>
      <c r="AE16" s="6">
        <f t="shared" si="9"/>
        <v>63.731250000000003</v>
      </c>
      <c r="AF16" s="6">
        <f t="shared" si="10"/>
        <v>63.731250000000003</v>
      </c>
      <c r="AG16" s="6">
        <f t="shared" si="11"/>
        <v>1274.625</v>
      </c>
      <c r="AH16" s="6">
        <f t="shared" si="12"/>
        <v>2549.25</v>
      </c>
      <c r="AI16" s="6">
        <f t="shared" si="13"/>
        <v>2.8325000000000005</v>
      </c>
      <c r="AJ16" s="6">
        <f t="shared" si="14"/>
        <v>56.650000000000006</v>
      </c>
      <c r="AK16" s="6">
        <f t="shared" si="15"/>
        <v>15</v>
      </c>
      <c r="AL16" s="6">
        <f t="shared" si="16"/>
        <v>1359.6000000000001</v>
      </c>
      <c r="AM16" s="6">
        <f t="shared" si="17"/>
        <v>3823.8750000000005</v>
      </c>
      <c r="AN16" s="6">
        <f>Y16*'Rates and constants'!$D$2</f>
        <v>95488.425000000032</v>
      </c>
      <c r="AO16" s="6">
        <f>Z16*'Rates and constants'!$D$3</f>
        <v>44708.949000000015</v>
      </c>
      <c r="AP16" s="6">
        <f>AA16*'Rates and constants'!$D$4</f>
        <v>5735.8125</v>
      </c>
      <c r="AQ16" s="6">
        <f>AB16*'Rates and constants'!$D$5</f>
        <v>810</v>
      </c>
      <c r="AR16" s="6">
        <f>AD16*'Rates and constants'!$D$6</f>
        <v>828.50625000000002</v>
      </c>
      <c r="AS16" s="6">
        <f>AE16*'Rates and constants'!$D$7</f>
        <v>2867.90625</v>
      </c>
      <c r="AT16" s="6">
        <f>AF16*'Rates and constants'!$D$8</f>
        <v>2995.3687500000001</v>
      </c>
      <c r="AU16" s="6">
        <f>AG16*'Rates and constants'!$D$9</f>
        <v>573.58125000000007</v>
      </c>
      <c r="AV16" s="6">
        <f>AH16*'Rates and constants'!$D$10</f>
        <v>892.23749999999995</v>
      </c>
      <c r="AW16" s="6">
        <f>AI16*'Rates and constants'!$D$11</f>
        <v>11.330000000000002</v>
      </c>
      <c r="AX16" s="6">
        <f>AJ16*'Rates and constants'!$D$12</f>
        <v>3002.4500000000003</v>
      </c>
      <c r="AY16" s="6">
        <f>AK16*'Rates and constants'!$D$13</f>
        <v>45</v>
      </c>
      <c r="AZ16" s="6">
        <f>AL16*'Rates and constants'!$D$14</f>
        <v>271.92</v>
      </c>
      <c r="BA16" s="6">
        <f>AM16*'Rates and constants'!$D$15</f>
        <v>15295.500000000002</v>
      </c>
      <c r="BB16" s="6">
        <f t="shared" si="18"/>
        <v>173526.98650000003</v>
      </c>
    </row>
    <row r="17" spans="1:54" x14ac:dyDescent="0.25">
      <c r="A17" s="1">
        <v>37</v>
      </c>
      <c r="B17" s="1" t="s">
        <v>136</v>
      </c>
      <c r="C17" s="1" t="s">
        <v>137</v>
      </c>
      <c r="D17" s="5">
        <v>0</v>
      </c>
      <c r="E17" s="5">
        <v>494818.3</v>
      </c>
      <c r="F17" s="5">
        <v>2659390.6</v>
      </c>
      <c r="G17" s="5">
        <v>71.2</v>
      </c>
      <c r="H17" s="5">
        <v>12</v>
      </c>
      <c r="I17" s="5">
        <v>2.5</v>
      </c>
      <c r="J17" s="1">
        <v>6.1000000000000004E-3</v>
      </c>
      <c r="K17" s="1">
        <v>0.1</v>
      </c>
      <c r="L17" s="1">
        <f t="shared" si="0"/>
        <v>3</v>
      </c>
      <c r="M17" s="1">
        <v>0</v>
      </c>
      <c r="N17" s="1">
        <f t="shared" si="1"/>
        <v>3</v>
      </c>
      <c r="O17" s="1">
        <f>'Rates and constants'!$D$17</f>
        <v>4</v>
      </c>
      <c r="P17" s="1">
        <v>2.5</v>
      </c>
      <c r="Q17" s="1" t="str">
        <f t="shared" si="2"/>
        <v>3 x 4 x 2.5</v>
      </c>
      <c r="R17" s="5">
        <f>N17*O17+(N17+1)*'Rates and constants'!$D$18</f>
        <v>13</v>
      </c>
      <c r="S17" s="5">
        <f>'Rates and constants'!$D$19</f>
        <v>45</v>
      </c>
      <c r="T17" s="5">
        <v>2.39</v>
      </c>
      <c r="U17" s="5">
        <f t="shared" si="3"/>
        <v>0.95600000000000007</v>
      </c>
      <c r="V17" s="1" t="s">
        <v>105</v>
      </c>
      <c r="W17" s="5">
        <v>1.82</v>
      </c>
      <c r="X17" s="1" t="s">
        <v>106</v>
      </c>
      <c r="Y17" s="6">
        <f>(N17*((O17+'Rates and constants'!$D$18)*(P17+0.6)-O17*P17)+0.8)*S17</f>
        <v>464.62500000000011</v>
      </c>
      <c r="Z17" s="6">
        <f t="shared" si="4"/>
        <v>55.75500000000001</v>
      </c>
      <c r="AA17" s="6">
        <f t="shared" si="5"/>
        <v>64.350000000000009</v>
      </c>
      <c r="AB17" s="6">
        <f t="shared" si="6"/>
        <v>405</v>
      </c>
      <c r="AC17" s="6">
        <f t="shared" si="7"/>
        <v>643.5</v>
      </c>
      <c r="AD17" s="6">
        <f t="shared" si="8"/>
        <v>64.350000000000009</v>
      </c>
      <c r="AE17" s="6">
        <f t="shared" si="9"/>
        <v>32.175000000000004</v>
      </c>
      <c r="AF17" s="6">
        <f t="shared" si="10"/>
        <v>32.175000000000004</v>
      </c>
      <c r="AG17" s="6">
        <f t="shared" si="11"/>
        <v>643.5</v>
      </c>
      <c r="AH17" s="6">
        <f t="shared" si="12"/>
        <v>1287</v>
      </c>
      <c r="AI17" s="6">
        <f t="shared" si="13"/>
        <v>1.4300000000000002</v>
      </c>
      <c r="AJ17" s="6">
        <f t="shared" si="14"/>
        <v>28.6</v>
      </c>
      <c r="AK17" s="6">
        <f t="shared" si="15"/>
        <v>8</v>
      </c>
      <c r="AL17" s="6">
        <f t="shared" si="16"/>
        <v>686.40000000000009</v>
      </c>
      <c r="AM17" s="6">
        <f t="shared" si="17"/>
        <v>0</v>
      </c>
      <c r="AN17" s="6">
        <f>Y17*'Rates and constants'!$D$2</f>
        <v>49668.412500000013</v>
      </c>
      <c r="AO17" s="6">
        <f>Z17*'Rates and constants'!$D$3</f>
        <v>23255.410500000005</v>
      </c>
      <c r="AP17" s="6">
        <f>AA17*'Rates and constants'!$D$4</f>
        <v>2895.7500000000005</v>
      </c>
      <c r="AQ17" s="6">
        <f>AB17*'Rates and constants'!$D$5</f>
        <v>810</v>
      </c>
      <c r="AR17" s="6">
        <f>AD17*'Rates and constants'!$D$6</f>
        <v>418.27500000000003</v>
      </c>
      <c r="AS17" s="6">
        <f>AE17*'Rates and constants'!$D$7</f>
        <v>1447.8750000000002</v>
      </c>
      <c r="AT17" s="6">
        <f>AF17*'Rates and constants'!$D$8</f>
        <v>1512.2250000000001</v>
      </c>
      <c r="AU17" s="6">
        <f>AG17*'Rates and constants'!$D$9</f>
        <v>289.57499999999999</v>
      </c>
      <c r="AV17" s="6">
        <f>AH17*'Rates and constants'!$D$10</f>
        <v>450.45</v>
      </c>
      <c r="AW17" s="6">
        <f>AI17*'Rates and constants'!$D$11</f>
        <v>5.7200000000000006</v>
      </c>
      <c r="AX17" s="6">
        <f>AJ17*'Rates and constants'!$D$12</f>
        <v>1515.8000000000002</v>
      </c>
      <c r="AY17" s="6">
        <f>AK17*'Rates and constants'!$D$13</f>
        <v>24</v>
      </c>
      <c r="AZ17" s="6">
        <f>AL17*'Rates and constants'!$D$14</f>
        <v>137.28000000000003</v>
      </c>
      <c r="BA17" s="6">
        <f>AM17*'Rates and constants'!$D$15</f>
        <v>0</v>
      </c>
      <c r="BB17" s="6">
        <f t="shared" si="18"/>
        <v>82430.773000000016</v>
      </c>
    </row>
    <row r="18" spans="1:54" x14ac:dyDescent="0.25">
      <c r="A18" s="1">
        <v>39</v>
      </c>
      <c r="B18" s="1" t="s">
        <v>138</v>
      </c>
      <c r="C18" s="1" t="s">
        <v>139</v>
      </c>
      <c r="D18" s="5">
        <v>838.7</v>
      </c>
      <c r="E18" s="5">
        <v>495669.6</v>
      </c>
      <c r="F18" s="5">
        <v>2658724.7000000002</v>
      </c>
      <c r="G18" s="5">
        <v>45.4</v>
      </c>
      <c r="H18" s="5">
        <v>10</v>
      </c>
      <c r="I18" s="5">
        <v>2.5</v>
      </c>
      <c r="J18" s="1">
        <v>1.18E-2</v>
      </c>
      <c r="K18" s="1">
        <v>5</v>
      </c>
      <c r="L18" s="1">
        <f t="shared" si="0"/>
        <v>3</v>
      </c>
      <c r="M18" s="1">
        <v>0</v>
      </c>
      <c r="N18" s="1">
        <f t="shared" si="1"/>
        <v>3</v>
      </c>
      <c r="O18" s="1">
        <f>'Rates and constants'!$D$17</f>
        <v>4</v>
      </c>
      <c r="P18" s="1">
        <v>2.5</v>
      </c>
      <c r="Q18" s="1" t="str">
        <f t="shared" si="2"/>
        <v>3 x 4 x 2.5</v>
      </c>
      <c r="R18" s="5">
        <f>N18*O18+(N18+1)*'Rates and constants'!$D$18</f>
        <v>13</v>
      </c>
      <c r="S18" s="5">
        <f>'Rates and constants'!$D$19</f>
        <v>45</v>
      </c>
      <c r="T18" s="5">
        <v>1.75</v>
      </c>
      <c r="U18" s="5">
        <f t="shared" si="3"/>
        <v>0.7</v>
      </c>
      <c r="V18" s="1" t="s">
        <v>105</v>
      </c>
      <c r="W18" s="5">
        <v>1.25</v>
      </c>
      <c r="X18" s="1" t="s">
        <v>106</v>
      </c>
      <c r="Y18" s="6">
        <f>(N18*((O18+'Rates and constants'!$D$18)*(P18+0.6)-O18*P18)+0.8)*S18</f>
        <v>464.62500000000011</v>
      </c>
      <c r="Z18" s="6">
        <f t="shared" si="4"/>
        <v>55.75500000000001</v>
      </c>
      <c r="AA18" s="6">
        <f t="shared" si="5"/>
        <v>64.350000000000009</v>
      </c>
      <c r="AB18" s="6">
        <f t="shared" si="6"/>
        <v>405</v>
      </c>
      <c r="AC18" s="6">
        <f t="shared" si="7"/>
        <v>643.5</v>
      </c>
      <c r="AD18" s="6">
        <f t="shared" si="8"/>
        <v>64.350000000000009</v>
      </c>
      <c r="AE18" s="6">
        <f t="shared" si="9"/>
        <v>32.175000000000004</v>
      </c>
      <c r="AF18" s="6">
        <f t="shared" si="10"/>
        <v>32.175000000000004</v>
      </c>
      <c r="AG18" s="6">
        <f t="shared" si="11"/>
        <v>643.5</v>
      </c>
      <c r="AH18" s="6">
        <f t="shared" si="12"/>
        <v>1287</v>
      </c>
      <c r="AI18" s="6">
        <f t="shared" si="13"/>
        <v>1.4300000000000002</v>
      </c>
      <c r="AJ18" s="6">
        <f t="shared" si="14"/>
        <v>28.6</v>
      </c>
      <c r="AK18" s="6">
        <f t="shared" si="15"/>
        <v>8</v>
      </c>
      <c r="AL18" s="6">
        <f t="shared" si="16"/>
        <v>686.40000000000009</v>
      </c>
      <c r="AM18" s="6">
        <f t="shared" si="17"/>
        <v>0</v>
      </c>
      <c r="AN18" s="6">
        <f>Y18*'Rates and constants'!$D$2</f>
        <v>49668.412500000013</v>
      </c>
      <c r="AO18" s="6">
        <f>Z18*'Rates and constants'!$D$3</f>
        <v>23255.410500000005</v>
      </c>
      <c r="AP18" s="6">
        <f>AA18*'Rates and constants'!$D$4</f>
        <v>2895.7500000000005</v>
      </c>
      <c r="AQ18" s="6">
        <f>AB18*'Rates and constants'!$D$5</f>
        <v>810</v>
      </c>
      <c r="AR18" s="6">
        <f>AD18*'Rates and constants'!$D$6</f>
        <v>418.27500000000003</v>
      </c>
      <c r="AS18" s="6">
        <f>AE18*'Rates and constants'!$D$7</f>
        <v>1447.8750000000002</v>
      </c>
      <c r="AT18" s="6">
        <f>AF18*'Rates and constants'!$D$8</f>
        <v>1512.2250000000001</v>
      </c>
      <c r="AU18" s="6">
        <f>AG18*'Rates and constants'!$D$9</f>
        <v>289.57499999999999</v>
      </c>
      <c r="AV18" s="6">
        <f>AH18*'Rates and constants'!$D$10</f>
        <v>450.45</v>
      </c>
      <c r="AW18" s="6">
        <f>AI18*'Rates and constants'!$D$11</f>
        <v>5.7200000000000006</v>
      </c>
      <c r="AX18" s="6">
        <f>AJ18*'Rates and constants'!$D$12</f>
        <v>1515.8000000000002</v>
      </c>
      <c r="AY18" s="6">
        <f>AK18*'Rates and constants'!$D$13</f>
        <v>24</v>
      </c>
      <c r="AZ18" s="6">
        <f>AL18*'Rates and constants'!$D$14</f>
        <v>137.28000000000003</v>
      </c>
      <c r="BA18" s="6">
        <f>AM18*'Rates and constants'!$D$15</f>
        <v>0</v>
      </c>
      <c r="BB18" s="6">
        <f t="shared" si="18"/>
        <v>82430.773000000016</v>
      </c>
    </row>
    <row r="19" spans="1:54" x14ac:dyDescent="0.25">
      <c r="A19" s="1">
        <v>42</v>
      </c>
      <c r="B19" s="1" t="s">
        <v>140</v>
      </c>
      <c r="C19" s="1" t="s">
        <v>141</v>
      </c>
      <c r="D19" s="5">
        <v>1397.4</v>
      </c>
      <c r="E19" s="5">
        <v>496619.4</v>
      </c>
      <c r="F19" s="5">
        <v>2657981.7000000002</v>
      </c>
      <c r="G19" s="5">
        <v>81.599999999999994</v>
      </c>
      <c r="H19" s="5">
        <v>14</v>
      </c>
      <c r="I19" s="5">
        <v>2.5</v>
      </c>
      <c r="J19" s="1">
        <v>5.3E-3</v>
      </c>
      <c r="K19" s="1">
        <v>2.7</v>
      </c>
      <c r="L19" s="1">
        <f t="shared" si="0"/>
        <v>4</v>
      </c>
      <c r="M19" s="1">
        <v>0</v>
      </c>
      <c r="N19" s="1">
        <f t="shared" si="1"/>
        <v>4</v>
      </c>
      <c r="O19" s="1">
        <f>'Rates and constants'!$D$17</f>
        <v>4</v>
      </c>
      <c r="P19" s="1">
        <v>2.5</v>
      </c>
      <c r="Q19" s="1" t="str">
        <f t="shared" si="2"/>
        <v>4 x 4 x 2.5</v>
      </c>
      <c r="R19" s="5">
        <f>N19*O19+(N19+1)*'Rates and constants'!$D$18</f>
        <v>17.25</v>
      </c>
      <c r="S19" s="5">
        <f>'Rates and constants'!$D$19</f>
        <v>45</v>
      </c>
      <c r="T19" s="5">
        <v>2.15</v>
      </c>
      <c r="U19" s="5">
        <f t="shared" si="3"/>
        <v>0.86</v>
      </c>
      <c r="V19" s="1" t="s">
        <v>105</v>
      </c>
      <c r="W19" s="5">
        <v>1.86</v>
      </c>
      <c r="X19" s="1" t="s">
        <v>106</v>
      </c>
      <c r="Y19" s="6">
        <f>(N19*((O19+'Rates and constants'!$D$18)*(P19+0.6)-O19*P19)+0.8)*S19</f>
        <v>607.50000000000011</v>
      </c>
      <c r="Z19" s="6">
        <f t="shared" si="4"/>
        <v>72.900000000000006</v>
      </c>
      <c r="AA19" s="6">
        <f t="shared" si="5"/>
        <v>85.387500000000003</v>
      </c>
      <c r="AB19" s="6">
        <f t="shared" si="6"/>
        <v>405</v>
      </c>
      <c r="AC19" s="6">
        <f t="shared" si="7"/>
        <v>853.87500000000011</v>
      </c>
      <c r="AD19" s="6">
        <f t="shared" si="8"/>
        <v>85.387500000000017</v>
      </c>
      <c r="AE19" s="6">
        <f t="shared" si="9"/>
        <v>42.693750000000009</v>
      </c>
      <c r="AF19" s="6">
        <f t="shared" si="10"/>
        <v>42.693750000000009</v>
      </c>
      <c r="AG19" s="6">
        <f t="shared" si="11"/>
        <v>853.87500000000011</v>
      </c>
      <c r="AH19" s="6">
        <f t="shared" si="12"/>
        <v>1707.7500000000002</v>
      </c>
      <c r="AI19" s="6">
        <f t="shared" si="13"/>
        <v>1.8975000000000002</v>
      </c>
      <c r="AJ19" s="6">
        <f t="shared" si="14"/>
        <v>37.950000000000003</v>
      </c>
      <c r="AK19" s="6">
        <f t="shared" si="15"/>
        <v>10</v>
      </c>
      <c r="AL19" s="6">
        <f t="shared" si="16"/>
        <v>910.80000000000007</v>
      </c>
      <c r="AM19" s="6">
        <f t="shared" si="17"/>
        <v>0</v>
      </c>
      <c r="AN19" s="6">
        <f>Y19*'Rates and constants'!$D$2</f>
        <v>64941.750000000015</v>
      </c>
      <c r="AO19" s="6">
        <f>Z19*'Rates and constants'!$D$3</f>
        <v>30406.590000000004</v>
      </c>
      <c r="AP19" s="6">
        <f>AA19*'Rates and constants'!$D$4</f>
        <v>3842.4375</v>
      </c>
      <c r="AQ19" s="6">
        <f>AB19*'Rates and constants'!$D$5</f>
        <v>810</v>
      </c>
      <c r="AR19" s="6">
        <f>AD19*'Rates and constants'!$D$6</f>
        <v>555.01875000000007</v>
      </c>
      <c r="AS19" s="6">
        <f>AE19*'Rates and constants'!$D$7</f>
        <v>1921.2187500000005</v>
      </c>
      <c r="AT19" s="6">
        <f>AF19*'Rates and constants'!$D$8</f>
        <v>2006.6062500000005</v>
      </c>
      <c r="AU19" s="6">
        <f>AG19*'Rates and constants'!$D$9</f>
        <v>384.24375000000003</v>
      </c>
      <c r="AV19" s="6">
        <f>AH19*'Rates and constants'!$D$10</f>
        <v>597.71250000000009</v>
      </c>
      <c r="AW19" s="6">
        <f>AI19*'Rates and constants'!$D$11</f>
        <v>7.5900000000000007</v>
      </c>
      <c r="AX19" s="6">
        <f>AJ19*'Rates and constants'!$D$12</f>
        <v>2011.3500000000001</v>
      </c>
      <c r="AY19" s="6">
        <f>AK19*'Rates and constants'!$D$13</f>
        <v>30</v>
      </c>
      <c r="AZ19" s="6">
        <f>AL19*'Rates and constants'!$D$14</f>
        <v>182.16000000000003</v>
      </c>
      <c r="BA19" s="6">
        <f>AM19*'Rates and constants'!$D$15</f>
        <v>0</v>
      </c>
      <c r="BB19" s="6">
        <f t="shared" si="18"/>
        <v>107696.67750000002</v>
      </c>
    </row>
    <row r="20" spans="1:54" x14ac:dyDescent="0.25">
      <c r="A20" s="1">
        <v>43</v>
      </c>
      <c r="B20" s="1" t="s">
        <v>142</v>
      </c>
      <c r="C20" s="1" t="s">
        <v>143</v>
      </c>
      <c r="D20" s="5">
        <v>2686.4</v>
      </c>
      <c r="E20" s="5">
        <v>498580.9</v>
      </c>
      <c r="F20" s="5">
        <v>2656323.5</v>
      </c>
      <c r="G20" s="5">
        <v>207</v>
      </c>
      <c r="H20" s="5">
        <v>38.5</v>
      </c>
      <c r="I20" s="5">
        <v>2.5</v>
      </c>
      <c r="J20" s="1">
        <v>3.7000000000000002E-3</v>
      </c>
      <c r="K20" s="1">
        <v>6.2</v>
      </c>
      <c r="L20" s="1">
        <f t="shared" si="0"/>
        <v>10</v>
      </c>
      <c r="M20" s="1">
        <v>0</v>
      </c>
      <c r="N20" s="1">
        <f t="shared" si="1"/>
        <v>10</v>
      </c>
      <c r="O20" s="1">
        <f>'Rates and constants'!$D$17</f>
        <v>4</v>
      </c>
      <c r="P20" s="1">
        <v>2.5</v>
      </c>
      <c r="Q20" s="1" t="str">
        <f t="shared" si="2"/>
        <v>10 x 4 x 2.5</v>
      </c>
      <c r="R20" s="5">
        <f>N20*O20+(N20+1)*'Rates and constants'!$D$18</f>
        <v>42.75</v>
      </c>
      <c r="S20" s="5">
        <f>'Rates and constants'!$D$19</f>
        <v>45</v>
      </c>
      <c r="T20" s="5">
        <v>2.1800000000000002</v>
      </c>
      <c r="U20" s="5">
        <f t="shared" si="3"/>
        <v>0.87200000000000011</v>
      </c>
      <c r="V20" s="1" t="s">
        <v>105</v>
      </c>
      <c r="W20" s="5">
        <v>1.87</v>
      </c>
      <c r="X20" s="1" t="s">
        <v>106</v>
      </c>
      <c r="Y20" s="6">
        <f>(N20*((O20+'Rates and constants'!$D$18)*(P20+0.6)-O20*P20)+0.8)*S20</f>
        <v>1464.7500000000002</v>
      </c>
      <c r="Z20" s="6">
        <f t="shared" si="4"/>
        <v>175.77</v>
      </c>
      <c r="AA20" s="6">
        <f t="shared" si="5"/>
        <v>211.61250000000001</v>
      </c>
      <c r="AB20" s="6">
        <f t="shared" si="6"/>
        <v>405</v>
      </c>
      <c r="AC20" s="6">
        <f t="shared" si="7"/>
        <v>2116.125</v>
      </c>
      <c r="AD20" s="6">
        <f t="shared" si="8"/>
        <v>211.61250000000001</v>
      </c>
      <c r="AE20" s="6">
        <f t="shared" si="9"/>
        <v>105.80625000000001</v>
      </c>
      <c r="AF20" s="6">
        <f t="shared" si="10"/>
        <v>105.80625000000001</v>
      </c>
      <c r="AG20" s="6">
        <f t="shared" si="11"/>
        <v>2116.125</v>
      </c>
      <c r="AH20" s="6">
        <f t="shared" si="12"/>
        <v>4232.25</v>
      </c>
      <c r="AI20" s="6">
        <f t="shared" si="13"/>
        <v>4.7025000000000006</v>
      </c>
      <c r="AJ20" s="6">
        <f t="shared" si="14"/>
        <v>94.050000000000011</v>
      </c>
      <c r="AK20" s="6">
        <f t="shared" si="15"/>
        <v>24</v>
      </c>
      <c r="AL20" s="6">
        <f t="shared" si="16"/>
        <v>2257.2000000000003</v>
      </c>
      <c r="AM20" s="6">
        <f t="shared" si="17"/>
        <v>0</v>
      </c>
      <c r="AN20" s="6">
        <f>Y20*'Rates and constants'!$D$2</f>
        <v>156581.77500000002</v>
      </c>
      <c r="AO20" s="6">
        <f>Z20*'Rates and constants'!$D$3</f>
        <v>73313.667000000001</v>
      </c>
      <c r="AP20" s="6">
        <f>AA20*'Rates and constants'!$D$4</f>
        <v>9522.5625</v>
      </c>
      <c r="AQ20" s="6">
        <f>AB20*'Rates and constants'!$D$5</f>
        <v>810</v>
      </c>
      <c r="AR20" s="6">
        <f>AD20*'Rates and constants'!$D$6</f>
        <v>1375.48125</v>
      </c>
      <c r="AS20" s="6">
        <f>AE20*'Rates and constants'!$D$7</f>
        <v>4761.28125</v>
      </c>
      <c r="AT20" s="6">
        <f>AF20*'Rates and constants'!$D$8</f>
        <v>4972.8937500000002</v>
      </c>
      <c r="AU20" s="6">
        <f>AG20*'Rates and constants'!$D$9</f>
        <v>952.25625000000002</v>
      </c>
      <c r="AV20" s="6">
        <f>AH20*'Rates and constants'!$D$10</f>
        <v>1481.2874999999999</v>
      </c>
      <c r="AW20" s="6">
        <f>AI20*'Rates and constants'!$D$11</f>
        <v>18.810000000000002</v>
      </c>
      <c r="AX20" s="6">
        <f>AJ20*'Rates and constants'!$D$12</f>
        <v>4984.6500000000005</v>
      </c>
      <c r="AY20" s="6">
        <f>AK20*'Rates and constants'!$D$13</f>
        <v>72</v>
      </c>
      <c r="AZ20" s="6">
        <f>AL20*'Rates and constants'!$D$14</f>
        <v>451.44000000000005</v>
      </c>
      <c r="BA20" s="6">
        <f>AM20*'Rates and constants'!$D$15</f>
        <v>0</v>
      </c>
      <c r="BB20" s="6">
        <f t="shared" si="18"/>
        <v>259298.10450000004</v>
      </c>
    </row>
    <row r="21" spans="1:54" x14ac:dyDescent="0.25">
      <c r="A21" s="1">
        <v>44</v>
      </c>
      <c r="B21" s="1" t="s">
        <v>144</v>
      </c>
      <c r="C21" s="1" t="s">
        <v>145</v>
      </c>
      <c r="D21" s="5">
        <v>733</v>
      </c>
      <c r="E21" s="5">
        <v>499947.7</v>
      </c>
      <c r="F21" s="5">
        <v>2655131.4</v>
      </c>
      <c r="G21" s="5">
        <v>119</v>
      </c>
      <c r="H21" s="5">
        <v>37</v>
      </c>
      <c r="I21" s="5">
        <v>2.5</v>
      </c>
      <c r="J21" s="1">
        <v>1.1599999999999999E-2</v>
      </c>
      <c r="K21" s="1">
        <v>1.3</v>
      </c>
      <c r="L21" s="1">
        <f t="shared" si="0"/>
        <v>10</v>
      </c>
      <c r="M21" s="1">
        <v>0</v>
      </c>
      <c r="N21" s="1">
        <f t="shared" si="1"/>
        <v>10</v>
      </c>
      <c r="O21" s="1">
        <f>'Rates and constants'!$D$17</f>
        <v>4</v>
      </c>
      <c r="P21" s="1">
        <v>2.5</v>
      </c>
      <c r="Q21" s="1" t="str">
        <f t="shared" si="2"/>
        <v>10 x 4 x 2.5</v>
      </c>
      <c r="R21" s="5">
        <f>N21*O21+(N21+1)*'Rates and constants'!$D$18</f>
        <v>42.75</v>
      </c>
      <c r="S21" s="5">
        <f>'Rates and constants'!$D$19</f>
        <v>45</v>
      </c>
      <c r="T21" s="5">
        <v>1.48</v>
      </c>
      <c r="U21" s="5">
        <f t="shared" si="3"/>
        <v>0.59199999999999997</v>
      </c>
      <c r="V21" s="1" t="s">
        <v>105</v>
      </c>
      <c r="W21" s="5">
        <v>0.96</v>
      </c>
      <c r="X21" s="1" t="s">
        <v>106</v>
      </c>
      <c r="Y21" s="6">
        <f>(N21*((O21+'Rates and constants'!$D$18)*(P21+0.6)-O21*P21)+0.8)*S21</f>
        <v>1464.7500000000002</v>
      </c>
      <c r="Z21" s="6">
        <f t="shared" si="4"/>
        <v>175.77</v>
      </c>
      <c r="AA21" s="6">
        <f t="shared" si="5"/>
        <v>211.61250000000001</v>
      </c>
      <c r="AB21" s="6">
        <f t="shared" si="6"/>
        <v>405</v>
      </c>
      <c r="AC21" s="6">
        <f t="shared" si="7"/>
        <v>2116.125</v>
      </c>
      <c r="AD21" s="6">
        <f t="shared" si="8"/>
        <v>211.61250000000001</v>
      </c>
      <c r="AE21" s="6">
        <f t="shared" si="9"/>
        <v>105.80625000000001</v>
      </c>
      <c r="AF21" s="6">
        <f t="shared" si="10"/>
        <v>105.80625000000001</v>
      </c>
      <c r="AG21" s="6">
        <f t="shared" si="11"/>
        <v>2116.125</v>
      </c>
      <c r="AH21" s="6">
        <f t="shared" si="12"/>
        <v>4232.25</v>
      </c>
      <c r="AI21" s="6">
        <f t="shared" si="13"/>
        <v>4.7025000000000006</v>
      </c>
      <c r="AJ21" s="6">
        <f t="shared" si="14"/>
        <v>94.050000000000011</v>
      </c>
      <c r="AK21" s="6">
        <f t="shared" si="15"/>
        <v>24</v>
      </c>
      <c r="AL21" s="6">
        <f t="shared" si="16"/>
        <v>2257.2000000000003</v>
      </c>
      <c r="AM21" s="6">
        <f t="shared" si="17"/>
        <v>0</v>
      </c>
      <c r="AN21" s="6">
        <f>Y21*'Rates and constants'!$D$2</f>
        <v>156581.77500000002</v>
      </c>
      <c r="AO21" s="6">
        <f>Z21*'Rates and constants'!$D$3</f>
        <v>73313.667000000001</v>
      </c>
      <c r="AP21" s="6">
        <f>AA21*'Rates and constants'!$D$4</f>
        <v>9522.5625</v>
      </c>
      <c r="AQ21" s="6">
        <f>AB21*'Rates and constants'!$D$5</f>
        <v>810</v>
      </c>
      <c r="AR21" s="6">
        <f>AD21*'Rates and constants'!$D$6</f>
        <v>1375.48125</v>
      </c>
      <c r="AS21" s="6">
        <f>AE21*'Rates and constants'!$D$7</f>
        <v>4761.28125</v>
      </c>
      <c r="AT21" s="6">
        <f>AF21*'Rates and constants'!$D$8</f>
        <v>4972.8937500000002</v>
      </c>
      <c r="AU21" s="6">
        <f>AG21*'Rates and constants'!$D$9</f>
        <v>952.25625000000002</v>
      </c>
      <c r="AV21" s="6">
        <f>AH21*'Rates and constants'!$D$10</f>
        <v>1481.2874999999999</v>
      </c>
      <c r="AW21" s="6">
        <f>AI21*'Rates and constants'!$D$11</f>
        <v>18.810000000000002</v>
      </c>
      <c r="AX21" s="6">
        <f>AJ21*'Rates and constants'!$D$12</f>
        <v>4984.6500000000005</v>
      </c>
      <c r="AY21" s="6">
        <f>AK21*'Rates and constants'!$D$13</f>
        <v>72</v>
      </c>
      <c r="AZ21" s="6">
        <f>AL21*'Rates and constants'!$D$14</f>
        <v>451.44000000000005</v>
      </c>
      <c r="BA21" s="6">
        <f>AM21*'Rates and constants'!$D$15</f>
        <v>0</v>
      </c>
      <c r="BB21" s="6">
        <f t="shared" si="18"/>
        <v>259298.10450000004</v>
      </c>
    </row>
    <row r="22" spans="1:54" x14ac:dyDescent="0.25">
      <c r="A22" s="1">
        <v>46</v>
      </c>
      <c r="B22" s="1" t="s">
        <v>146</v>
      </c>
      <c r="C22" s="1" t="s">
        <v>147</v>
      </c>
      <c r="D22" s="5">
        <v>0</v>
      </c>
      <c r="E22" s="5">
        <v>500130.5</v>
      </c>
      <c r="F22" s="5">
        <v>2654973.2999999998</v>
      </c>
      <c r="G22" s="5">
        <v>72</v>
      </c>
      <c r="H22" s="5">
        <v>12.5</v>
      </c>
      <c r="I22" s="5">
        <v>2.5</v>
      </c>
      <c r="J22" s="1">
        <v>5.5999999999999999E-3</v>
      </c>
      <c r="K22" s="1">
        <v>3.4</v>
      </c>
      <c r="L22" s="1">
        <f t="shared" si="0"/>
        <v>4</v>
      </c>
      <c r="M22" s="1">
        <v>0</v>
      </c>
      <c r="N22" s="1">
        <f t="shared" si="1"/>
        <v>4</v>
      </c>
      <c r="O22" s="1">
        <f>'Rates and constants'!$D$17</f>
        <v>4</v>
      </c>
      <c r="P22" s="1">
        <v>2.5</v>
      </c>
      <c r="Q22" s="1" t="str">
        <f t="shared" si="2"/>
        <v>4 x 4 x 2.5</v>
      </c>
      <c r="R22" s="5">
        <f>N22*O22+(N22+1)*'Rates and constants'!$D$18</f>
        <v>17.25</v>
      </c>
      <c r="S22" s="5">
        <f>'Rates and constants'!$D$19</f>
        <v>45</v>
      </c>
      <c r="T22" s="5">
        <v>1.98</v>
      </c>
      <c r="U22" s="5">
        <f t="shared" si="3"/>
        <v>0.79200000000000004</v>
      </c>
      <c r="V22" s="1" t="s">
        <v>105</v>
      </c>
      <c r="W22" s="5">
        <v>1.84</v>
      </c>
      <c r="X22" s="1" t="s">
        <v>106</v>
      </c>
      <c r="Y22" s="6">
        <f>(N22*((O22+'Rates and constants'!$D$18)*(P22+0.6)-O22*P22)+0.8)*S22</f>
        <v>607.50000000000011</v>
      </c>
      <c r="Z22" s="6">
        <f t="shared" si="4"/>
        <v>72.900000000000006</v>
      </c>
      <c r="AA22" s="6">
        <f t="shared" si="5"/>
        <v>85.387500000000003</v>
      </c>
      <c r="AB22" s="6">
        <f t="shared" si="6"/>
        <v>405</v>
      </c>
      <c r="AC22" s="6">
        <f t="shared" si="7"/>
        <v>853.87500000000011</v>
      </c>
      <c r="AD22" s="6">
        <f t="shared" si="8"/>
        <v>85.387500000000017</v>
      </c>
      <c r="AE22" s="6">
        <f t="shared" si="9"/>
        <v>42.693750000000009</v>
      </c>
      <c r="AF22" s="6">
        <f t="shared" si="10"/>
        <v>42.693750000000009</v>
      </c>
      <c r="AG22" s="6">
        <f t="shared" si="11"/>
        <v>853.87500000000011</v>
      </c>
      <c r="AH22" s="6">
        <f t="shared" si="12"/>
        <v>1707.7500000000002</v>
      </c>
      <c r="AI22" s="6">
        <f t="shared" si="13"/>
        <v>1.8975000000000002</v>
      </c>
      <c r="AJ22" s="6">
        <f t="shared" si="14"/>
        <v>37.950000000000003</v>
      </c>
      <c r="AK22" s="6">
        <f t="shared" si="15"/>
        <v>10</v>
      </c>
      <c r="AL22" s="6">
        <f t="shared" si="16"/>
        <v>910.80000000000007</v>
      </c>
      <c r="AM22" s="6">
        <f t="shared" si="17"/>
        <v>0</v>
      </c>
      <c r="AN22" s="6">
        <f>Y22*'Rates and constants'!$D$2</f>
        <v>64941.750000000015</v>
      </c>
      <c r="AO22" s="6">
        <f>Z22*'Rates and constants'!$D$3</f>
        <v>30406.590000000004</v>
      </c>
      <c r="AP22" s="6">
        <f>AA22*'Rates and constants'!$D$4</f>
        <v>3842.4375</v>
      </c>
      <c r="AQ22" s="6">
        <f>AB22*'Rates and constants'!$D$5</f>
        <v>810</v>
      </c>
      <c r="AR22" s="6">
        <f>AD22*'Rates and constants'!$D$6</f>
        <v>555.01875000000007</v>
      </c>
      <c r="AS22" s="6">
        <f>AE22*'Rates and constants'!$D$7</f>
        <v>1921.2187500000005</v>
      </c>
      <c r="AT22" s="6">
        <f>AF22*'Rates and constants'!$D$8</f>
        <v>2006.6062500000005</v>
      </c>
      <c r="AU22" s="6">
        <f>AG22*'Rates and constants'!$D$9</f>
        <v>384.24375000000003</v>
      </c>
      <c r="AV22" s="6">
        <f>AH22*'Rates and constants'!$D$10</f>
        <v>597.71250000000009</v>
      </c>
      <c r="AW22" s="6">
        <f>AI22*'Rates and constants'!$D$11</f>
        <v>7.5900000000000007</v>
      </c>
      <c r="AX22" s="6">
        <f>AJ22*'Rates and constants'!$D$12</f>
        <v>2011.3500000000001</v>
      </c>
      <c r="AY22" s="6">
        <f>AK22*'Rates and constants'!$D$13</f>
        <v>30</v>
      </c>
      <c r="AZ22" s="6">
        <f>AL22*'Rates and constants'!$D$14</f>
        <v>182.16000000000003</v>
      </c>
      <c r="BA22" s="6">
        <f>AM22*'Rates and constants'!$D$15</f>
        <v>0</v>
      </c>
      <c r="BB22" s="6">
        <f t="shared" si="18"/>
        <v>107696.67750000002</v>
      </c>
    </row>
    <row r="23" spans="1:54" x14ac:dyDescent="0.25">
      <c r="A23" s="1">
        <v>49</v>
      </c>
      <c r="B23" s="1" t="s">
        <v>148</v>
      </c>
      <c r="C23" s="1" t="s">
        <v>149</v>
      </c>
      <c r="D23" s="5">
        <v>11456.8</v>
      </c>
      <c r="E23" s="5">
        <v>486437.8</v>
      </c>
      <c r="F23" s="5">
        <v>2666648.2999999998</v>
      </c>
      <c r="G23" s="5">
        <v>555</v>
      </c>
      <c r="H23" s="5">
        <v>86.5</v>
      </c>
      <c r="I23" s="5">
        <v>2.5</v>
      </c>
      <c r="J23" s="1">
        <v>4.8999999999999998E-3</v>
      </c>
      <c r="K23" s="1">
        <v>2.8</v>
      </c>
      <c r="L23" s="1">
        <f t="shared" si="0"/>
        <v>22</v>
      </c>
      <c r="M23" s="1">
        <v>0</v>
      </c>
      <c r="N23" s="1">
        <f t="shared" si="1"/>
        <v>22</v>
      </c>
      <c r="O23" s="1">
        <f>'Rates and constants'!$D$17</f>
        <v>4</v>
      </c>
      <c r="P23" s="1">
        <v>2.5</v>
      </c>
      <c r="Q23" s="1" t="str">
        <f t="shared" si="2"/>
        <v>22 x 4 x 2.5</v>
      </c>
      <c r="R23" s="5">
        <f>N23*O23+(N23+1)*'Rates and constants'!$D$18</f>
        <v>93.75</v>
      </c>
      <c r="S23" s="5">
        <f>'Rates and constants'!$D$19</f>
        <v>45</v>
      </c>
      <c r="T23" s="5">
        <v>2.4900000000000002</v>
      </c>
      <c r="U23" s="5">
        <f t="shared" si="3"/>
        <v>0.99600000000000011</v>
      </c>
      <c r="V23" s="1" t="s">
        <v>105</v>
      </c>
      <c r="W23" s="5">
        <v>1.87</v>
      </c>
      <c r="X23" s="1" t="s">
        <v>106</v>
      </c>
      <c r="Y23" s="6">
        <f>(N23*((O23+'Rates and constants'!$D$18)*(P23+0.6)-O23*P23)+0.8)*S23</f>
        <v>3179.2500000000009</v>
      </c>
      <c r="Z23" s="6">
        <f t="shared" si="4"/>
        <v>381.5100000000001</v>
      </c>
      <c r="AA23" s="6">
        <f t="shared" si="5"/>
        <v>464.06250000000006</v>
      </c>
      <c r="AB23" s="6">
        <f t="shared" si="6"/>
        <v>405</v>
      </c>
      <c r="AC23" s="6">
        <f t="shared" si="7"/>
        <v>4640.625</v>
      </c>
      <c r="AD23" s="6">
        <f t="shared" si="8"/>
        <v>464.0625</v>
      </c>
      <c r="AE23" s="6">
        <f t="shared" si="9"/>
        <v>232.03125</v>
      </c>
      <c r="AF23" s="6">
        <f t="shared" si="10"/>
        <v>232.03125</v>
      </c>
      <c r="AG23" s="6">
        <f t="shared" si="11"/>
        <v>4640.625</v>
      </c>
      <c r="AH23" s="6">
        <f t="shared" si="12"/>
        <v>9281.25</v>
      </c>
      <c r="AI23" s="6">
        <f t="shared" si="13"/>
        <v>10.3125</v>
      </c>
      <c r="AJ23" s="6">
        <f t="shared" si="14"/>
        <v>206.25000000000003</v>
      </c>
      <c r="AK23" s="6">
        <f t="shared" si="15"/>
        <v>52</v>
      </c>
      <c r="AL23" s="6">
        <f t="shared" si="16"/>
        <v>4950</v>
      </c>
      <c r="AM23" s="6">
        <f t="shared" si="17"/>
        <v>0</v>
      </c>
      <c r="AN23" s="6">
        <f>Y23*'Rates and constants'!$D$2</f>
        <v>339861.82500000013</v>
      </c>
      <c r="AO23" s="6">
        <f>Z23*'Rates and constants'!$D$3</f>
        <v>159127.82100000005</v>
      </c>
      <c r="AP23" s="6">
        <f>AA23*'Rates and constants'!$D$4</f>
        <v>20882.812500000004</v>
      </c>
      <c r="AQ23" s="6">
        <f>AB23*'Rates and constants'!$D$5</f>
        <v>810</v>
      </c>
      <c r="AR23" s="6">
        <f>AD23*'Rates and constants'!$D$6</f>
        <v>3016.40625</v>
      </c>
      <c r="AS23" s="6">
        <f>AE23*'Rates and constants'!$D$7</f>
        <v>10441.40625</v>
      </c>
      <c r="AT23" s="6">
        <f>AF23*'Rates and constants'!$D$8</f>
        <v>10905.46875</v>
      </c>
      <c r="AU23" s="6">
        <f>AG23*'Rates and constants'!$D$9</f>
        <v>2088.28125</v>
      </c>
      <c r="AV23" s="6">
        <f>AH23*'Rates and constants'!$D$10</f>
        <v>3248.4375</v>
      </c>
      <c r="AW23" s="6">
        <f>AI23*'Rates and constants'!$D$11</f>
        <v>41.25</v>
      </c>
      <c r="AX23" s="6">
        <f>AJ23*'Rates and constants'!$D$12</f>
        <v>10931.250000000002</v>
      </c>
      <c r="AY23" s="6">
        <f>AK23*'Rates and constants'!$D$13</f>
        <v>156</v>
      </c>
      <c r="AZ23" s="6">
        <f>AL23*'Rates and constants'!$D$14</f>
        <v>990</v>
      </c>
      <c r="BA23" s="6">
        <f>AM23*'Rates and constants'!$D$15</f>
        <v>0</v>
      </c>
      <c r="BB23" s="6">
        <f t="shared" si="18"/>
        <v>562500.95850000018</v>
      </c>
    </row>
    <row r="24" spans="1:54" x14ac:dyDescent="0.25">
      <c r="A24" s="1">
        <v>52</v>
      </c>
      <c r="B24" s="1" t="s">
        <v>150</v>
      </c>
      <c r="C24" s="1" t="s">
        <v>151</v>
      </c>
      <c r="D24" s="5">
        <v>0</v>
      </c>
      <c r="E24" s="5">
        <v>485539.8</v>
      </c>
      <c r="F24" s="5">
        <v>2667697.4</v>
      </c>
      <c r="G24" s="5">
        <v>250.8</v>
      </c>
      <c r="H24" s="5">
        <v>49</v>
      </c>
      <c r="I24" s="5">
        <v>2.5</v>
      </c>
      <c r="J24" s="1">
        <v>3.3E-3</v>
      </c>
      <c r="K24" s="1">
        <v>1.1000000000000001</v>
      </c>
      <c r="L24" s="1">
        <f t="shared" si="0"/>
        <v>13</v>
      </c>
      <c r="M24" s="1">
        <v>0</v>
      </c>
      <c r="N24" s="1">
        <f t="shared" si="1"/>
        <v>13</v>
      </c>
      <c r="O24" s="1">
        <f>'Rates and constants'!$D$17</f>
        <v>4</v>
      </c>
      <c r="P24" s="1">
        <v>2.5</v>
      </c>
      <c r="Q24" s="1" t="str">
        <f t="shared" si="2"/>
        <v>13 x 4 x 2.5</v>
      </c>
      <c r="R24" s="5">
        <f>N24*O24+(N24+1)*'Rates and constants'!$D$18</f>
        <v>55.5</v>
      </c>
      <c r="S24" s="5">
        <f>'Rates and constants'!$D$19</f>
        <v>45</v>
      </c>
      <c r="T24" s="5">
        <v>2.08</v>
      </c>
      <c r="U24" s="5">
        <f t="shared" si="3"/>
        <v>0.83200000000000007</v>
      </c>
      <c r="V24" s="1" t="s">
        <v>105</v>
      </c>
      <c r="W24" s="5">
        <v>1.86</v>
      </c>
      <c r="X24" s="1" t="s">
        <v>106</v>
      </c>
      <c r="Y24" s="6">
        <f>(N24*((O24+'Rates and constants'!$D$18)*(P24+0.6)-O24*P24)+0.8)*S24</f>
        <v>1893.3750000000002</v>
      </c>
      <c r="Z24" s="6">
        <f t="shared" si="4"/>
        <v>227.20500000000001</v>
      </c>
      <c r="AA24" s="6">
        <f t="shared" si="5"/>
        <v>274.72500000000002</v>
      </c>
      <c r="AB24" s="6">
        <f t="shared" si="6"/>
        <v>405</v>
      </c>
      <c r="AC24" s="6">
        <f t="shared" si="7"/>
        <v>2747.25</v>
      </c>
      <c r="AD24" s="6">
        <f t="shared" si="8"/>
        <v>274.72500000000002</v>
      </c>
      <c r="AE24" s="6">
        <f t="shared" si="9"/>
        <v>137.36250000000001</v>
      </c>
      <c r="AF24" s="6">
        <f t="shared" si="10"/>
        <v>137.36250000000001</v>
      </c>
      <c r="AG24" s="6">
        <f t="shared" si="11"/>
        <v>2747.25</v>
      </c>
      <c r="AH24" s="6">
        <f t="shared" si="12"/>
        <v>5494.5</v>
      </c>
      <c r="AI24" s="6">
        <f t="shared" si="13"/>
        <v>6.1050000000000013</v>
      </c>
      <c r="AJ24" s="6">
        <f t="shared" si="14"/>
        <v>122.10000000000001</v>
      </c>
      <c r="AK24" s="6">
        <f t="shared" si="15"/>
        <v>31</v>
      </c>
      <c r="AL24" s="6">
        <f t="shared" si="16"/>
        <v>2930.4</v>
      </c>
      <c r="AM24" s="6">
        <f t="shared" si="17"/>
        <v>0</v>
      </c>
      <c r="AN24" s="6">
        <f>Y24*'Rates and constants'!$D$2</f>
        <v>202401.78750000003</v>
      </c>
      <c r="AO24" s="6">
        <f>Z24*'Rates and constants'!$D$3</f>
        <v>94767.205500000011</v>
      </c>
      <c r="AP24" s="6">
        <f>AA24*'Rates and constants'!$D$4</f>
        <v>12362.625000000002</v>
      </c>
      <c r="AQ24" s="6">
        <f>AB24*'Rates and constants'!$D$5</f>
        <v>810</v>
      </c>
      <c r="AR24" s="6">
        <f>AD24*'Rates and constants'!$D$6</f>
        <v>1785.7125000000001</v>
      </c>
      <c r="AS24" s="6">
        <f>AE24*'Rates and constants'!$D$7</f>
        <v>6181.3125000000009</v>
      </c>
      <c r="AT24" s="6">
        <f>AF24*'Rates and constants'!$D$8</f>
        <v>6456.0375000000004</v>
      </c>
      <c r="AU24" s="6">
        <f>AG24*'Rates and constants'!$D$9</f>
        <v>1236.2625</v>
      </c>
      <c r="AV24" s="6">
        <f>AH24*'Rates and constants'!$D$10</f>
        <v>1923.0749999999998</v>
      </c>
      <c r="AW24" s="6">
        <f>AI24*'Rates and constants'!$D$11</f>
        <v>24.420000000000005</v>
      </c>
      <c r="AX24" s="6">
        <f>AJ24*'Rates and constants'!$D$12</f>
        <v>6471.3</v>
      </c>
      <c r="AY24" s="6">
        <f>AK24*'Rates and constants'!$D$13</f>
        <v>93</v>
      </c>
      <c r="AZ24" s="6">
        <f>AL24*'Rates and constants'!$D$14</f>
        <v>586.08000000000004</v>
      </c>
      <c r="BA24" s="6">
        <f>AM24*'Rates and constants'!$D$15</f>
        <v>0</v>
      </c>
      <c r="BB24" s="6">
        <f t="shared" si="18"/>
        <v>335098.81800000003</v>
      </c>
    </row>
    <row r="25" spans="1:54" x14ac:dyDescent="0.25">
      <c r="A25" s="1">
        <v>56</v>
      </c>
      <c r="B25" s="1" t="s">
        <v>152</v>
      </c>
      <c r="C25" s="1" t="s">
        <v>153</v>
      </c>
      <c r="D25" s="5">
        <v>3529.9</v>
      </c>
      <c r="E25" s="5">
        <v>482132.8</v>
      </c>
      <c r="F25" s="5">
        <v>2672291.6</v>
      </c>
      <c r="G25" s="5">
        <v>1348.8</v>
      </c>
      <c r="H25" s="5">
        <v>238</v>
      </c>
      <c r="I25" s="5">
        <v>2.5</v>
      </c>
      <c r="J25" s="1">
        <v>6.0000000000000001E-3</v>
      </c>
      <c r="K25" s="1">
        <v>3.2</v>
      </c>
      <c r="L25" s="1">
        <f t="shared" si="0"/>
        <v>60</v>
      </c>
      <c r="M25" s="1">
        <v>0</v>
      </c>
      <c r="N25" s="1">
        <f t="shared" si="1"/>
        <v>60</v>
      </c>
      <c r="O25" s="1">
        <f>'Rates and constants'!$D$17</f>
        <v>4</v>
      </c>
      <c r="P25" s="1">
        <v>2.5</v>
      </c>
      <c r="Q25" s="1" t="str">
        <f t="shared" si="2"/>
        <v>60 x 4 x 2.5</v>
      </c>
      <c r="R25" s="5">
        <f>N25*O25+(N25+1)*'Rates and constants'!$D$18</f>
        <v>255.25</v>
      </c>
      <c r="S25" s="5">
        <f>'Rates and constants'!$D$19</f>
        <v>45</v>
      </c>
      <c r="T25" s="5">
        <v>2.2999999999999998</v>
      </c>
      <c r="U25" s="5">
        <f t="shared" si="3"/>
        <v>0.91999999999999993</v>
      </c>
      <c r="V25" s="1" t="s">
        <v>105</v>
      </c>
      <c r="W25" s="5">
        <v>1.61</v>
      </c>
      <c r="X25" s="1" t="s">
        <v>106</v>
      </c>
      <c r="Y25" s="6">
        <f>(N25*((O25+'Rates and constants'!$D$18)*(P25+0.6)-O25*P25)+0.8)*S25</f>
        <v>8608.5000000000036</v>
      </c>
      <c r="Z25" s="6">
        <f t="shared" si="4"/>
        <v>1033.0200000000004</v>
      </c>
      <c r="AA25" s="6">
        <f t="shared" si="5"/>
        <v>1263.4875000000002</v>
      </c>
      <c r="AB25" s="6">
        <f t="shared" si="6"/>
        <v>405</v>
      </c>
      <c r="AC25" s="6">
        <f t="shared" si="7"/>
        <v>12634.875000000002</v>
      </c>
      <c r="AD25" s="6">
        <f t="shared" si="8"/>
        <v>1263.4875000000002</v>
      </c>
      <c r="AE25" s="6">
        <f t="shared" si="9"/>
        <v>631.74375000000009</v>
      </c>
      <c r="AF25" s="6">
        <f t="shared" si="10"/>
        <v>631.74375000000009</v>
      </c>
      <c r="AG25" s="6">
        <f t="shared" si="11"/>
        <v>12634.875000000002</v>
      </c>
      <c r="AH25" s="6">
        <f t="shared" si="12"/>
        <v>25269.750000000004</v>
      </c>
      <c r="AI25" s="6">
        <f t="shared" si="13"/>
        <v>28.077500000000004</v>
      </c>
      <c r="AJ25" s="6">
        <f t="shared" si="14"/>
        <v>561.55000000000007</v>
      </c>
      <c r="AK25" s="6">
        <f t="shared" si="15"/>
        <v>141</v>
      </c>
      <c r="AL25" s="6">
        <f t="shared" si="16"/>
        <v>13477.2</v>
      </c>
      <c r="AM25" s="6">
        <f t="shared" si="17"/>
        <v>0</v>
      </c>
      <c r="AN25" s="6">
        <f>Y25*'Rates and constants'!$D$2</f>
        <v>920248.65000000049</v>
      </c>
      <c r="AO25" s="6">
        <f>Z25*'Rates and constants'!$D$3</f>
        <v>430872.64200000023</v>
      </c>
      <c r="AP25" s="6">
        <f>AA25*'Rates and constants'!$D$4</f>
        <v>56856.937500000007</v>
      </c>
      <c r="AQ25" s="6">
        <f>AB25*'Rates and constants'!$D$5</f>
        <v>810</v>
      </c>
      <c r="AR25" s="6">
        <f>AD25*'Rates and constants'!$D$6</f>
        <v>8212.6687500000007</v>
      </c>
      <c r="AS25" s="6">
        <f>AE25*'Rates and constants'!$D$7</f>
        <v>28428.468750000004</v>
      </c>
      <c r="AT25" s="6">
        <f>AF25*'Rates and constants'!$D$8</f>
        <v>29691.956250000003</v>
      </c>
      <c r="AU25" s="6">
        <f>AG25*'Rates and constants'!$D$9</f>
        <v>5685.6937500000013</v>
      </c>
      <c r="AV25" s="6">
        <f>AH25*'Rates and constants'!$D$10</f>
        <v>8844.4125000000004</v>
      </c>
      <c r="AW25" s="6">
        <f>AI25*'Rates and constants'!$D$11</f>
        <v>112.31000000000002</v>
      </c>
      <c r="AX25" s="6">
        <f>AJ25*'Rates and constants'!$D$12</f>
        <v>29762.150000000005</v>
      </c>
      <c r="AY25" s="6">
        <f>AK25*'Rates and constants'!$D$13</f>
        <v>423</v>
      </c>
      <c r="AZ25" s="6">
        <f>AL25*'Rates and constants'!$D$14</f>
        <v>2695.4400000000005</v>
      </c>
      <c r="BA25" s="6">
        <f>AM25*'Rates and constants'!$D$15</f>
        <v>0</v>
      </c>
      <c r="BB25" s="6">
        <f t="shared" si="18"/>
        <v>1522644.3295000009</v>
      </c>
    </row>
    <row r="26" spans="1:54" x14ac:dyDescent="0.25">
      <c r="A26" s="1">
        <v>59</v>
      </c>
      <c r="B26" s="1" t="s">
        <v>154</v>
      </c>
      <c r="C26" s="1" t="s">
        <v>155</v>
      </c>
      <c r="D26" s="5">
        <v>0</v>
      </c>
      <c r="E26" s="5">
        <v>483278.5</v>
      </c>
      <c r="F26" s="5">
        <v>2670714.6</v>
      </c>
      <c r="G26" s="5">
        <v>217.5</v>
      </c>
      <c r="H26" s="5">
        <v>45</v>
      </c>
      <c r="I26" s="5">
        <v>2.5</v>
      </c>
      <c r="J26" s="1">
        <v>2.8999999999999998E-3</v>
      </c>
      <c r="K26" s="1">
        <v>23.9</v>
      </c>
      <c r="L26" s="1">
        <f t="shared" si="0"/>
        <v>12</v>
      </c>
      <c r="M26" s="1">
        <v>0</v>
      </c>
      <c r="N26" s="1">
        <f t="shared" si="1"/>
        <v>12</v>
      </c>
      <c r="O26" s="1">
        <f>'Rates and constants'!$D$17</f>
        <v>4</v>
      </c>
      <c r="P26" s="1">
        <v>2.5</v>
      </c>
      <c r="Q26" s="1" t="str">
        <f t="shared" si="2"/>
        <v>12 x 4 x 2.5</v>
      </c>
      <c r="R26" s="5">
        <f>N26*O26+(N26+1)*'Rates and constants'!$D$18</f>
        <v>51.25</v>
      </c>
      <c r="S26" s="5">
        <f>'Rates and constants'!$D$19</f>
        <v>45</v>
      </c>
      <c r="T26" s="5">
        <v>1.99</v>
      </c>
      <c r="U26" s="5">
        <f t="shared" si="3"/>
        <v>0.79600000000000004</v>
      </c>
      <c r="V26" s="1" t="s">
        <v>105</v>
      </c>
      <c r="W26" s="5">
        <v>1.87</v>
      </c>
      <c r="X26" s="1" t="s">
        <v>106</v>
      </c>
      <c r="Y26" s="6">
        <f>(N26*((O26+'Rates and constants'!$D$18)*(P26+0.6)-O26*P26)+0.8)*S26</f>
        <v>1750.5000000000002</v>
      </c>
      <c r="Z26" s="6">
        <f t="shared" si="4"/>
        <v>210.06000000000003</v>
      </c>
      <c r="AA26" s="6">
        <f t="shared" si="5"/>
        <v>253.68750000000003</v>
      </c>
      <c r="AB26" s="6">
        <f t="shared" si="6"/>
        <v>405</v>
      </c>
      <c r="AC26" s="6">
        <f t="shared" si="7"/>
        <v>2536.875</v>
      </c>
      <c r="AD26" s="6">
        <f t="shared" si="8"/>
        <v>253.6875</v>
      </c>
      <c r="AE26" s="6">
        <f t="shared" si="9"/>
        <v>126.84375</v>
      </c>
      <c r="AF26" s="6">
        <f t="shared" si="10"/>
        <v>126.84375</v>
      </c>
      <c r="AG26" s="6">
        <f t="shared" si="11"/>
        <v>2536.875</v>
      </c>
      <c r="AH26" s="6">
        <f t="shared" si="12"/>
        <v>5073.75</v>
      </c>
      <c r="AI26" s="6">
        <f t="shared" si="13"/>
        <v>5.6375000000000002</v>
      </c>
      <c r="AJ26" s="6">
        <f t="shared" si="14"/>
        <v>112.75000000000001</v>
      </c>
      <c r="AK26" s="6">
        <f t="shared" si="15"/>
        <v>29</v>
      </c>
      <c r="AL26" s="6">
        <f t="shared" si="16"/>
        <v>2706</v>
      </c>
      <c r="AM26" s="6">
        <f t="shared" si="17"/>
        <v>0</v>
      </c>
      <c r="AN26" s="6">
        <f>Y26*'Rates and constants'!$D$2</f>
        <v>187128.45000000004</v>
      </c>
      <c r="AO26" s="6">
        <f>Z26*'Rates and constants'!$D$3</f>
        <v>87616.026000000013</v>
      </c>
      <c r="AP26" s="6">
        <f>AA26*'Rates and constants'!$D$4</f>
        <v>11415.937500000002</v>
      </c>
      <c r="AQ26" s="6">
        <f>AB26*'Rates and constants'!$D$5</f>
        <v>810</v>
      </c>
      <c r="AR26" s="6">
        <f>AD26*'Rates and constants'!$D$6</f>
        <v>1648.96875</v>
      </c>
      <c r="AS26" s="6">
        <f>AE26*'Rates and constants'!$D$7</f>
        <v>5707.96875</v>
      </c>
      <c r="AT26" s="6">
        <f>AF26*'Rates and constants'!$D$8</f>
        <v>5961.65625</v>
      </c>
      <c r="AU26" s="6">
        <f>AG26*'Rates and constants'!$D$9</f>
        <v>1141.59375</v>
      </c>
      <c r="AV26" s="6">
        <f>AH26*'Rates and constants'!$D$10</f>
        <v>1775.8125</v>
      </c>
      <c r="AW26" s="6">
        <f>AI26*'Rates and constants'!$D$11</f>
        <v>22.55</v>
      </c>
      <c r="AX26" s="6">
        <f>AJ26*'Rates and constants'!$D$12</f>
        <v>5975.7500000000009</v>
      </c>
      <c r="AY26" s="6">
        <f>AK26*'Rates and constants'!$D$13</f>
        <v>87</v>
      </c>
      <c r="AZ26" s="6">
        <f>AL26*'Rates and constants'!$D$14</f>
        <v>541.20000000000005</v>
      </c>
      <c r="BA26" s="6">
        <f>AM26*'Rates and constants'!$D$15</f>
        <v>0</v>
      </c>
      <c r="BB26" s="6">
        <f t="shared" si="18"/>
        <v>309832.91350000002</v>
      </c>
    </row>
    <row r="27" spans="1:54" x14ac:dyDescent="0.25">
      <c r="A27" s="1">
        <v>60</v>
      </c>
      <c r="B27" s="1" t="s">
        <v>156</v>
      </c>
      <c r="C27" s="1" t="s">
        <v>157</v>
      </c>
      <c r="D27" s="5">
        <v>0</v>
      </c>
      <c r="E27" s="5">
        <v>482535.5</v>
      </c>
      <c r="F27" s="5">
        <v>2671737.4</v>
      </c>
      <c r="G27" s="5">
        <v>0</v>
      </c>
      <c r="H27" s="5">
        <v>10</v>
      </c>
      <c r="I27" s="5">
        <v>2.5</v>
      </c>
      <c r="J27" s="1">
        <v>3.8999999999999998E-3</v>
      </c>
      <c r="K27" s="1">
        <v>6.1</v>
      </c>
      <c r="L27" s="1">
        <f t="shared" si="0"/>
        <v>3</v>
      </c>
      <c r="M27" s="1">
        <v>0</v>
      </c>
      <c r="N27" s="1">
        <f t="shared" si="1"/>
        <v>3</v>
      </c>
      <c r="O27" s="1">
        <f>'Rates and constants'!$D$17</f>
        <v>4</v>
      </c>
      <c r="P27" s="1">
        <v>2.5</v>
      </c>
      <c r="Q27" s="1" t="str">
        <f t="shared" si="2"/>
        <v>3 x 4 x 2.5</v>
      </c>
      <c r="R27" s="5">
        <f>N27*O27+(N27+1)*'Rates and constants'!$D$18</f>
        <v>13</v>
      </c>
      <c r="S27" s="5">
        <f>'Rates and constants'!$D$19</f>
        <v>45</v>
      </c>
      <c r="T27" s="5">
        <v>0</v>
      </c>
      <c r="U27" s="5">
        <f t="shared" si="3"/>
        <v>0</v>
      </c>
      <c r="V27" s="1" t="s">
        <v>105</v>
      </c>
      <c r="W27" s="5">
        <v>0</v>
      </c>
      <c r="X27" s="1" t="s">
        <v>106</v>
      </c>
      <c r="Y27" s="6">
        <f>(N27*((O27+'Rates and constants'!$D$18)*(P27+0.6)-O27*P27)+0.8)*S27</f>
        <v>464.62500000000011</v>
      </c>
      <c r="Z27" s="6">
        <f t="shared" si="4"/>
        <v>55.75500000000001</v>
      </c>
      <c r="AA27" s="6">
        <f t="shared" si="5"/>
        <v>64.350000000000009</v>
      </c>
      <c r="AB27" s="6">
        <f t="shared" si="6"/>
        <v>405</v>
      </c>
      <c r="AC27" s="6">
        <f t="shared" si="7"/>
        <v>643.5</v>
      </c>
      <c r="AD27" s="6">
        <f t="shared" si="8"/>
        <v>64.350000000000009</v>
      </c>
      <c r="AE27" s="6">
        <f t="shared" si="9"/>
        <v>32.175000000000004</v>
      </c>
      <c r="AF27" s="6">
        <f t="shared" si="10"/>
        <v>32.175000000000004</v>
      </c>
      <c r="AG27" s="6">
        <f t="shared" si="11"/>
        <v>643.5</v>
      </c>
      <c r="AH27" s="6">
        <f t="shared" si="12"/>
        <v>1287</v>
      </c>
      <c r="AI27" s="6">
        <f t="shared" si="13"/>
        <v>1.4300000000000002</v>
      </c>
      <c r="AJ27" s="6">
        <f t="shared" si="14"/>
        <v>28.6</v>
      </c>
      <c r="AK27" s="6">
        <f t="shared" si="15"/>
        <v>8</v>
      </c>
      <c r="AL27" s="6">
        <f t="shared" si="16"/>
        <v>686.40000000000009</v>
      </c>
      <c r="AM27" s="6">
        <f t="shared" si="17"/>
        <v>0</v>
      </c>
      <c r="AN27" s="6">
        <f>Y27*'Rates and constants'!$D$2</f>
        <v>49668.412500000013</v>
      </c>
      <c r="AO27" s="6">
        <f>Z27*'Rates and constants'!$D$3</f>
        <v>23255.410500000005</v>
      </c>
      <c r="AP27" s="6">
        <f>AA27*'Rates and constants'!$D$4</f>
        <v>2895.7500000000005</v>
      </c>
      <c r="AQ27" s="6">
        <f>AB27*'Rates and constants'!$D$5</f>
        <v>810</v>
      </c>
      <c r="AR27" s="6">
        <f>AD27*'Rates and constants'!$D$6</f>
        <v>418.27500000000003</v>
      </c>
      <c r="AS27" s="6">
        <f>AE27*'Rates and constants'!$D$7</f>
        <v>1447.8750000000002</v>
      </c>
      <c r="AT27" s="6">
        <f>AF27*'Rates and constants'!$D$8</f>
        <v>1512.2250000000001</v>
      </c>
      <c r="AU27" s="6">
        <f>AG27*'Rates and constants'!$D$9</f>
        <v>289.57499999999999</v>
      </c>
      <c r="AV27" s="6">
        <f>AH27*'Rates and constants'!$D$10</f>
        <v>450.45</v>
      </c>
      <c r="AW27" s="6">
        <f>AI27*'Rates and constants'!$D$11</f>
        <v>5.7200000000000006</v>
      </c>
      <c r="AX27" s="6">
        <f>AJ27*'Rates and constants'!$D$12</f>
        <v>1515.8000000000002</v>
      </c>
      <c r="AY27" s="6">
        <f>AK27*'Rates and constants'!$D$13</f>
        <v>24</v>
      </c>
      <c r="AZ27" s="6">
        <f>AL27*'Rates and constants'!$D$14</f>
        <v>137.28000000000003</v>
      </c>
      <c r="BA27" s="6">
        <f>AM27*'Rates and constants'!$D$15</f>
        <v>0</v>
      </c>
      <c r="BB27" s="6">
        <f t="shared" si="18"/>
        <v>82430.773000000016</v>
      </c>
    </row>
    <row r="28" spans="1:54" x14ac:dyDescent="0.25">
      <c r="A28" s="7" t="s">
        <v>158</v>
      </c>
      <c r="B28" s="7"/>
      <c r="C28" s="7"/>
      <c r="D28" s="8"/>
      <c r="E28" s="8"/>
      <c r="F28" s="8"/>
      <c r="G28" s="8"/>
      <c r="H28" s="8"/>
      <c r="I28" s="8"/>
      <c r="J28" s="7"/>
      <c r="K28" s="7"/>
      <c r="L28" s="7"/>
      <c r="M28" s="7"/>
      <c r="N28" s="7">
        <f>SUM(N2:N27)</f>
        <v>324</v>
      </c>
      <c r="O28" s="7"/>
      <c r="P28" s="7"/>
      <c r="Q28" s="7"/>
      <c r="R28" s="8"/>
      <c r="S28" s="8"/>
      <c r="T28" s="8"/>
      <c r="U28" s="8"/>
      <c r="V28" s="7"/>
      <c r="W28" s="8"/>
      <c r="X28" s="7"/>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f>SUM(BB2:BB27)</f>
        <v>8440215.6050000023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Rates and constants</vt:lpstr>
      <vt:lpstr>Culverts under the bypass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Mojtaba Keivanlou</cp:lastModifiedBy>
  <dcterms:created xsi:type="dcterms:W3CDTF">2026-10-14T11:23:13Z</dcterms:created>
  <dcterms:modified xsi:type="dcterms:W3CDTF">2026-10-14T11:23:14Z</dcterms:modified>
</cp:coreProperties>
</file>