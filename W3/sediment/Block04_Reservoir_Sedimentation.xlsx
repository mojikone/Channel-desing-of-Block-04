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sed Hawasinah 02" sheetId="2" state="visible" r:id="rId2"/>
    <sheet xmlns:r="http://schemas.openxmlformats.org/officeDocument/2006/relationships" name="Revised Hawasinah 11" sheetId="3" state="visible" r:id="rId3"/>
    <sheet xmlns:r="http://schemas.openxmlformats.org/officeDocument/2006/relationships" name="Revised Hawasinah EX" sheetId="4" state="visible" r:id="rId4"/>
    <sheet xmlns:r="http://schemas.openxmlformats.org/officeDocument/2006/relationships" name="Revised Shafan 02" sheetId="5" state="visible" r:id="rId5"/>
    <sheet xmlns:r="http://schemas.openxmlformats.org/officeDocument/2006/relationships" name="Revised Shafan 08" sheetId="6" state="visible" r:id="rId6"/>
    <sheet xmlns:r="http://schemas.openxmlformats.org/officeDocument/2006/relationships" name="Revised Sarami 03" sheetId="7" state="visible" r:id="rId7"/>
    <sheet xmlns:r="http://schemas.openxmlformats.org/officeDocument/2006/relationships" name="Revised Sarami 05" sheetId="8" state="visible" r:id="rId8"/>
    <sheet xmlns:r="http://schemas.openxmlformats.org/officeDocument/2006/relationships" name="Revised Sakhin 04" sheetId="9" state="visible" r:id="rId9"/>
    <sheet xmlns:r="http://schemas.openxmlformats.org/officeDocument/2006/relationships" name="Revised Sakhin 0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7F7F7F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0" pivotButton="0" quotePrefix="0" xfId="0"/>
    <xf numFmtId="1" fontId="4" fillId="2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49" fontId="2" fillId="0" borderId="1" pivotButton="0" quotePrefix="0" xfId="0"/>
    <xf numFmtId="1" fontId="3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3" fontId="3" fillId="0" borderId="1" pivotButton="0" quotePrefix="0" xfId="0"/>
    <xf numFmtId="165" fontId="4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" fontId="4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02 -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Hawasinah 02'!$K$7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02'!$E$4:$E$33</f>
            </numRef>
          </xVal>
          <yVal>
            <numRef>
              <f>'Revised Hawasinah 02'!$A$4:$A$33</f>
            </numRef>
          </yVal>
          <smooth val="0"/>
        </ser>
        <ser>
          <idx val="1"/>
          <order val="1"/>
          <tx>
            <strRef>
              <f>'Revised Hawasinah 02'!$K$8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02'!$G$4:$G$33</f>
            </numRef>
          </xVal>
          <yVal>
            <numRef>
              <f>'Revised Hawasinah 02'!$A$4:$A$33</f>
            </numRef>
          </yVal>
          <smooth val="0"/>
        </ser>
        <ser>
          <idx val="2"/>
          <order val="2"/>
          <tx>
            <strRef>
              <f>'Revised Hawasinah 02'!$K$9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02'!$I$4:$I$33</f>
            </numRef>
          </xVal>
          <yVal>
            <numRef>
              <f>'Revised Hawasinah 02'!$A$4:$A$33</f>
            </numRef>
          </yVal>
          <smooth val="0"/>
        </ser>
        <ser>
          <idx val="3"/>
          <order val="3"/>
          <tx>
            <strRef>
              <f>'Revised Hawasinah 02'!$K$10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02'!$L$4:$L$5</f>
            </numRef>
          </xVal>
          <yVal>
            <numRef>
              <f>'Revised Hawasinah 02'!$M$4:$M$5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11 -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Hawasinah 11'!$K$7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11'!$E$4:$E$74</f>
            </numRef>
          </xVal>
          <yVal>
            <numRef>
              <f>'Revised Hawasinah 11'!$A$4:$A$74</f>
            </numRef>
          </yVal>
          <smooth val="0"/>
        </ser>
        <ser>
          <idx val="1"/>
          <order val="1"/>
          <tx>
            <strRef>
              <f>'Revised Hawasinah 11'!$K$8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11'!$G$4:$G$74</f>
            </numRef>
          </xVal>
          <yVal>
            <numRef>
              <f>'Revised Hawasinah 11'!$A$4:$A$74</f>
            </numRef>
          </yVal>
          <smooth val="0"/>
        </ser>
        <ser>
          <idx val="2"/>
          <order val="2"/>
          <tx>
            <strRef>
              <f>'Revised Hawasinah 11'!$K$9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11'!$I$4:$I$74</f>
            </numRef>
          </xVal>
          <yVal>
            <numRef>
              <f>'Revised Hawasinah 11'!$A$4:$A$74</f>
            </numRef>
          </yVal>
          <smooth val="0"/>
        </ser>
        <ser>
          <idx val="3"/>
          <order val="3"/>
          <tx>
            <strRef>
              <f>'Revised Hawasinah 11'!$K$10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11'!$L$4:$L$5</f>
            </numRef>
          </xVal>
          <yVal>
            <numRef>
              <f>'Revised Hawasinah 11'!$M$4:$M$5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Hawasinah EX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Hawasinah EX'!$K$7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EX'!$E$4:$E$37</f>
            </numRef>
          </xVal>
          <yVal>
            <numRef>
              <f>'Revised Hawasinah EX'!$A$4:$A$37</f>
            </numRef>
          </yVal>
          <smooth val="0"/>
        </ser>
        <ser>
          <idx val="1"/>
          <order val="1"/>
          <tx>
            <strRef>
              <f>'Revised Hawasinah EX'!$K$8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EX'!$G$4:$G$37</f>
            </numRef>
          </xVal>
          <yVal>
            <numRef>
              <f>'Revised Hawasinah EX'!$A$4:$A$37</f>
            </numRef>
          </yVal>
          <smooth val="0"/>
        </ser>
        <ser>
          <idx val="2"/>
          <order val="2"/>
          <tx>
            <strRef>
              <f>'Revised Hawasinah EX'!$K$9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EX'!$I$4:$I$37</f>
            </numRef>
          </xVal>
          <yVal>
            <numRef>
              <f>'Revised Hawasinah EX'!$A$4:$A$37</f>
            </numRef>
          </yVal>
          <smooth val="0"/>
        </ser>
        <ser>
          <idx val="3"/>
          <order val="3"/>
          <tx>
            <strRef>
              <f>'Revised Hawasinah EX'!$K$10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Hawasinah EX'!$L$4:$L$5</f>
            </numRef>
          </xVal>
          <yVal>
            <numRef>
              <f>'Revised Hawasinah EX'!$M$4:$M$5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02 -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Shafan 02'!$K$7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02'!$E$4:$E$70</f>
            </numRef>
          </xVal>
          <yVal>
            <numRef>
              <f>'Revised Shafan 02'!$A$4:$A$70</f>
            </numRef>
          </yVal>
          <smooth val="0"/>
        </ser>
        <ser>
          <idx val="1"/>
          <order val="1"/>
          <tx>
            <strRef>
              <f>'Revised Shafan 02'!$K$8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02'!$G$4:$G$70</f>
            </numRef>
          </xVal>
          <yVal>
            <numRef>
              <f>'Revised Shafan 02'!$A$4:$A$70</f>
            </numRef>
          </yVal>
          <smooth val="0"/>
        </ser>
        <ser>
          <idx val="2"/>
          <order val="2"/>
          <tx>
            <strRef>
              <f>'Revised Shafan 02'!$K$9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02'!$I$4:$I$70</f>
            </numRef>
          </xVal>
          <yVal>
            <numRef>
              <f>'Revised Shafan 02'!$A$4:$A$70</f>
            </numRef>
          </yVal>
          <smooth val="0"/>
        </ser>
        <ser>
          <idx val="3"/>
          <order val="3"/>
          <tx>
            <strRef>
              <f>'Revised Shafan 02'!$K$10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02'!$L$4:$L$5</f>
            </numRef>
          </xVal>
          <yVal>
            <numRef>
              <f>'Revised Shafan 02'!$M$4:$M$5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Shafan 08 -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Shafan 08'!$K$7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08'!$E$4:$E$34</f>
            </numRef>
          </xVal>
          <yVal>
            <numRef>
              <f>'Revised Shafan 08'!$A$4:$A$34</f>
            </numRef>
          </yVal>
          <smooth val="0"/>
        </ser>
        <ser>
          <idx val="1"/>
          <order val="1"/>
          <tx>
            <strRef>
              <f>'Revised Shafan 08'!$K$8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08'!$G$4:$G$34</f>
            </numRef>
          </xVal>
          <yVal>
            <numRef>
              <f>'Revised Shafan 08'!$A$4:$A$34</f>
            </numRef>
          </yVal>
          <smooth val="0"/>
        </ser>
        <ser>
          <idx val="2"/>
          <order val="2"/>
          <tx>
            <strRef>
              <f>'Revised Shafan 08'!$K$9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08'!$I$4:$I$34</f>
            </numRef>
          </xVal>
          <yVal>
            <numRef>
              <f>'Revised Shafan 08'!$A$4:$A$34</f>
            </numRef>
          </yVal>
          <smooth val="0"/>
        </ser>
        <ser>
          <idx val="3"/>
          <order val="3"/>
          <tx>
            <strRef>
              <f>'Revised Shafan 08'!$K$10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Shafan 08'!$L$4:$L$5</f>
            </numRef>
          </xVal>
          <yVal>
            <numRef>
              <f>'Revised Shafan 08'!$M$4:$M$5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03 -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Sarami 03'!$K$7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03'!$E$4:$E$85</f>
            </numRef>
          </xVal>
          <yVal>
            <numRef>
              <f>'Revised Sarami 03'!$A$4:$A$85</f>
            </numRef>
          </yVal>
          <smooth val="0"/>
        </ser>
        <ser>
          <idx val="1"/>
          <order val="1"/>
          <tx>
            <strRef>
              <f>'Revised Sarami 03'!$K$8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03'!$G$4:$G$85</f>
            </numRef>
          </xVal>
          <yVal>
            <numRef>
              <f>'Revised Sarami 03'!$A$4:$A$85</f>
            </numRef>
          </yVal>
          <smooth val="0"/>
        </ser>
        <ser>
          <idx val="2"/>
          <order val="2"/>
          <tx>
            <strRef>
              <f>'Revised Sarami 03'!$K$9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03'!$I$4:$I$85</f>
            </numRef>
          </xVal>
          <yVal>
            <numRef>
              <f>'Revised Sarami 03'!$A$4:$A$85</f>
            </numRef>
          </yVal>
          <smooth val="0"/>
        </ser>
        <ser>
          <idx val="3"/>
          <order val="3"/>
          <tx>
            <strRef>
              <f>'Revised Sarami 03'!$K$10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03'!$L$4:$L$5</f>
            </numRef>
          </xVal>
          <yVal>
            <numRef>
              <f>'Revised Sarami 03'!$M$4:$M$5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Sarami 05 -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Sarami 05'!$K$7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05'!$E$4:$E$46</f>
            </numRef>
          </xVal>
          <yVal>
            <numRef>
              <f>'Revised Sarami 05'!$A$4:$A$46</f>
            </numRef>
          </yVal>
          <smooth val="0"/>
        </ser>
        <ser>
          <idx val="1"/>
          <order val="1"/>
          <tx>
            <strRef>
              <f>'Revised Sarami 05'!$K$8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05'!$G$4:$G$46</f>
            </numRef>
          </xVal>
          <yVal>
            <numRef>
              <f>'Revised Sarami 05'!$A$4:$A$46</f>
            </numRef>
          </yVal>
          <smooth val="0"/>
        </ser>
        <ser>
          <idx val="2"/>
          <order val="2"/>
          <tx>
            <strRef>
              <f>'Revised Sarami 05'!$K$9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05'!$I$4:$I$46</f>
            </numRef>
          </xVal>
          <yVal>
            <numRef>
              <f>'Revised Sarami 05'!$A$4:$A$46</f>
            </numRef>
          </yVal>
          <smooth val="0"/>
        </ser>
        <ser>
          <idx val="3"/>
          <order val="3"/>
          <tx>
            <strRef>
              <f>'Revised Sarami 05'!$K$10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Sarami 05'!$L$4:$L$5</f>
            </numRef>
          </xVal>
          <yVal>
            <numRef>
              <f>'Revised Sarami 05'!$M$4:$M$5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04 -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Sakhin 04'!$K$7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04'!$E$4:$E$44</f>
            </numRef>
          </xVal>
          <yVal>
            <numRef>
              <f>'Revised Sakhin 04'!$A$4:$A$44</f>
            </numRef>
          </yVal>
          <smooth val="0"/>
        </ser>
        <ser>
          <idx val="1"/>
          <order val="1"/>
          <tx>
            <strRef>
              <f>'Revised Sakhin 04'!$K$8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04'!$G$4:$G$44</f>
            </numRef>
          </xVal>
          <yVal>
            <numRef>
              <f>'Revised Sakhin 04'!$A$4:$A$44</f>
            </numRef>
          </yVal>
          <smooth val="0"/>
        </ser>
        <ser>
          <idx val="2"/>
          <order val="2"/>
          <tx>
            <strRef>
              <f>'Revised Sakhin 04'!$K$9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04'!$I$4:$I$44</f>
            </numRef>
          </xVal>
          <yVal>
            <numRef>
              <f>'Revised Sakhin 04'!$A$4:$A$44</f>
            </numRef>
          </yVal>
          <smooth val="0"/>
        </ser>
        <ser>
          <idx val="3"/>
          <order val="3"/>
          <tx>
            <strRef>
              <f>'Revised Sakhin 04'!$K$10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04'!$L$4:$L$5</f>
            </numRef>
          </xVal>
          <yVal>
            <numRef>
              <f>'Revised Sakhin 04'!$M$4:$M$5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404040"/>
                </a:solidFill>
                <a:latin typeface="Arial"/>
              </a:defRPr>
            </a:pPr>
            <a:r>
              <a:rPr sz="1100" b="1">
                <a:solidFill>
                  <a:srgbClr val="404040"/>
                </a:solidFill>
                <a:latin typeface="Arial"/>
              </a:rPr>
              <a:t>Sakhin 08 - capacity before and after sedimentation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"/>
          <y val="0.13"/>
          <w val="0.83"/>
          <h val="0.58"/>
        </manualLayout>
      </layout>
      <scatterChart>
        <ser>
          <idx val="0"/>
          <order val="0"/>
          <tx>
            <strRef>
              <f>'Revised Sakhin 08'!$K$7</f>
            </strRef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08'!$E$4:$E$29</f>
            </numRef>
          </xVal>
          <yVal>
            <numRef>
              <f>'Revised Sakhin 08'!$A$4:$A$29</f>
            </numRef>
          </yVal>
          <smooth val="0"/>
        </ser>
        <ser>
          <idx val="1"/>
          <order val="1"/>
          <tx>
            <strRef>
              <f>'Revised Sakhin 08'!$K$8</f>
            </strRef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08'!$G$4:$G$29</f>
            </numRef>
          </xVal>
          <yVal>
            <numRef>
              <f>'Revised Sakhin 08'!$A$4:$A$29</f>
            </numRef>
          </yVal>
          <smooth val="0"/>
        </ser>
        <ser>
          <idx val="2"/>
          <order val="2"/>
          <tx>
            <strRef>
              <f>'Revised Sakhin 08'!$K$9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08'!$I$4:$I$29</f>
            </numRef>
          </xVal>
          <yVal>
            <numRef>
              <f>'Revised Sakhin 08'!$A$4:$A$29</f>
            </numRef>
          </yVal>
          <smooth val="0"/>
        </ser>
        <ser>
          <idx val="3"/>
          <order val="3"/>
          <tx>
            <strRef>
              <f>'Revised Sakhin 08'!$K$10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'Revised Sakhin 08'!$L$4:$L$5</f>
            </numRef>
          </xVal>
          <yVal>
            <numRef>
              <f>'Revised Sakhin 08'!$M$4:$M$5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Capacity (Mm³)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DEDED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</a:rPr>
                  <a:t>Elevation (m)</a:t>
                </a:r>
              </a:p>
            </rich>
          </tx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11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3" customWidth="1" min="4" max="4"/>
    <col width="11" customWidth="1" min="5" max="5"/>
    <col width="7" customWidth="1" min="6" max="6"/>
    <col width="7" customWidth="1" min="7" max="7"/>
    <col width="7" customWidth="1" min="8" max="8"/>
    <col width="11" customWidth="1" min="9" max="9"/>
    <col width="7" customWidth="1" min="10" max="10"/>
    <col width="11" customWidth="1" min="11" max="11"/>
    <col width="10" customWidth="1" min="12" max="12"/>
    <col width="10" customWidth="1" min="13" max="13"/>
    <col width="11" customWidth="1" min="14" max="14"/>
    <col width="8" customWidth="1" min="15" max="15"/>
    <col width="8" customWidth="1" min="16" max="16"/>
    <col width="9" customWidth="1" min="17" max="17"/>
    <col width="8" customWidth="1" min="18" max="18"/>
    <col width="12" customWidth="1" min="19" max="19"/>
    <col width="8" customWidth="1" min="20" max="20"/>
    <col width="12" customWidth="1" min="21" max="21"/>
    <col width="12" customWidth="1" min="22" max="22"/>
    <col width="10" customWidth="1" min="23" max="23"/>
    <col width="9" customWidth="1" min="24" max="24"/>
    <col width="10" customWidth="1" min="25" max="25"/>
    <col width="11" customWidth="1" min="26" max="26"/>
  </cols>
  <sheetData>
    <row r="1">
      <c r="A1" s="1" t="inlineStr">
        <is>
          <t>Block 04 dams - reservoir volume reduction by sedimentation (USBR Erosion and Sedimentation Manual, Section 2.6)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Inputs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4" t="inlineStr">
        <is>
          <t>Trap efficiency (fraction)</t>
        </is>
      </c>
      <c r="B4" s="5" t="n">
        <v>1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4" t="inlineStr">
        <is>
          <t>Reservoir operation (USBR 2.6.2): 3 = normally empty</t>
        </is>
      </c>
      <c r="B5" s="6" t="n">
        <v>3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Reference density of the step-09 yield volume (kg/m³)</t>
        </is>
      </c>
      <c r="B6" s="6" t="n">
        <v>1500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Wc, Wm, Ws for the operation (kg/m³)</t>
        </is>
      </c>
      <c r="B7" s="7" t="n">
        <v>641</v>
      </c>
      <c r="C7" s="7" t="n">
        <v>1150</v>
      </c>
      <c r="D7" s="7" t="n">
        <v>1550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4" t="inlineStr">
        <is>
          <t>Kc, Km, Ks for the operation</t>
        </is>
      </c>
      <c r="B8" s="7" t="n">
        <v>0</v>
      </c>
      <c r="C8" s="7" t="n">
        <v>0</v>
      </c>
      <c r="D8" s="7" t="n">
        <v>0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4" customHeight="1">
      <c r="A10" s="8" t="inlineStr">
        <is>
          <t>Dam</t>
        </is>
      </c>
      <c r="B10" s="8" t="inlineStr">
        <is>
          <t>Horizon (yr)</t>
        </is>
      </c>
      <c r="C10" s="8" t="inlineStr">
        <is>
          <t>Catchment (km²)</t>
        </is>
      </c>
      <c r="D10" s="8" t="inlineStr">
        <is>
          <t>Sediment yield (m³/km²/yr) at 1.5 t/m³</t>
        </is>
      </c>
      <c r="E10" s="8" t="inlineStr">
        <is>
          <t>Sediment yield (m³/yr)</t>
        </is>
      </c>
      <c r="F10" s="8" t="inlineStr">
        <is>
          <t>Clay</t>
        </is>
      </c>
      <c r="G10" s="8" t="inlineStr">
        <is>
          <t>Silt</t>
        </is>
      </c>
      <c r="H10" s="8" t="inlineStr">
        <is>
          <t>Sand</t>
        </is>
      </c>
      <c r="I10" s="8" t="inlineStr">
        <is>
          <t>W1 initial unit weight (kg/m³)</t>
        </is>
      </c>
      <c r="J10" s="8" t="inlineStr">
        <is>
          <t>K</t>
        </is>
      </c>
      <c r="K10" s="8" t="inlineStr">
        <is>
          <t>WT after T years (kg/m³)</t>
        </is>
      </c>
      <c r="L10" s="8" t="inlineStr">
        <is>
          <t>Gross sediment (Mm³)</t>
        </is>
      </c>
      <c r="M10" s="8" t="inlineStr">
        <is>
          <t>Trapped (Mm³)</t>
        </is>
      </c>
      <c r="N10" s="8" t="inlineStr">
        <is>
          <t>Deposited at WT (Mm³)</t>
        </is>
      </c>
      <c r="O10" s="8" t="inlineStr">
        <is>
          <t>Shape factor m</t>
        </is>
      </c>
      <c r="P10" s="8" t="inlineStr">
        <is>
          <t>Reservoir type</t>
        </is>
      </c>
      <c r="Q10" s="8" t="inlineStr">
        <is>
          <t>Bed at dam (m)</t>
        </is>
      </c>
      <c r="R10" s="8" t="inlineStr">
        <is>
          <t>FSL (m)</t>
        </is>
      </c>
      <c r="S10" s="8" t="inlineStr">
        <is>
          <t>New zero-capacity elevation (m)</t>
        </is>
      </c>
      <c r="T10" s="8" t="inlineStr">
        <is>
          <t>Bed rise (m)</t>
        </is>
      </c>
      <c r="U10" s="8" t="inlineStr">
        <is>
          <t>Original capacity at FSL (Mm³)</t>
        </is>
      </c>
      <c r="V10" s="8" t="inlineStr">
        <is>
          <t>Revised capacity at FSL (Mm³)</t>
        </is>
      </c>
      <c r="W10" s="8" t="inlineStr">
        <is>
          <t>Storage lost (Mm³)</t>
        </is>
      </c>
      <c r="X10" s="8" t="inlineStr">
        <is>
          <t>Storage lost (%)</t>
        </is>
      </c>
      <c r="Y10" s="8" t="inlineStr">
        <is>
          <t>Area at FSL (km²)</t>
        </is>
      </c>
      <c r="Z10" s="8" t="inlineStr">
        <is>
          <t>Revised area at FSL (km²)</t>
        </is>
      </c>
    </row>
    <row r="11">
      <c r="A11" s="9" t="inlineStr">
        <is>
          <t>Hawasinah 02</t>
        </is>
      </c>
      <c r="B11" s="10" t="n">
        <v>50</v>
      </c>
      <c r="C11" s="11" t="n">
        <v>419.84</v>
      </c>
      <c r="D11" s="12" t="n">
        <v>157.6</v>
      </c>
      <c r="E11" s="13">
        <f>D11*C11</f>
        <v/>
      </c>
      <c r="F11" s="14" t="n">
        <v>0.166</v>
      </c>
      <c r="G11" s="14" t="n">
        <v>0.271</v>
      </c>
      <c r="H11" s="14" t="n">
        <v>0.5639999999999999</v>
      </c>
      <c r="I11" s="10">
        <f>$B$7*F11+$C$7*G11+$D$7*H11</f>
        <v/>
      </c>
      <c r="J11" s="15">
        <f>$B$8*F11+$C$8*G11+$D$8*H11</f>
        <v/>
      </c>
      <c r="K11" s="10">
        <f>I11+0.4343*J11*(B11/(B11-1)*LN(B11)-1)</f>
        <v/>
      </c>
      <c r="L11" s="16">
        <f>E11*B11/1000000</f>
        <v/>
      </c>
      <c r="M11" s="16">
        <f>L11*$B$4</f>
        <v/>
      </c>
      <c r="N11" s="16">
        <f>M11*$B$6/K11</f>
        <v/>
      </c>
      <c r="O11" s="11" t="n">
        <v>3.419</v>
      </c>
      <c r="P11" s="17" t="n">
        <v>2</v>
      </c>
      <c r="Q11" s="12" t="n">
        <v>129.5</v>
      </c>
      <c r="R11" s="12" t="n">
        <v>144</v>
      </c>
      <c r="S11" s="11" t="n">
        <v>133.69</v>
      </c>
      <c r="T11" s="18">
        <f>S11-Q11</f>
        <v/>
      </c>
      <c r="U11" s="14" t="n">
        <v>10.412</v>
      </c>
      <c r="V11" s="14" t="n">
        <v>6.572</v>
      </c>
      <c r="W11" s="16">
        <f>U11-V11</f>
        <v/>
      </c>
      <c r="X11" s="19">
        <f>W11/U11</f>
        <v/>
      </c>
      <c r="Y11" s="14" t="n">
        <v>1.708</v>
      </c>
      <c r="Z11" s="14" t="n">
        <v>1.708</v>
      </c>
    </row>
    <row r="12">
      <c r="A12" s="9" t="inlineStr">
        <is>
          <t>Hawasinah 02</t>
        </is>
      </c>
      <c r="B12" s="10" t="n">
        <v>100</v>
      </c>
      <c r="C12" s="11" t="n">
        <v>419.84</v>
      </c>
      <c r="D12" s="12" t="n">
        <v>157.6</v>
      </c>
      <c r="E12" s="13">
        <f>D12*C12</f>
        <v/>
      </c>
      <c r="F12" s="14" t="n">
        <v>0.166</v>
      </c>
      <c r="G12" s="14" t="n">
        <v>0.271</v>
      </c>
      <c r="H12" s="14" t="n">
        <v>0.5639999999999999</v>
      </c>
      <c r="I12" s="10">
        <f>$B$7*F12+$C$7*G12+$D$7*H12</f>
        <v/>
      </c>
      <c r="J12" s="15">
        <f>$B$8*F12+$C$8*G12+$D$8*H12</f>
        <v/>
      </c>
      <c r="K12" s="10">
        <f>I12+0.4343*J12*(B12/(B12-1)*LN(B12)-1)</f>
        <v/>
      </c>
      <c r="L12" s="16">
        <f>E12*B12/1000000</f>
        <v/>
      </c>
      <c r="M12" s="16">
        <f>L12*$B$4</f>
        <v/>
      </c>
      <c r="N12" s="16">
        <f>M12*$B$6/K12</f>
        <v/>
      </c>
      <c r="O12" s="11" t="n">
        <v>3.419</v>
      </c>
      <c r="P12" s="17" t="n">
        <v>2</v>
      </c>
      <c r="Q12" s="12" t="n">
        <v>129.5</v>
      </c>
      <c r="R12" s="12" t="n">
        <v>144</v>
      </c>
      <c r="S12" s="11" t="n">
        <v>139.01</v>
      </c>
      <c r="T12" s="18">
        <f>S12-Q12</f>
        <v/>
      </c>
      <c r="U12" s="14" t="n">
        <v>10.412</v>
      </c>
      <c r="V12" s="14" t="n">
        <v>2.735</v>
      </c>
      <c r="W12" s="16">
        <f>U12-V12</f>
        <v/>
      </c>
      <c r="X12" s="19">
        <f>W12/U12</f>
        <v/>
      </c>
      <c r="Y12" s="14" t="n">
        <v>1.708</v>
      </c>
      <c r="Z12" s="14" t="n">
        <v>1.708</v>
      </c>
    </row>
    <row r="13">
      <c r="A13" s="9" t="inlineStr">
        <is>
          <t>Hawasinah 11</t>
        </is>
      </c>
      <c r="B13" s="10" t="n">
        <v>50</v>
      </c>
      <c r="C13" s="11" t="n">
        <v>226.04</v>
      </c>
      <c r="D13" s="12" t="n">
        <v>185.1</v>
      </c>
      <c r="E13" s="13">
        <f>D13*C13</f>
        <v/>
      </c>
      <c r="F13" s="14" t="n">
        <v>0.166</v>
      </c>
      <c r="G13" s="14" t="n">
        <v>0.274</v>
      </c>
      <c r="H13" s="14" t="n">
        <v>0.5600000000000001</v>
      </c>
      <c r="I13" s="10">
        <f>$B$7*F13+$C$7*G13+$D$7*H13</f>
        <v/>
      </c>
      <c r="J13" s="15">
        <f>$B$8*F13+$C$8*G13+$D$8*H13</f>
        <v/>
      </c>
      <c r="K13" s="10">
        <f>I13+0.4343*J13*(B13/(B13-1)*LN(B13)-1)</f>
        <v/>
      </c>
      <c r="L13" s="16">
        <f>E13*B13/1000000</f>
        <v/>
      </c>
      <c r="M13" s="16">
        <f>L13*$B$4</f>
        <v/>
      </c>
      <c r="N13" s="16">
        <f>M13*$B$6/K13</f>
        <v/>
      </c>
      <c r="O13" s="11" t="n">
        <v>2.478</v>
      </c>
      <c r="P13" s="17" t="n">
        <v>3</v>
      </c>
      <c r="Q13" s="12" t="n">
        <v>216</v>
      </c>
      <c r="R13" s="12" t="n">
        <v>251</v>
      </c>
      <c r="S13" s="11" t="n">
        <v>218.89</v>
      </c>
      <c r="T13" s="18">
        <f>S13-Q13</f>
        <v/>
      </c>
      <c r="U13" s="14" t="n">
        <v>33.173</v>
      </c>
      <c r="V13" s="14" t="n">
        <v>30.74</v>
      </c>
      <c r="W13" s="16">
        <f>U13-V13</f>
        <v/>
      </c>
      <c r="X13" s="19">
        <f>W13/U13</f>
        <v/>
      </c>
      <c r="Y13" s="14" t="n">
        <v>2.542</v>
      </c>
      <c r="Z13" s="14" t="n">
        <v>2.542</v>
      </c>
    </row>
    <row r="14">
      <c r="A14" s="9" t="inlineStr">
        <is>
          <t>Hawasinah 11</t>
        </is>
      </c>
      <c r="B14" s="10" t="n">
        <v>100</v>
      </c>
      <c r="C14" s="11" t="n">
        <v>226.04</v>
      </c>
      <c r="D14" s="12" t="n">
        <v>185.1</v>
      </c>
      <c r="E14" s="13">
        <f>D14*C14</f>
        <v/>
      </c>
      <c r="F14" s="14" t="n">
        <v>0.166</v>
      </c>
      <c r="G14" s="14" t="n">
        <v>0.274</v>
      </c>
      <c r="H14" s="14" t="n">
        <v>0.5600000000000001</v>
      </c>
      <c r="I14" s="10">
        <f>$B$7*F14+$C$7*G14+$D$7*H14</f>
        <v/>
      </c>
      <c r="J14" s="15">
        <f>$B$8*F14+$C$8*G14+$D$8*H14</f>
        <v/>
      </c>
      <c r="K14" s="10">
        <f>I14+0.4343*J14*(B14/(B14-1)*LN(B14)-1)</f>
        <v/>
      </c>
      <c r="L14" s="16">
        <f>E14*B14/1000000</f>
        <v/>
      </c>
      <c r="M14" s="16">
        <f>L14*$B$4</f>
        <v/>
      </c>
      <c r="N14" s="16">
        <f>M14*$B$6/K14</f>
        <v/>
      </c>
      <c r="O14" s="11" t="n">
        <v>2.478</v>
      </c>
      <c r="P14" s="17" t="n">
        <v>3</v>
      </c>
      <c r="Q14" s="12" t="n">
        <v>216</v>
      </c>
      <c r="R14" s="12" t="n">
        <v>251</v>
      </c>
      <c r="S14" s="11" t="n">
        <v>224.51</v>
      </c>
      <c r="T14" s="18">
        <f>S14-Q14</f>
        <v/>
      </c>
      <c r="U14" s="14" t="n">
        <v>33.173</v>
      </c>
      <c r="V14" s="14" t="n">
        <v>28.306</v>
      </c>
      <c r="W14" s="16">
        <f>U14-V14</f>
        <v/>
      </c>
      <c r="X14" s="19">
        <f>W14/U14</f>
        <v/>
      </c>
      <c r="Y14" s="14" t="n">
        <v>2.542</v>
      </c>
      <c r="Z14" s="14" t="n">
        <v>2.542</v>
      </c>
    </row>
    <row r="15">
      <c r="A15" s="9" t="inlineStr">
        <is>
          <t>Hawasinah EX</t>
        </is>
      </c>
      <c r="B15" s="10" t="n">
        <v>50</v>
      </c>
      <c r="C15" s="11" t="n">
        <v>852.24</v>
      </c>
      <c r="D15" s="12" t="n">
        <v>134.4</v>
      </c>
      <c r="E15" s="13">
        <f>D15*C15</f>
        <v/>
      </c>
      <c r="F15" s="14" t="n">
        <v>0.155</v>
      </c>
      <c r="G15" s="14" t="n">
        <v>0.271</v>
      </c>
      <c r="H15" s="14" t="n">
        <v>0.574</v>
      </c>
      <c r="I15" s="10">
        <f>$B$7*F15+$C$7*G15+$D$7*H15</f>
        <v/>
      </c>
      <c r="J15" s="15">
        <f>$B$8*F15+$C$8*G15+$D$8*H15</f>
        <v/>
      </c>
      <c r="K15" s="10">
        <f>I15+0.4343*J15*(B15/(B15-1)*LN(B15)-1)</f>
        <v/>
      </c>
      <c r="L15" s="16">
        <f>E15*B15/1000000</f>
        <v/>
      </c>
      <c r="M15" s="16">
        <f>L15*$B$4</f>
        <v/>
      </c>
      <c r="N15" s="16">
        <f>M15*$B$6/K15</f>
        <v/>
      </c>
      <c r="O15" s="11" t="n">
        <v>3.139</v>
      </c>
      <c r="P15" s="17" t="n">
        <v>2</v>
      </c>
      <c r="Q15" s="12" t="n">
        <v>43.5</v>
      </c>
      <c r="R15" s="12" t="n">
        <v>60</v>
      </c>
      <c r="S15" s="11" t="n">
        <v>45.48</v>
      </c>
      <c r="T15" s="18">
        <f>S15-Q15</f>
        <v/>
      </c>
      <c r="U15" s="14" t="n">
        <v>79.21599999999999</v>
      </c>
      <c r="V15" s="14" t="n">
        <v>72.61199999999999</v>
      </c>
      <c r="W15" s="16">
        <f>U15-V15</f>
        <v/>
      </c>
      <c r="X15" s="19">
        <f>W15/U15</f>
        <v/>
      </c>
      <c r="Y15" s="14" t="n">
        <v>10.775</v>
      </c>
      <c r="Z15" s="14" t="n">
        <v>10.775</v>
      </c>
    </row>
    <row r="16">
      <c r="A16" s="9" t="inlineStr">
        <is>
          <t>Hawasinah EX</t>
        </is>
      </c>
      <c r="B16" s="10" t="n">
        <v>100</v>
      </c>
      <c r="C16" s="11" t="n">
        <v>852.24</v>
      </c>
      <c r="D16" s="12" t="n">
        <v>134.4</v>
      </c>
      <c r="E16" s="13">
        <f>D16*C16</f>
        <v/>
      </c>
      <c r="F16" s="14" t="n">
        <v>0.155</v>
      </c>
      <c r="G16" s="14" t="n">
        <v>0.271</v>
      </c>
      <c r="H16" s="14" t="n">
        <v>0.574</v>
      </c>
      <c r="I16" s="10">
        <f>$B$7*F16+$C$7*G16+$D$7*H16</f>
        <v/>
      </c>
      <c r="J16" s="15">
        <f>$B$8*F16+$C$8*G16+$D$8*H16</f>
        <v/>
      </c>
      <c r="K16" s="10">
        <f>I16+0.4343*J16*(B16/(B16-1)*LN(B16)-1)</f>
        <v/>
      </c>
      <c r="L16" s="16">
        <f>E16*B16/1000000</f>
        <v/>
      </c>
      <c r="M16" s="16">
        <f>L16*$B$4</f>
        <v/>
      </c>
      <c r="N16" s="16">
        <f>M16*$B$6/K16</f>
        <v/>
      </c>
      <c r="O16" s="11" t="n">
        <v>3.139</v>
      </c>
      <c r="P16" s="17" t="n">
        <v>2</v>
      </c>
      <c r="Q16" s="12" t="n">
        <v>43.5</v>
      </c>
      <c r="R16" s="12" t="n">
        <v>60</v>
      </c>
      <c r="S16" s="11" t="n">
        <v>45.83</v>
      </c>
      <c r="T16" s="18">
        <f>S16-Q16</f>
        <v/>
      </c>
      <c r="U16" s="14" t="n">
        <v>79.21599999999999</v>
      </c>
      <c r="V16" s="14" t="n">
        <v>66.009</v>
      </c>
      <c r="W16" s="16">
        <f>U16-V16</f>
        <v/>
      </c>
      <c r="X16" s="19">
        <f>W16/U16</f>
        <v/>
      </c>
      <c r="Y16" s="14" t="n">
        <v>10.775</v>
      </c>
      <c r="Z16" s="14" t="n">
        <v>10.775</v>
      </c>
    </row>
    <row r="17">
      <c r="A17" s="9" t="inlineStr">
        <is>
          <t>Shafan 02</t>
        </is>
      </c>
      <c r="B17" s="10" t="n">
        <v>50</v>
      </c>
      <c r="C17" s="11" t="n">
        <v>224.36</v>
      </c>
      <c r="D17" s="12" t="n">
        <v>179.8</v>
      </c>
      <c r="E17" s="13">
        <f>D17*C17</f>
        <v/>
      </c>
      <c r="F17" s="14" t="n">
        <v>0.162</v>
      </c>
      <c r="G17" s="14" t="n">
        <v>0.271</v>
      </c>
      <c r="H17" s="14" t="n">
        <v>0.5669999999999999</v>
      </c>
      <c r="I17" s="10">
        <f>$B$7*F17+$C$7*G17+$D$7*H17</f>
        <v/>
      </c>
      <c r="J17" s="15">
        <f>$B$8*F17+$C$8*G17+$D$8*H17</f>
        <v/>
      </c>
      <c r="K17" s="10">
        <f>I17+0.4343*J17*(B17/(B17-1)*LN(B17)-1)</f>
        <v/>
      </c>
      <c r="L17" s="16">
        <f>E17*B17/1000000</f>
        <v/>
      </c>
      <c r="M17" s="16">
        <f>L17*$B$4</f>
        <v/>
      </c>
      <c r="N17" s="16">
        <f>M17*$B$6/K17</f>
        <v/>
      </c>
      <c r="O17" s="11" t="n">
        <v>2.696</v>
      </c>
      <c r="P17" s="17" t="n">
        <v>2</v>
      </c>
      <c r="Q17" s="12" t="n">
        <v>202</v>
      </c>
      <c r="R17" s="12" t="n">
        <v>235</v>
      </c>
      <c r="S17" s="11" t="n">
        <v>206.21</v>
      </c>
      <c r="T17" s="18">
        <f>S17-Q17</f>
        <v/>
      </c>
      <c r="U17" s="14" t="n">
        <v>41.607</v>
      </c>
      <c r="V17" s="14" t="n">
        <v>39.274</v>
      </c>
      <c r="W17" s="16">
        <f>U17-V17</f>
        <v/>
      </c>
      <c r="X17" s="19">
        <f>W17/U17</f>
        <v/>
      </c>
      <c r="Y17" s="14" t="n">
        <v>3.615</v>
      </c>
      <c r="Z17" s="14" t="n">
        <v>3.615</v>
      </c>
    </row>
    <row r="18">
      <c r="A18" s="9" t="inlineStr">
        <is>
          <t>Shafan 02</t>
        </is>
      </c>
      <c r="B18" s="10" t="n">
        <v>100</v>
      </c>
      <c r="C18" s="11" t="n">
        <v>224.36</v>
      </c>
      <c r="D18" s="12" t="n">
        <v>179.8</v>
      </c>
      <c r="E18" s="13">
        <f>D18*C18</f>
        <v/>
      </c>
      <c r="F18" s="14" t="n">
        <v>0.162</v>
      </c>
      <c r="G18" s="14" t="n">
        <v>0.271</v>
      </c>
      <c r="H18" s="14" t="n">
        <v>0.5669999999999999</v>
      </c>
      <c r="I18" s="10">
        <f>$B$7*F18+$C$7*G18+$D$7*H18</f>
        <v/>
      </c>
      <c r="J18" s="15">
        <f>$B$8*F18+$C$8*G18+$D$8*H18</f>
        <v/>
      </c>
      <c r="K18" s="10">
        <f>I18+0.4343*J18*(B18/(B18-1)*LN(B18)-1)</f>
        <v/>
      </c>
      <c r="L18" s="16">
        <f>E18*B18/1000000</f>
        <v/>
      </c>
      <c r="M18" s="16">
        <f>L18*$B$4</f>
        <v/>
      </c>
      <c r="N18" s="16">
        <f>M18*$B$6/K18</f>
        <v/>
      </c>
      <c r="O18" s="11" t="n">
        <v>2.696</v>
      </c>
      <c r="P18" s="17" t="n">
        <v>2</v>
      </c>
      <c r="Q18" s="12" t="n">
        <v>202</v>
      </c>
      <c r="R18" s="12" t="n">
        <v>235</v>
      </c>
      <c r="S18" s="11" t="n">
        <v>208.29</v>
      </c>
      <c r="T18" s="18">
        <f>S18-Q18</f>
        <v/>
      </c>
      <c r="U18" s="14" t="n">
        <v>41.607</v>
      </c>
      <c r="V18" s="14" t="n">
        <v>36.94</v>
      </c>
      <c r="W18" s="16">
        <f>U18-V18</f>
        <v/>
      </c>
      <c r="X18" s="19">
        <f>W18/U18</f>
        <v/>
      </c>
      <c r="Y18" s="14" t="n">
        <v>3.615</v>
      </c>
      <c r="Z18" s="14" t="n">
        <v>3.615</v>
      </c>
    </row>
    <row r="19">
      <c r="A19" s="9" t="inlineStr">
        <is>
          <t>Shafan 08</t>
        </is>
      </c>
      <c r="B19" s="10" t="n">
        <v>50</v>
      </c>
      <c r="C19" s="11" t="n">
        <v>314.13</v>
      </c>
      <c r="D19" s="12" t="n">
        <v>149.2</v>
      </c>
      <c r="E19" s="13">
        <f>D19*C19</f>
        <v/>
      </c>
      <c r="F19" s="14" t="n">
        <v>0.15</v>
      </c>
      <c r="G19" s="14" t="n">
        <v>0.272</v>
      </c>
      <c r="H19" s="14" t="n">
        <v>0.577</v>
      </c>
      <c r="I19" s="10">
        <f>$B$7*F19+$C$7*G19+$D$7*H19</f>
        <v/>
      </c>
      <c r="J19" s="15">
        <f>$B$8*F19+$C$8*G19+$D$8*H19</f>
        <v/>
      </c>
      <c r="K19" s="10">
        <f>I19+0.4343*J19*(B19/(B19-1)*LN(B19)-1)</f>
        <v/>
      </c>
      <c r="L19" s="16">
        <f>E19*B19/1000000</f>
        <v/>
      </c>
      <c r="M19" s="16">
        <f>L19*$B$4</f>
        <v/>
      </c>
      <c r="N19" s="16">
        <f>M19*$B$6/K19</f>
        <v/>
      </c>
      <c r="O19" s="11" t="n">
        <v>2.873</v>
      </c>
      <c r="P19" s="17" t="n">
        <v>2</v>
      </c>
      <c r="Q19" s="12" t="n">
        <v>153</v>
      </c>
      <c r="R19" s="12" t="n">
        <v>168</v>
      </c>
      <c r="S19" s="11" t="n">
        <v>157.7</v>
      </c>
      <c r="T19" s="18">
        <f>S19-Q19</f>
        <v/>
      </c>
      <c r="U19" s="14" t="n">
        <v>13.709</v>
      </c>
      <c r="V19" s="14" t="n">
        <v>11.016</v>
      </c>
      <c r="W19" s="16">
        <f>U19-V19</f>
        <v/>
      </c>
      <c r="X19" s="19">
        <f>W19/U19</f>
        <v/>
      </c>
      <c r="Y19" s="14" t="n">
        <v>2.943</v>
      </c>
      <c r="Z19" s="14" t="n">
        <v>2.943</v>
      </c>
    </row>
    <row r="20">
      <c r="A20" s="9" t="inlineStr">
        <is>
          <t>Shafan 08</t>
        </is>
      </c>
      <c r="B20" s="10" t="n">
        <v>100</v>
      </c>
      <c r="C20" s="11" t="n">
        <v>314.13</v>
      </c>
      <c r="D20" s="12" t="n">
        <v>149.2</v>
      </c>
      <c r="E20" s="13">
        <f>D20*C20</f>
        <v/>
      </c>
      <c r="F20" s="14" t="n">
        <v>0.15</v>
      </c>
      <c r="G20" s="14" t="n">
        <v>0.272</v>
      </c>
      <c r="H20" s="14" t="n">
        <v>0.577</v>
      </c>
      <c r="I20" s="10">
        <f>$B$7*F20+$C$7*G20+$D$7*H20</f>
        <v/>
      </c>
      <c r="J20" s="15">
        <f>$B$8*F20+$C$8*G20+$D$8*H20</f>
        <v/>
      </c>
      <c r="K20" s="10">
        <f>I20+0.4343*J20*(B20/(B20-1)*LN(B20)-1)</f>
        <v/>
      </c>
      <c r="L20" s="16">
        <f>E20*B20/1000000</f>
        <v/>
      </c>
      <c r="M20" s="16">
        <f>L20*$B$4</f>
        <v/>
      </c>
      <c r="N20" s="16">
        <f>M20*$B$6/K20</f>
        <v/>
      </c>
      <c r="O20" s="11" t="n">
        <v>2.873</v>
      </c>
      <c r="P20" s="17" t="n">
        <v>2</v>
      </c>
      <c r="Q20" s="12" t="n">
        <v>153</v>
      </c>
      <c r="R20" s="12" t="n">
        <v>168</v>
      </c>
      <c r="S20" s="11" t="n">
        <v>160.36</v>
      </c>
      <c r="T20" s="18">
        <f>S20-Q20</f>
        <v/>
      </c>
      <c r="U20" s="14" t="n">
        <v>13.709</v>
      </c>
      <c r="V20" s="14" t="n">
        <v>8.329000000000001</v>
      </c>
      <c r="W20" s="16">
        <f>U20-V20</f>
        <v/>
      </c>
      <c r="X20" s="19">
        <f>W20/U20</f>
        <v/>
      </c>
      <c r="Y20" s="14" t="n">
        <v>2.943</v>
      </c>
      <c r="Z20" s="14" t="n">
        <v>2.943</v>
      </c>
    </row>
    <row r="21">
      <c r="A21" s="9" t="inlineStr">
        <is>
          <t>Sarami 03</t>
        </is>
      </c>
      <c r="B21" s="10" t="n">
        <v>50</v>
      </c>
      <c r="C21" s="11" t="n">
        <v>227.77</v>
      </c>
      <c r="D21" s="12" t="n">
        <v>177.6</v>
      </c>
      <c r="E21" s="13">
        <f>D21*C21</f>
        <v/>
      </c>
      <c r="F21" s="14" t="n">
        <v>0.161</v>
      </c>
      <c r="G21" s="14" t="n">
        <v>0.273</v>
      </c>
      <c r="H21" s="14" t="n">
        <v>0.5659999999999999</v>
      </c>
      <c r="I21" s="10">
        <f>$B$7*F21+$C$7*G21+$D$7*H21</f>
        <v/>
      </c>
      <c r="J21" s="15">
        <f>$B$8*F21+$C$8*G21+$D$8*H21</f>
        <v/>
      </c>
      <c r="K21" s="10">
        <f>I21+0.4343*J21*(B21/(B21-1)*LN(B21)-1)</f>
        <v/>
      </c>
      <c r="L21" s="16">
        <f>E21*B21/1000000</f>
        <v/>
      </c>
      <c r="M21" s="16">
        <f>L21*$B$4</f>
        <v/>
      </c>
      <c r="N21" s="16">
        <f>M21*$B$6/K21</f>
        <v/>
      </c>
      <c r="O21" s="11" t="n">
        <v>2.47</v>
      </c>
      <c r="P21" s="17" t="n">
        <v>3</v>
      </c>
      <c r="Q21" s="12" t="n">
        <v>196.5</v>
      </c>
      <c r="R21" s="12" t="n">
        <v>237</v>
      </c>
      <c r="S21" s="11" t="n">
        <v>204.9</v>
      </c>
      <c r="T21" s="18">
        <f>S21-Q21</f>
        <v/>
      </c>
      <c r="U21" s="14" t="n">
        <v>42.701</v>
      </c>
      <c r="V21" s="14" t="n">
        <v>40.358</v>
      </c>
      <c r="W21" s="16">
        <f>U21-V21</f>
        <v/>
      </c>
      <c r="X21" s="19">
        <f>W21/U21</f>
        <v/>
      </c>
      <c r="Y21" s="14" t="n">
        <v>3.639</v>
      </c>
      <c r="Z21" s="14" t="n">
        <v>3.639</v>
      </c>
    </row>
    <row r="22">
      <c r="A22" s="9" t="inlineStr">
        <is>
          <t>Sarami 03</t>
        </is>
      </c>
      <c r="B22" s="10" t="n">
        <v>100</v>
      </c>
      <c r="C22" s="11" t="n">
        <v>227.77</v>
      </c>
      <c r="D22" s="12" t="n">
        <v>177.6</v>
      </c>
      <c r="E22" s="13">
        <f>D22*C22</f>
        <v/>
      </c>
      <c r="F22" s="14" t="n">
        <v>0.161</v>
      </c>
      <c r="G22" s="14" t="n">
        <v>0.273</v>
      </c>
      <c r="H22" s="14" t="n">
        <v>0.5659999999999999</v>
      </c>
      <c r="I22" s="10">
        <f>$B$7*F22+$C$7*G22+$D$7*H22</f>
        <v/>
      </c>
      <c r="J22" s="15">
        <f>$B$8*F22+$C$8*G22+$D$8*H22</f>
        <v/>
      </c>
      <c r="K22" s="10">
        <f>I22+0.4343*J22*(B22/(B22-1)*LN(B22)-1)</f>
        <v/>
      </c>
      <c r="L22" s="16">
        <f>E22*B22/1000000</f>
        <v/>
      </c>
      <c r="M22" s="16">
        <f>L22*$B$4</f>
        <v/>
      </c>
      <c r="N22" s="16">
        <f>M22*$B$6/K22</f>
        <v/>
      </c>
      <c r="O22" s="11" t="n">
        <v>2.47</v>
      </c>
      <c r="P22" s="17" t="n">
        <v>3</v>
      </c>
      <c r="Q22" s="12" t="n">
        <v>196.5</v>
      </c>
      <c r="R22" s="12" t="n">
        <v>237</v>
      </c>
      <c r="S22" s="11" t="n">
        <v>212.35</v>
      </c>
      <c r="T22" s="18">
        <f>S22-Q22</f>
        <v/>
      </c>
      <c r="U22" s="14" t="n">
        <v>42.701</v>
      </c>
      <c r="V22" s="14" t="n">
        <v>38.014</v>
      </c>
      <c r="W22" s="16">
        <f>U22-V22</f>
        <v/>
      </c>
      <c r="X22" s="19">
        <f>W22/U22</f>
        <v/>
      </c>
      <c r="Y22" s="14" t="n">
        <v>3.639</v>
      </c>
      <c r="Z22" s="14" t="n">
        <v>3.639</v>
      </c>
    </row>
    <row r="23">
      <c r="A23" s="9" t="inlineStr">
        <is>
          <t>Sarami 05</t>
        </is>
      </c>
      <c r="B23" s="10" t="n">
        <v>50</v>
      </c>
      <c r="C23" s="11" t="n">
        <v>53.69</v>
      </c>
      <c r="D23" s="12" t="n">
        <v>90</v>
      </c>
      <c r="E23" s="13">
        <f>D23*C23</f>
        <v/>
      </c>
      <c r="F23" s="14" t="n">
        <v>0.125</v>
      </c>
      <c r="G23" s="14" t="n">
        <v>0.272</v>
      </c>
      <c r="H23" s="14" t="n">
        <v>0.603</v>
      </c>
      <c r="I23" s="10">
        <f>$B$7*F23+$C$7*G23+$D$7*H23</f>
        <v/>
      </c>
      <c r="J23" s="15">
        <f>$B$8*F23+$C$8*G23+$D$8*H23</f>
        <v/>
      </c>
      <c r="K23" s="10">
        <f>I23+0.4343*J23*(B23/(B23-1)*LN(B23)-1)</f>
        <v/>
      </c>
      <c r="L23" s="16">
        <f>E23*B23/1000000</f>
        <v/>
      </c>
      <c r="M23" s="16">
        <f>L23*$B$4</f>
        <v/>
      </c>
      <c r="N23" s="16">
        <f>M23*$B$6/K23</f>
        <v/>
      </c>
      <c r="O23" s="11" t="n">
        <v>2.674</v>
      </c>
      <c r="P23" s="17" t="n">
        <v>2</v>
      </c>
      <c r="Q23" s="12" t="n">
        <v>163</v>
      </c>
      <c r="R23" s="12" t="n">
        <v>184</v>
      </c>
      <c r="S23" s="11" t="n">
        <v>163.55</v>
      </c>
      <c r="T23" s="18">
        <f>S23-Q23</f>
        <v/>
      </c>
      <c r="U23" s="14" t="n">
        <v>14.523</v>
      </c>
      <c r="V23" s="14" t="n">
        <v>14.25</v>
      </c>
      <c r="W23" s="16">
        <f>U23-V23</f>
        <v/>
      </c>
      <c r="X23" s="19">
        <f>W23/U23</f>
        <v/>
      </c>
      <c r="Y23" s="14" t="n">
        <v>1.722</v>
      </c>
      <c r="Z23" s="14" t="n">
        <v>1.722</v>
      </c>
    </row>
    <row r="24">
      <c r="A24" s="9" t="inlineStr">
        <is>
          <t>Sarami 05</t>
        </is>
      </c>
      <c r="B24" s="10" t="n">
        <v>100</v>
      </c>
      <c r="C24" s="11" t="n">
        <v>53.69</v>
      </c>
      <c r="D24" s="12" t="n">
        <v>90</v>
      </c>
      <c r="E24" s="13">
        <f>D24*C24</f>
        <v/>
      </c>
      <c r="F24" s="14" t="n">
        <v>0.125</v>
      </c>
      <c r="G24" s="14" t="n">
        <v>0.272</v>
      </c>
      <c r="H24" s="14" t="n">
        <v>0.603</v>
      </c>
      <c r="I24" s="10">
        <f>$B$7*F24+$C$7*G24+$D$7*H24</f>
        <v/>
      </c>
      <c r="J24" s="15">
        <f>$B$8*F24+$C$8*G24+$D$8*H24</f>
        <v/>
      </c>
      <c r="K24" s="10">
        <f>I24+0.4343*J24*(B24/(B24-1)*LN(B24)-1)</f>
        <v/>
      </c>
      <c r="L24" s="16">
        <f>E24*B24/1000000</f>
        <v/>
      </c>
      <c r="M24" s="16">
        <f>L24*$B$4</f>
        <v/>
      </c>
      <c r="N24" s="16">
        <f>M24*$B$6/K24</f>
        <v/>
      </c>
      <c r="O24" s="11" t="n">
        <v>2.674</v>
      </c>
      <c r="P24" s="17" t="n">
        <v>2</v>
      </c>
      <c r="Q24" s="12" t="n">
        <v>163</v>
      </c>
      <c r="R24" s="12" t="n">
        <v>184</v>
      </c>
      <c r="S24" s="11" t="n">
        <v>164.23</v>
      </c>
      <c r="T24" s="18">
        <f>S24-Q24</f>
        <v/>
      </c>
      <c r="U24" s="14" t="n">
        <v>14.523</v>
      </c>
      <c r="V24" s="14" t="n">
        <v>13.977</v>
      </c>
      <c r="W24" s="16">
        <f>U24-V24</f>
        <v/>
      </c>
      <c r="X24" s="19">
        <f>W24/U24</f>
        <v/>
      </c>
      <c r="Y24" s="14" t="n">
        <v>1.722</v>
      </c>
      <c r="Z24" s="14" t="n">
        <v>1.722</v>
      </c>
    </row>
    <row r="25">
      <c r="A25" s="9" t="inlineStr">
        <is>
          <t>Sakhin 04</t>
        </is>
      </c>
      <c r="B25" s="10" t="n">
        <v>50</v>
      </c>
      <c r="C25" s="11" t="n">
        <v>110.49</v>
      </c>
      <c r="D25" s="12" t="n">
        <v>90</v>
      </c>
      <c r="E25" s="13">
        <f>D25*C25</f>
        <v/>
      </c>
      <c r="F25" s="14" t="n">
        <v>0.125</v>
      </c>
      <c r="G25" s="14" t="n">
        <v>0.28</v>
      </c>
      <c r="H25" s="14" t="n">
        <v>0.595</v>
      </c>
      <c r="I25" s="10">
        <f>$B$7*F25+$C$7*G25+$D$7*H25</f>
        <v/>
      </c>
      <c r="J25" s="15">
        <f>$B$8*F25+$C$8*G25+$D$8*H25</f>
        <v/>
      </c>
      <c r="K25" s="10">
        <f>I25+0.4343*J25*(B25/(B25-1)*LN(B25)-1)</f>
        <v/>
      </c>
      <c r="L25" s="16">
        <f>E25*B25/1000000</f>
        <v/>
      </c>
      <c r="M25" s="16">
        <f>L25*$B$4</f>
        <v/>
      </c>
      <c r="N25" s="16">
        <f>M25*$B$6/K25</f>
        <v/>
      </c>
      <c r="O25" s="11" t="n">
        <v>2.329</v>
      </c>
      <c r="P25" s="17" t="n">
        <v>3</v>
      </c>
      <c r="Q25" s="12" t="n">
        <v>102</v>
      </c>
      <c r="R25" s="12" t="n">
        <v>122</v>
      </c>
      <c r="S25" s="11" t="n">
        <v>102</v>
      </c>
      <c r="T25" s="18">
        <f>S25-Q25</f>
        <v/>
      </c>
      <c r="U25" s="14" t="n">
        <v>22.606</v>
      </c>
      <c r="V25" s="14" t="n">
        <v>22.043</v>
      </c>
      <c r="W25" s="16">
        <f>U25-V25</f>
        <v/>
      </c>
      <c r="X25" s="19">
        <f>W25/U25</f>
        <v/>
      </c>
      <c r="Y25" s="14" t="n">
        <v>2.892</v>
      </c>
      <c r="Z25" s="14" t="n">
        <v>2.892</v>
      </c>
    </row>
    <row r="26">
      <c r="A26" s="9" t="inlineStr">
        <is>
          <t>Sakhin 04</t>
        </is>
      </c>
      <c r="B26" s="10" t="n">
        <v>100</v>
      </c>
      <c r="C26" s="11" t="n">
        <v>110.49</v>
      </c>
      <c r="D26" s="12" t="n">
        <v>90</v>
      </c>
      <c r="E26" s="13">
        <f>D26*C26</f>
        <v/>
      </c>
      <c r="F26" s="14" t="n">
        <v>0.125</v>
      </c>
      <c r="G26" s="14" t="n">
        <v>0.28</v>
      </c>
      <c r="H26" s="14" t="n">
        <v>0.595</v>
      </c>
      <c r="I26" s="10">
        <f>$B$7*F26+$C$7*G26+$D$7*H26</f>
        <v/>
      </c>
      <c r="J26" s="15">
        <f>$B$8*F26+$C$8*G26+$D$8*H26</f>
        <v/>
      </c>
      <c r="K26" s="10">
        <f>I26+0.4343*J26*(B26/(B26-1)*LN(B26)-1)</f>
        <v/>
      </c>
      <c r="L26" s="16">
        <f>E26*B26/1000000</f>
        <v/>
      </c>
      <c r="M26" s="16">
        <f>L26*$B$4</f>
        <v/>
      </c>
      <c r="N26" s="16">
        <f>M26*$B$6/K26</f>
        <v/>
      </c>
      <c r="O26" s="11" t="n">
        <v>2.329</v>
      </c>
      <c r="P26" s="17" t="n">
        <v>3</v>
      </c>
      <c r="Q26" s="12" t="n">
        <v>102</v>
      </c>
      <c r="R26" s="12" t="n">
        <v>122</v>
      </c>
      <c r="S26" s="11" t="n">
        <v>102</v>
      </c>
      <c r="T26" s="18">
        <f>S26-Q26</f>
        <v/>
      </c>
      <c r="U26" s="14" t="n">
        <v>22.606</v>
      </c>
      <c r="V26" s="14" t="n">
        <v>21.48</v>
      </c>
      <c r="W26" s="16">
        <f>U26-V26</f>
        <v/>
      </c>
      <c r="X26" s="19">
        <f>W26/U26</f>
        <v/>
      </c>
      <c r="Y26" s="14" t="n">
        <v>2.892</v>
      </c>
      <c r="Z26" s="14" t="n">
        <v>2.892</v>
      </c>
    </row>
    <row r="27">
      <c r="A27" s="9" t="inlineStr">
        <is>
          <t>Sakhin 08</t>
        </is>
      </c>
      <c r="B27" s="10" t="n">
        <v>50</v>
      </c>
      <c r="C27" s="11" t="n">
        <v>81.31</v>
      </c>
      <c r="D27" s="12" t="n">
        <v>129.5</v>
      </c>
      <c r="E27" s="13">
        <f>D27*C27</f>
        <v/>
      </c>
      <c r="F27" s="14" t="n">
        <v>0.143</v>
      </c>
      <c r="G27" s="14" t="n">
        <v>0.28</v>
      </c>
      <c r="H27" s="14" t="n">
        <v>0.577</v>
      </c>
      <c r="I27" s="10">
        <f>$B$7*F27+$C$7*G27+$D$7*H27</f>
        <v/>
      </c>
      <c r="J27" s="15">
        <f>$B$8*F27+$C$8*G27+$D$8*H27</f>
        <v/>
      </c>
      <c r="K27" s="10">
        <f>I27+0.4343*J27*(B27/(B27-1)*LN(B27)-1)</f>
        <v/>
      </c>
      <c r="L27" s="16">
        <f>E27*B27/1000000</f>
        <v/>
      </c>
      <c r="M27" s="16">
        <f>L27*$B$4</f>
        <v/>
      </c>
      <c r="N27" s="16">
        <f>M27*$B$6/K27</f>
        <v/>
      </c>
      <c r="O27" s="11" t="n">
        <v>3.033</v>
      </c>
      <c r="P27" s="17" t="n">
        <v>2</v>
      </c>
      <c r="Q27" s="12" t="n">
        <v>126.5</v>
      </c>
      <c r="R27" s="12" t="n">
        <v>139</v>
      </c>
      <c r="S27" s="11" t="n">
        <v>128.91</v>
      </c>
      <c r="T27" s="18">
        <f>S27-Q27</f>
        <v/>
      </c>
      <c r="U27" s="14" t="n">
        <v>7.462</v>
      </c>
      <c r="V27" s="14" t="n">
        <v>6.859</v>
      </c>
      <c r="W27" s="16">
        <f>U27-V27</f>
        <v/>
      </c>
      <c r="X27" s="19">
        <f>W27/U27</f>
        <v/>
      </c>
      <c r="Y27" s="14" t="n">
        <v>1.712</v>
      </c>
      <c r="Z27" s="14" t="n">
        <v>1.712</v>
      </c>
    </row>
    <row r="28">
      <c r="A28" s="9" t="inlineStr">
        <is>
          <t>Sakhin 08</t>
        </is>
      </c>
      <c r="B28" s="10" t="n">
        <v>100</v>
      </c>
      <c r="C28" s="11" t="n">
        <v>81.31</v>
      </c>
      <c r="D28" s="12" t="n">
        <v>129.5</v>
      </c>
      <c r="E28" s="13">
        <f>D28*C28</f>
        <v/>
      </c>
      <c r="F28" s="14" t="n">
        <v>0.143</v>
      </c>
      <c r="G28" s="14" t="n">
        <v>0.28</v>
      </c>
      <c r="H28" s="14" t="n">
        <v>0.577</v>
      </c>
      <c r="I28" s="10">
        <f>$B$7*F28+$C$7*G28+$D$7*H28</f>
        <v/>
      </c>
      <c r="J28" s="15">
        <f>$B$8*F28+$C$8*G28+$D$8*H28</f>
        <v/>
      </c>
      <c r="K28" s="10">
        <f>I28+0.4343*J28*(B28/(B28-1)*LN(B28)-1)</f>
        <v/>
      </c>
      <c r="L28" s="16">
        <f>E28*B28/1000000</f>
        <v/>
      </c>
      <c r="M28" s="16">
        <f>L28*$B$4</f>
        <v/>
      </c>
      <c r="N28" s="16">
        <f>M28*$B$6/K28</f>
        <v/>
      </c>
      <c r="O28" s="11" t="n">
        <v>3.033</v>
      </c>
      <c r="P28" s="17" t="n">
        <v>2</v>
      </c>
      <c r="Q28" s="12" t="n">
        <v>126.5</v>
      </c>
      <c r="R28" s="12" t="n">
        <v>139</v>
      </c>
      <c r="S28" s="11" t="n">
        <v>129.9</v>
      </c>
      <c r="T28" s="18">
        <f>S28-Q28</f>
        <v/>
      </c>
      <c r="U28" s="14" t="n">
        <v>7.462</v>
      </c>
      <c r="V28" s="14" t="n">
        <v>6.255</v>
      </c>
      <c r="W28" s="16">
        <f>U28-V28</f>
        <v/>
      </c>
      <c r="X28" s="19">
        <f>W28/U28</f>
        <v/>
      </c>
      <c r="Y28" s="14" t="n">
        <v>1.712</v>
      </c>
      <c r="Z28" s="14" t="n">
        <v>1.712</v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0" t="inlineStr">
        <is>
          <t>Blue = data (step 09 yield, SoilGrids texture, engine results of 2.6.3), black = formulas. Sediment yield = RUSLE soil loss x Williams (1977) SDR (sediment/B4_DAM_RUSLE.xlsx), expressed as a volume at 1.5 t/m³.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0" t="inlineStr">
        <is>
          <t>2.6.2: W1 = Wc pc + Wm pm + Ws ps (Lara &amp; Pemberton); WT = W1 + 0.4343 K (T/(T-1) ln T - 1) (Miller); operation 3 (reservoir normally empty) gives K = 0, so WT = W1. The deposited volume = trapped volume x 1500 / WT.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0" t="inlineStr">
        <is>
          <t>2.6.3: Empirical Area-Reduction Method (Borland &amp; Miller / Lara): reservoir type from the shape factor m (ln capacity vs ln depth), new zero-capacity elevation from the sediment volume, sediment area a = C p^A (1-p)^B scaled to the volume; computed by the validated engine of the Majlas study (W3/scripts/reservoir_sedimentation). Revised curves per dam on the 'Revised' sheets and in sediment/revised_eav/.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0" t="inlineStr">
        <is>
          <t>Trap efficiency 100 % is conservative for storage (flood-protection reservoirs that drain through outlets pass part of the fines; Brune's curve needs the mean annual inflow, not available). Deposition above FSL neglected.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0" t="inlineStr">
        <is>
          <t>Original curves: areas from the 10 m DEM inside the crest polygon, conic volumes, as in Block04_Dams_Elevation_Area_Volume.xlsx.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Hawasinah 02 -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144</v>
      </c>
      <c r="M3" s="2" t="n"/>
    </row>
    <row r="4">
      <c r="A4" s="12" t="n">
        <v>129.5</v>
      </c>
      <c r="B4" s="22" t="n">
        <v>0.0001</v>
      </c>
      <c r="C4" s="22" t="n">
        <v>0.0001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130</v>
      </c>
      <c r="B5" s="22" t="n">
        <v>0.0009</v>
      </c>
      <c r="C5" s="22" t="n">
        <v>0.0009</v>
      </c>
      <c r="D5" s="22" t="n">
        <v>0</v>
      </c>
      <c r="E5" s="22" t="n">
        <v>0.00022</v>
      </c>
      <c r="F5" s="22" t="n">
        <v>0.00022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MAX(E4:E33)*1.02</f>
        <v/>
      </c>
      <c r="M5" s="2">
        <f>L3</f>
        <v/>
      </c>
    </row>
    <row r="6">
      <c r="A6" s="12" t="n">
        <v>130.5</v>
      </c>
      <c r="B6" s="22" t="n">
        <v>0.0022</v>
      </c>
      <c r="C6" s="22" t="n">
        <v>0.0022</v>
      </c>
      <c r="D6" s="22" t="n">
        <v>0</v>
      </c>
      <c r="E6" s="22" t="n">
        <v>0.0009700000000000001</v>
      </c>
      <c r="F6" s="22" t="n">
        <v>0.0009700000000000001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131</v>
      </c>
      <c r="B7" s="22" t="n">
        <v>0.007</v>
      </c>
      <c r="C7" s="22" t="n">
        <v>0.007</v>
      </c>
      <c r="D7" s="22" t="n">
        <v>0</v>
      </c>
      <c r="E7" s="22" t="n">
        <v>0.00316</v>
      </c>
      <c r="F7" s="22" t="n">
        <v>0.00316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131.5</v>
      </c>
      <c r="B8" s="22" t="n">
        <v>0.0224</v>
      </c>
      <c r="C8" s="22" t="n">
        <v>0.0224</v>
      </c>
      <c r="D8" s="22" t="n">
        <v>0</v>
      </c>
      <c r="E8" s="22" t="n">
        <v>0.01014</v>
      </c>
      <c r="F8" s="22" t="n">
        <v>0.01014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132</v>
      </c>
      <c r="B9" s="22" t="n">
        <v>0.0605</v>
      </c>
      <c r="C9" s="22" t="n">
        <v>0.0605</v>
      </c>
      <c r="D9" s="22" t="n">
        <v>0</v>
      </c>
      <c r="E9" s="22" t="n">
        <v>0.03009</v>
      </c>
      <c r="F9" s="22" t="n">
        <v>0.03009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132.5</v>
      </c>
      <c r="B10" s="22" t="n">
        <v>0.1278</v>
      </c>
      <c r="C10" s="22" t="n">
        <v>0.1278</v>
      </c>
      <c r="D10" s="22" t="n">
        <v>0</v>
      </c>
      <c r="E10" s="22" t="n">
        <v>0.07613</v>
      </c>
      <c r="F10" s="22" t="n">
        <v>0.07613</v>
      </c>
      <c r="G10" s="22" t="n">
        <v>0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133</v>
      </c>
      <c r="B11" s="22" t="n">
        <v>0.2114</v>
      </c>
      <c r="C11" s="22" t="n">
        <v>0.2114</v>
      </c>
      <c r="D11" s="22" t="n">
        <v>0</v>
      </c>
      <c r="E11" s="22" t="n">
        <v>0.16006</v>
      </c>
      <c r="F11" s="22" t="n">
        <v>0.16006</v>
      </c>
      <c r="G11" s="22" t="n">
        <v>0</v>
      </c>
      <c r="H11" s="22" t="n">
        <v>0</v>
      </c>
      <c r="I11" s="22" t="n">
        <v>0</v>
      </c>
      <c r="J11" s="2" t="n"/>
      <c r="K11" s="2" t="n"/>
      <c r="L11" s="2" t="n"/>
      <c r="M11" s="2" t="n"/>
    </row>
    <row r="12">
      <c r="A12" s="12" t="n">
        <v>133.5</v>
      </c>
      <c r="B12" s="22" t="n">
        <v>0.2944</v>
      </c>
      <c r="C12" s="22" t="n">
        <v>0.2944</v>
      </c>
      <c r="D12" s="22" t="n">
        <v>0</v>
      </c>
      <c r="E12" s="22" t="n">
        <v>0.28594</v>
      </c>
      <c r="F12" s="22" t="n">
        <v>0.28594</v>
      </c>
      <c r="G12" s="22" t="n">
        <v>0</v>
      </c>
      <c r="H12" s="22" t="n">
        <v>0</v>
      </c>
      <c r="I12" s="22" t="n">
        <v>0</v>
      </c>
      <c r="J12" s="2" t="n"/>
      <c r="K12" s="2" t="n"/>
      <c r="L12" s="2" t="n"/>
      <c r="M12" s="2" t="n"/>
    </row>
    <row r="13">
      <c r="A13" s="12" t="n">
        <v>134</v>
      </c>
      <c r="B13" s="22" t="n">
        <v>0.3725</v>
      </c>
      <c r="C13" s="22" t="n">
        <v>0.33556</v>
      </c>
      <c r="D13" s="22" t="n">
        <v>0.03694</v>
      </c>
      <c r="E13" s="22" t="n">
        <v>0.45228</v>
      </c>
      <c r="F13" s="22" t="n">
        <v>0.45143</v>
      </c>
      <c r="G13" s="22" t="n">
        <v>0.00086</v>
      </c>
      <c r="H13" s="22" t="n">
        <v>0</v>
      </c>
      <c r="I13" s="22" t="n">
        <v>0</v>
      </c>
      <c r="J13" s="2" t="n"/>
      <c r="K13" s="2" t="n"/>
      <c r="L13" s="2" t="n"/>
      <c r="M13" s="2" t="n"/>
    </row>
    <row r="14">
      <c r="A14" s="12" t="n">
        <v>134.5</v>
      </c>
      <c r="B14" s="22" t="n">
        <v>0.447</v>
      </c>
      <c r="C14" s="22" t="n">
        <v>0.34891</v>
      </c>
      <c r="D14" s="22" t="n">
        <v>0.09809</v>
      </c>
      <c r="E14" s="22" t="n">
        <v>0.65687</v>
      </c>
      <c r="F14" s="22" t="n">
        <v>0.62254</v>
      </c>
      <c r="G14" s="22" t="n">
        <v>0.03433</v>
      </c>
      <c r="H14" s="22" t="n">
        <v>0</v>
      </c>
      <c r="I14" s="22" t="n">
        <v>0</v>
      </c>
      <c r="J14" s="2" t="n"/>
      <c r="K14" s="2" t="n"/>
      <c r="L14" s="2" t="n"/>
      <c r="M14" s="2" t="n"/>
    </row>
    <row r="15">
      <c r="A15" s="12" t="n">
        <v>135</v>
      </c>
      <c r="B15" s="22" t="n">
        <v>0.5091</v>
      </c>
      <c r="C15" s="22" t="n">
        <v>0.36032</v>
      </c>
      <c r="D15" s="22" t="n">
        <v>0.14878</v>
      </c>
      <c r="E15" s="22" t="n">
        <v>0.89573</v>
      </c>
      <c r="F15" s="22" t="n">
        <v>0.7998499999999999</v>
      </c>
      <c r="G15" s="22" t="n">
        <v>0.09588000000000001</v>
      </c>
      <c r="H15" s="22" t="n">
        <v>0</v>
      </c>
      <c r="I15" s="22" t="n">
        <v>0</v>
      </c>
      <c r="J15" s="2" t="n"/>
      <c r="K15" s="2" t="n"/>
      <c r="L15" s="2" t="n"/>
      <c r="M15" s="2" t="n"/>
    </row>
    <row r="16">
      <c r="A16" s="12" t="n">
        <v>135.5</v>
      </c>
      <c r="B16" s="22" t="n">
        <v>0.5685</v>
      </c>
      <c r="C16" s="22" t="n">
        <v>0.36987</v>
      </c>
      <c r="D16" s="22" t="n">
        <v>0.19863</v>
      </c>
      <c r="E16" s="22" t="n">
        <v>1.16499</v>
      </c>
      <c r="F16" s="22" t="n">
        <v>0.9824000000000001</v>
      </c>
      <c r="G16" s="22" t="n">
        <v>0.1826</v>
      </c>
      <c r="H16" s="22" t="n">
        <v>0</v>
      </c>
      <c r="I16" s="22" t="n">
        <v>0</v>
      </c>
      <c r="J16" s="2" t="n"/>
      <c r="K16" s="2" t="n"/>
      <c r="L16" s="2" t="n"/>
      <c r="M16" s="2" t="n"/>
    </row>
    <row r="17">
      <c r="A17" s="12" t="n">
        <v>136</v>
      </c>
      <c r="B17" s="22" t="n">
        <v>0.6217</v>
      </c>
      <c r="C17" s="22" t="n">
        <v>0.37763</v>
      </c>
      <c r="D17" s="22" t="n">
        <v>0.24407</v>
      </c>
      <c r="E17" s="22" t="n">
        <v>1.46245</v>
      </c>
      <c r="F17" s="22" t="n">
        <v>1.16927</v>
      </c>
      <c r="G17" s="22" t="n">
        <v>0.29317</v>
      </c>
      <c r="H17" s="22" t="n">
        <v>0</v>
      </c>
      <c r="I17" s="22" t="n">
        <v>0</v>
      </c>
      <c r="J17" s="2" t="n"/>
      <c r="K17" s="2" t="n"/>
      <c r="L17" s="2" t="n"/>
      <c r="M17" s="2" t="n"/>
    </row>
    <row r="18">
      <c r="A18" s="12" t="n">
        <v>136.5</v>
      </c>
      <c r="B18" s="22" t="n">
        <v>0.6669</v>
      </c>
      <c r="C18" s="22" t="n">
        <v>0.38363</v>
      </c>
      <c r="D18" s="22" t="n">
        <v>0.28327</v>
      </c>
      <c r="E18" s="22" t="n">
        <v>1.78453</v>
      </c>
      <c r="F18" s="22" t="n">
        <v>1.35959</v>
      </c>
      <c r="G18" s="22" t="n">
        <v>0.42494</v>
      </c>
      <c r="H18" s="22" t="n">
        <v>0</v>
      </c>
      <c r="I18" s="22" t="n">
        <v>0</v>
      </c>
      <c r="J18" s="2" t="n"/>
      <c r="K18" s="2" t="n"/>
      <c r="L18" s="2" t="n"/>
      <c r="M18" s="2" t="n"/>
    </row>
    <row r="19">
      <c r="A19" s="12" t="n">
        <v>137</v>
      </c>
      <c r="B19" s="22" t="n">
        <v>0.7189</v>
      </c>
      <c r="C19" s="22" t="n">
        <v>0.38789</v>
      </c>
      <c r="D19" s="22" t="n">
        <v>0.33101</v>
      </c>
      <c r="E19" s="22" t="n">
        <v>2.1309</v>
      </c>
      <c r="F19" s="22" t="n">
        <v>1.55247</v>
      </c>
      <c r="G19" s="22" t="n">
        <v>0.57843</v>
      </c>
      <c r="H19" s="22" t="n">
        <v>0</v>
      </c>
      <c r="I19" s="22" t="n">
        <v>0</v>
      </c>
      <c r="J19" s="2" t="n"/>
      <c r="K19" s="2" t="n"/>
      <c r="L19" s="2" t="n"/>
      <c r="M19" s="2" t="n"/>
    </row>
    <row r="20">
      <c r="A20" s="12" t="n">
        <v>137.5</v>
      </c>
      <c r="B20" s="22" t="n">
        <v>0.7751</v>
      </c>
      <c r="C20" s="22" t="n">
        <v>0.39038</v>
      </c>
      <c r="D20" s="22" t="n">
        <v>0.38472</v>
      </c>
      <c r="E20" s="22" t="n">
        <v>2.50431</v>
      </c>
      <c r="F20" s="22" t="n">
        <v>1.74704</v>
      </c>
      <c r="G20" s="22" t="n">
        <v>0.75727</v>
      </c>
      <c r="H20" s="22" t="n">
        <v>0</v>
      </c>
      <c r="I20" s="22" t="n">
        <v>0</v>
      </c>
      <c r="J20" s="2" t="n"/>
      <c r="K20" s="2" t="n"/>
      <c r="L20" s="2" t="n"/>
      <c r="M20" s="2" t="n"/>
    </row>
    <row r="21">
      <c r="A21" s="12" t="n">
        <v>138</v>
      </c>
      <c r="B21" s="22" t="n">
        <v>0.8418</v>
      </c>
      <c r="C21" s="22" t="n">
        <v>0.39106</v>
      </c>
      <c r="D21" s="22" t="n">
        <v>0.45074</v>
      </c>
      <c r="E21" s="22" t="n">
        <v>2.90842</v>
      </c>
      <c r="F21" s="22" t="n">
        <v>1.9424</v>
      </c>
      <c r="G21" s="22" t="n">
        <v>0.96602</v>
      </c>
      <c r="H21" s="22" t="n">
        <v>0</v>
      </c>
      <c r="I21" s="22" t="n">
        <v>0</v>
      </c>
      <c r="J21" s="2" t="n"/>
      <c r="K21" s="2" t="n"/>
      <c r="L21" s="2" t="n"/>
      <c r="M21" s="2" t="n"/>
    </row>
    <row r="22">
      <c r="A22" s="12" t="n">
        <v>138.5</v>
      </c>
      <c r="B22" s="22" t="n">
        <v>0.9074</v>
      </c>
      <c r="C22" s="22" t="n">
        <v>0.38986</v>
      </c>
      <c r="D22" s="22" t="n">
        <v>0.51754</v>
      </c>
      <c r="E22" s="22" t="n">
        <v>3.34562</v>
      </c>
      <c r="F22" s="22" t="n">
        <v>2.13763</v>
      </c>
      <c r="G22" s="22" t="n">
        <v>1.20799</v>
      </c>
      <c r="H22" s="22" t="n">
        <v>0</v>
      </c>
      <c r="I22" s="22" t="n">
        <v>0</v>
      </c>
      <c r="J22" s="2" t="n"/>
      <c r="K22" s="2" t="n"/>
      <c r="L22" s="2" t="n"/>
      <c r="M22" s="2" t="n"/>
    </row>
    <row r="23">
      <c r="A23" s="12" t="n">
        <v>139</v>
      </c>
      <c r="B23" s="22" t="n">
        <v>0.9757</v>
      </c>
      <c r="C23" s="22" t="n">
        <v>0.38665</v>
      </c>
      <c r="D23" s="22" t="n">
        <v>0.58905</v>
      </c>
      <c r="E23" s="22" t="n">
        <v>3.81629</v>
      </c>
      <c r="F23" s="22" t="n">
        <v>2.33176</v>
      </c>
      <c r="G23" s="22" t="n">
        <v>1.48453</v>
      </c>
      <c r="H23" s="22" t="n">
        <v>0</v>
      </c>
      <c r="I23" s="22" t="n">
        <v>0</v>
      </c>
      <c r="J23" s="2" t="n"/>
      <c r="K23" s="2" t="n"/>
      <c r="L23" s="2" t="n"/>
      <c r="M23" s="2" t="n"/>
    </row>
    <row r="24">
      <c r="A24" s="12" t="n">
        <v>139.5</v>
      </c>
      <c r="B24" s="22" t="n">
        <v>1.0332</v>
      </c>
      <c r="C24" s="22" t="n">
        <v>0.38129</v>
      </c>
      <c r="D24" s="22" t="n">
        <v>0.65191</v>
      </c>
      <c r="E24" s="22" t="n">
        <v>4.31845</v>
      </c>
      <c r="F24" s="22" t="n">
        <v>2.52374</v>
      </c>
      <c r="G24" s="22" t="n">
        <v>1.7947</v>
      </c>
      <c r="H24" s="22" t="n">
        <v>0.05669</v>
      </c>
      <c r="I24" s="22" t="n">
        <v>0.01369</v>
      </c>
      <c r="J24" s="2" t="n"/>
      <c r="K24" s="2" t="n"/>
      <c r="L24" s="2" t="n"/>
      <c r="M24" s="2" t="n"/>
    </row>
    <row r="25">
      <c r="A25" s="12" t="n">
        <v>140</v>
      </c>
      <c r="B25" s="22" t="n">
        <v>1.0963</v>
      </c>
      <c r="C25" s="22" t="n">
        <v>0.37356</v>
      </c>
      <c r="D25" s="22" t="n">
        <v>0.72274</v>
      </c>
      <c r="E25" s="22" t="n">
        <v>4.85074</v>
      </c>
      <c r="F25" s="22" t="n">
        <v>2.71245</v>
      </c>
      <c r="G25" s="22" t="n">
        <v>2.13829</v>
      </c>
      <c r="H25" s="22" t="n">
        <v>0.13958</v>
      </c>
      <c r="I25" s="22" t="n">
        <v>0.06268</v>
      </c>
      <c r="J25" s="2" t="n"/>
      <c r="K25" s="2" t="n"/>
      <c r="L25" s="2" t="n"/>
      <c r="M25" s="2" t="n"/>
    </row>
    <row r="26">
      <c r="A26" s="12" t="n">
        <v>140.5</v>
      </c>
      <c r="B26" s="22" t="n">
        <v>1.1563</v>
      </c>
      <c r="C26" s="22" t="n">
        <v>0.36316</v>
      </c>
      <c r="D26" s="22" t="n">
        <v>0.79314</v>
      </c>
      <c r="E26" s="22" t="n">
        <v>5.41383</v>
      </c>
      <c r="F26" s="22" t="n">
        <v>2.89663</v>
      </c>
      <c r="G26" s="22" t="n">
        <v>2.51719</v>
      </c>
      <c r="H26" s="22" t="n">
        <v>0.22621</v>
      </c>
      <c r="I26" s="22" t="n">
        <v>0.15406</v>
      </c>
      <c r="J26" s="2" t="n"/>
      <c r="K26" s="2" t="n"/>
      <c r="L26" s="2" t="n"/>
      <c r="M26" s="2" t="n"/>
    </row>
    <row r="27">
      <c r="A27" s="12" t="n">
        <v>141</v>
      </c>
      <c r="B27" s="22" t="n">
        <v>1.2267</v>
      </c>
      <c r="C27" s="22" t="n">
        <v>0.34967</v>
      </c>
      <c r="D27" s="22" t="n">
        <v>0.87703</v>
      </c>
      <c r="E27" s="22" t="n">
        <v>6.00949</v>
      </c>
      <c r="F27" s="22" t="n">
        <v>3.07484</v>
      </c>
      <c r="G27" s="22" t="n">
        <v>2.93465</v>
      </c>
      <c r="H27" s="22" t="n">
        <v>0.33117</v>
      </c>
      <c r="I27" s="22" t="n">
        <v>0.29332</v>
      </c>
      <c r="J27" s="2" t="n"/>
      <c r="K27" s="2" t="n"/>
      <c r="L27" s="2" t="n"/>
      <c r="M27" s="2" t="n"/>
    </row>
    <row r="28">
      <c r="A28" s="12" t="n">
        <v>141.5</v>
      </c>
      <c r="B28" s="22" t="n">
        <v>1.2994</v>
      </c>
      <c r="C28" s="22" t="n">
        <v>0.33245</v>
      </c>
      <c r="D28" s="22" t="n">
        <v>0.96695</v>
      </c>
      <c r="E28" s="22" t="n">
        <v>6.64093</v>
      </c>
      <c r="F28" s="22" t="n">
        <v>3.24537</v>
      </c>
      <c r="G28" s="22" t="n">
        <v>3.39556</v>
      </c>
      <c r="H28" s="22" t="n">
        <v>0.44797</v>
      </c>
      <c r="I28" s="22" t="n">
        <v>0.48802</v>
      </c>
      <c r="J28" s="2" t="n"/>
      <c r="K28" s="2" t="n"/>
      <c r="L28" s="2" t="n"/>
      <c r="M28" s="2" t="n"/>
    </row>
    <row r="29">
      <c r="A29" s="12" t="n">
        <v>142</v>
      </c>
      <c r="B29" s="22" t="n">
        <v>1.3764</v>
      </c>
      <c r="C29" s="22" t="n">
        <v>0.31053</v>
      </c>
      <c r="D29" s="22" t="n">
        <v>1.06587</v>
      </c>
      <c r="E29" s="22" t="n">
        <v>7.30979</v>
      </c>
      <c r="F29" s="22" t="n">
        <v>3.40611</v>
      </c>
      <c r="G29" s="22" t="n">
        <v>3.90367</v>
      </c>
      <c r="H29" s="22" t="n">
        <v>0.58112</v>
      </c>
      <c r="I29" s="22" t="n">
        <v>0.7452</v>
      </c>
      <c r="J29" s="2" t="n"/>
      <c r="K29" s="2" t="n"/>
      <c r="L29" s="2" t="n"/>
      <c r="M29" s="2" t="n"/>
    </row>
    <row r="30">
      <c r="A30" s="12" t="n">
        <v>142.5</v>
      </c>
      <c r="B30" s="22" t="n">
        <v>1.4678</v>
      </c>
      <c r="C30" s="22" t="n">
        <v>0.28222</v>
      </c>
      <c r="D30" s="22" t="n">
        <v>1.18558</v>
      </c>
      <c r="E30" s="22" t="n">
        <v>8.020709999999999</v>
      </c>
      <c r="F30" s="22" t="n">
        <v>3.5543</v>
      </c>
      <c r="G30" s="22" t="n">
        <v>4.46641</v>
      </c>
      <c r="H30" s="22" t="n">
        <v>0.74502</v>
      </c>
      <c r="I30" s="22" t="n">
        <v>1.07661</v>
      </c>
      <c r="J30" s="2" t="n"/>
      <c r="K30" s="2" t="n"/>
      <c r="L30" s="2" t="n"/>
      <c r="M30" s="2" t="n"/>
    </row>
    <row r="31">
      <c r="A31" s="12" t="n">
        <v>143</v>
      </c>
      <c r="B31" s="22" t="n">
        <v>1.5626</v>
      </c>
      <c r="C31" s="22" t="n">
        <v>0.24419</v>
      </c>
      <c r="D31" s="22" t="n">
        <v>1.31841</v>
      </c>
      <c r="E31" s="22" t="n">
        <v>8.77819</v>
      </c>
      <c r="F31" s="22" t="n">
        <v>3.6859</v>
      </c>
      <c r="G31" s="22" t="n">
        <v>5.09229</v>
      </c>
      <c r="H31" s="22" t="n">
        <v>0.93721</v>
      </c>
      <c r="I31" s="22" t="n">
        <v>1.49704</v>
      </c>
      <c r="J31" s="2" t="n"/>
      <c r="K31" s="2" t="n"/>
      <c r="L31" s="2" t="n"/>
      <c r="M31" s="2" t="n"/>
    </row>
    <row r="32">
      <c r="A32" s="12" t="n">
        <v>143.5</v>
      </c>
      <c r="B32" s="22" t="n">
        <v>1.6332</v>
      </c>
      <c r="C32" s="22" t="n">
        <v>0.18763</v>
      </c>
      <c r="D32" s="22" t="n">
        <v>1.44557</v>
      </c>
      <c r="E32" s="22" t="n">
        <v>9.577070000000001</v>
      </c>
      <c r="F32" s="22" t="n">
        <v>3.79386</v>
      </c>
      <c r="G32" s="22" t="n">
        <v>5.78322</v>
      </c>
      <c r="H32" s="22" t="n">
        <v>1.15266</v>
      </c>
      <c r="I32" s="22" t="n">
        <v>2.01944</v>
      </c>
      <c r="J32" s="2" t="n"/>
      <c r="K32" s="2" t="n"/>
      <c r="L32" s="2" t="n"/>
      <c r="M32" s="2" t="n"/>
    </row>
    <row r="33">
      <c r="A33" s="12" t="n">
        <v>144</v>
      </c>
      <c r="B33" s="22" t="n">
        <v>1.708</v>
      </c>
      <c r="C33" s="22" t="n">
        <v>0</v>
      </c>
      <c r="D33" s="22" t="n">
        <v>1.708</v>
      </c>
      <c r="E33" s="22" t="n">
        <v>10.4123</v>
      </c>
      <c r="F33" s="22" t="n">
        <v>3.84076</v>
      </c>
      <c r="G33" s="22" t="n">
        <v>6.57154</v>
      </c>
      <c r="H33" s="22" t="n">
        <v>1.708</v>
      </c>
      <c r="I33" s="22" t="n">
        <v>2.73454</v>
      </c>
      <c r="J33" s="2" t="n"/>
      <c r="K33" s="2" t="n"/>
      <c r="L33" s="2" t="n"/>
      <c r="M3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Hawasinah 11 -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251</v>
      </c>
      <c r="M3" s="2" t="n"/>
    </row>
    <row r="4">
      <c r="A4" s="12" t="n">
        <v>216</v>
      </c>
      <c r="B4" s="22" t="n">
        <v>0.0007</v>
      </c>
      <c r="C4" s="22" t="n">
        <v>0.0007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216.5</v>
      </c>
      <c r="B5" s="22" t="n">
        <v>0.0038</v>
      </c>
      <c r="C5" s="22" t="n">
        <v>0.0038</v>
      </c>
      <c r="D5" s="22" t="n">
        <v>0</v>
      </c>
      <c r="E5" s="22" t="n">
        <v>0.00102</v>
      </c>
      <c r="F5" s="22" t="n">
        <v>0.00102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MAX(E4:E74)*1.02</f>
        <v/>
      </c>
      <c r="M5" s="2">
        <f>L3</f>
        <v/>
      </c>
    </row>
    <row r="6">
      <c r="A6" s="12" t="n">
        <v>217</v>
      </c>
      <c r="B6" s="22" t="n">
        <v>0.0113</v>
      </c>
      <c r="C6" s="22" t="n">
        <v>0.0113</v>
      </c>
      <c r="D6" s="22" t="n">
        <v>0</v>
      </c>
      <c r="E6" s="22" t="n">
        <v>0.00463</v>
      </c>
      <c r="F6" s="22" t="n">
        <v>0.00463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217.5</v>
      </c>
      <c r="B7" s="22" t="n">
        <v>0.0213</v>
      </c>
      <c r="C7" s="22" t="n">
        <v>0.0213</v>
      </c>
      <c r="D7" s="22" t="n">
        <v>0</v>
      </c>
      <c r="E7" s="22" t="n">
        <v>0.01265</v>
      </c>
      <c r="F7" s="22" t="n">
        <v>0.01265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218</v>
      </c>
      <c r="B8" s="22" t="n">
        <v>0.031</v>
      </c>
      <c r="C8" s="22" t="n">
        <v>0.031</v>
      </c>
      <c r="D8" s="22" t="n">
        <v>0</v>
      </c>
      <c r="E8" s="22" t="n">
        <v>0.02565</v>
      </c>
      <c r="F8" s="22" t="n">
        <v>0.02565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218.5</v>
      </c>
      <c r="B9" s="22" t="n">
        <v>0.0443</v>
      </c>
      <c r="C9" s="22" t="n">
        <v>0.0443</v>
      </c>
      <c r="D9" s="22" t="n">
        <v>0</v>
      </c>
      <c r="E9" s="22" t="n">
        <v>0.04438</v>
      </c>
      <c r="F9" s="22" t="n">
        <v>0.04438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219</v>
      </c>
      <c r="B10" s="22" t="n">
        <v>0.0583</v>
      </c>
      <c r="C10" s="22" t="n">
        <v>0.05716</v>
      </c>
      <c r="D10" s="22" t="n">
        <v>0.00114</v>
      </c>
      <c r="E10" s="22" t="n">
        <v>0.06995</v>
      </c>
      <c r="F10" s="22" t="n">
        <v>0.07051</v>
      </c>
      <c r="G10" s="22" t="n">
        <v>0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219.5</v>
      </c>
      <c r="B11" s="22" t="n">
        <v>0.0733</v>
      </c>
      <c r="C11" s="22" t="n">
        <v>0.0658</v>
      </c>
      <c r="D11" s="22" t="n">
        <v>0.0075</v>
      </c>
      <c r="E11" s="22" t="n">
        <v>0.10277</v>
      </c>
      <c r="F11" s="22" t="n">
        <v>0.10125</v>
      </c>
      <c r="G11" s="22" t="n">
        <v>0.00152</v>
      </c>
      <c r="H11" s="22" t="n">
        <v>0</v>
      </c>
      <c r="I11" s="22" t="n">
        <v>0</v>
      </c>
      <c r="J11" s="2" t="n"/>
      <c r="K11" s="2" t="n"/>
      <c r="L11" s="2" t="n"/>
      <c r="M11" s="2" t="n"/>
    </row>
    <row r="12">
      <c r="A12" s="12" t="n">
        <v>220</v>
      </c>
      <c r="B12" s="22" t="n">
        <v>0.09089999999999999</v>
      </c>
      <c r="C12" s="22" t="n">
        <v>0.07393</v>
      </c>
      <c r="D12" s="22" t="n">
        <v>0.01697</v>
      </c>
      <c r="E12" s="22" t="n">
        <v>0.14375</v>
      </c>
      <c r="F12" s="22" t="n">
        <v>0.13618</v>
      </c>
      <c r="G12" s="22" t="n">
        <v>0.00756</v>
      </c>
      <c r="H12" s="22" t="n">
        <v>0</v>
      </c>
      <c r="I12" s="22" t="n">
        <v>0</v>
      </c>
      <c r="J12" s="2" t="n"/>
      <c r="K12" s="2" t="n"/>
      <c r="L12" s="2" t="n"/>
      <c r="M12" s="2" t="n"/>
    </row>
    <row r="13">
      <c r="A13" s="12" t="n">
        <v>220.5</v>
      </c>
      <c r="B13" s="22" t="n">
        <v>0.1062</v>
      </c>
      <c r="C13" s="22" t="n">
        <v>0.08151</v>
      </c>
      <c r="D13" s="22" t="n">
        <v>0.02469</v>
      </c>
      <c r="E13" s="22" t="n">
        <v>0.19297</v>
      </c>
      <c r="F13" s="22" t="n">
        <v>0.17504</v>
      </c>
      <c r="G13" s="22" t="n">
        <v>0.01793</v>
      </c>
      <c r="H13" s="22" t="n">
        <v>0</v>
      </c>
      <c r="I13" s="22" t="n">
        <v>0</v>
      </c>
      <c r="J13" s="2" t="n"/>
      <c r="K13" s="2" t="n"/>
      <c r="L13" s="2" t="n"/>
      <c r="M13" s="2" t="n"/>
    </row>
    <row r="14">
      <c r="A14" s="12" t="n">
        <v>221</v>
      </c>
      <c r="B14" s="22" t="n">
        <v>0.1248</v>
      </c>
      <c r="C14" s="22" t="n">
        <v>0.08855</v>
      </c>
      <c r="D14" s="22" t="n">
        <v>0.03625</v>
      </c>
      <c r="E14" s="22" t="n">
        <v>0.25066</v>
      </c>
      <c r="F14" s="22" t="n">
        <v>0.21756</v>
      </c>
      <c r="G14" s="22" t="n">
        <v>0.0331</v>
      </c>
      <c r="H14" s="22" t="n">
        <v>0</v>
      </c>
      <c r="I14" s="22" t="n">
        <v>0</v>
      </c>
      <c r="J14" s="2" t="n"/>
      <c r="K14" s="2" t="n"/>
      <c r="L14" s="2" t="n"/>
      <c r="M14" s="2" t="n"/>
    </row>
    <row r="15">
      <c r="A15" s="12" t="n">
        <v>221.5</v>
      </c>
      <c r="B15" s="22" t="n">
        <v>0.141</v>
      </c>
      <c r="C15" s="22" t="n">
        <v>0.09503</v>
      </c>
      <c r="D15" s="22" t="n">
        <v>0.04597</v>
      </c>
      <c r="E15" s="22" t="n">
        <v>0.31707</v>
      </c>
      <c r="F15" s="22" t="n">
        <v>0.26345</v>
      </c>
      <c r="G15" s="22" t="n">
        <v>0.05361</v>
      </c>
      <c r="H15" s="22" t="n">
        <v>0</v>
      </c>
      <c r="I15" s="22" t="n">
        <v>0</v>
      </c>
      <c r="J15" s="2" t="n"/>
      <c r="K15" s="2" t="n"/>
      <c r="L15" s="2" t="n"/>
      <c r="M15" s="2" t="n"/>
    </row>
    <row r="16">
      <c r="A16" s="12" t="n">
        <v>222</v>
      </c>
      <c r="B16" s="22" t="n">
        <v>0.1594</v>
      </c>
      <c r="C16" s="22" t="n">
        <v>0.10095</v>
      </c>
      <c r="D16" s="22" t="n">
        <v>0.05845</v>
      </c>
      <c r="E16" s="22" t="n">
        <v>0.39212</v>
      </c>
      <c r="F16" s="22" t="n">
        <v>0.31245</v>
      </c>
      <c r="G16" s="22" t="n">
        <v>0.07967</v>
      </c>
      <c r="H16" s="22" t="n">
        <v>0</v>
      </c>
      <c r="I16" s="22" t="n">
        <v>0</v>
      </c>
      <c r="J16" s="2" t="n"/>
      <c r="K16" s="2" t="n"/>
      <c r="L16" s="2" t="n"/>
      <c r="M16" s="2" t="n"/>
    </row>
    <row r="17">
      <c r="A17" s="12" t="n">
        <v>222.5</v>
      </c>
      <c r="B17" s="22" t="n">
        <v>0.1788</v>
      </c>
      <c r="C17" s="22" t="n">
        <v>0.10631</v>
      </c>
      <c r="D17" s="22" t="n">
        <v>0.07249</v>
      </c>
      <c r="E17" s="22" t="n">
        <v>0.47662</v>
      </c>
      <c r="F17" s="22" t="n">
        <v>0.36426</v>
      </c>
      <c r="G17" s="22" t="n">
        <v>0.11236</v>
      </c>
      <c r="H17" s="22" t="n">
        <v>0</v>
      </c>
      <c r="I17" s="22" t="n">
        <v>0</v>
      </c>
      <c r="J17" s="2" t="n"/>
      <c r="K17" s="2" t="n"/>
      <c r="L17" s="2" t="n"/>
      <c r="M17" s="2" t="n"/>
    </row>
    <row r="18">
      <c r="A18" s="12" t="n">
        <v>223</v>
      </c>
      <c r="B18" s="22" t="n">
        <v>0.1972</v>
      </c>
      <c r="C18" s="22" t="n">
        <v>0.11111</v>
      </c>
      <c r="D18" s="22" t="n">
        <v>0.08609</v>
      </c>
      <c r="E18" s="22" t="n">
        <v>0.57059</v>
      </c>
      <c r="F18" s="22" t="n">
        <v>0.41862</v>
      </c>
      <c r="G18" s="22" t="n">
        <v>0.15197</v>
      </c>
      <c r="H18" s="22" t="n">
        <v>0</v>
      </c>
      <c r="I18" s="22" t="n">
        <v>0</v>
      </c>
      <c r="J18" s="2" t="n"/>
      <c r="K18" s="2" t="n"/>
      <c r="L18" s="2" t="n"/>
      <c r="M18" s="2" t="n"/>
    </row>
    <row r="19">
      <c r="A19" s="12" t="n">
        <v>223.5</v>
      </c>
      <c r="B19" s="22" t="n">
        <v>0.2153</v>
      </c>
      <c r="C19" s="22" t="n">
        <v>0.11536</v>
      </c>
      <c r="D19" s="22" t="n">
        <v>0.09994</v>
      </c>
      <c r="E19" s="22" t="n">
        <v>0.6736799999999999</v>
      </c>
      <c r="F19" s="22" t="n">
        <v>0.47523</v>
      </c>
      <c r="G19" s="22" t="n">
        <v>0.19845</v>
      </c>
      <c r="H19" s="22" t="n">
        <v>0</v>
      </c>
      <c r="I19" s="22" t="n">
        <v>0</v>
      </c>
      <c r="J19" s="2" t="n"/>
      <c r="K19" s="2" t="n"/>
      <c r="L19" s="2" t="n"/>
      <c r="M19" s="2" t="n"/>
    </row>
    <row r="20">
      <c r="A20" s="12" t="n">
        <v>224</v>
      </c>
      <c r="B20" s="22" t="n">
        <v>0.2399</v>
      </c>
      <c r="C20" s="22" t="n">
        <v>0.11907</v>
      </c>
      <c r="D20" s="22" t="n">
        <v>0.12083</v>
      </c>
      <c r="E20" s="22" t="n">
        <v>0.78742</v>
      </c>
      <c r="F20" s="22" t="n">
        <v>0.53384</v>
      </c>
      <c r="G20" s="22" t="n">
        <v>0.25359</v>
      </c>
      <c r="H20" s="22" t="n">
        <v>0</v>
      </c>
      <c r="I20" s="22" t="n">
        <v>0</v>
      </c>
      <c r="J20" s="2" t="n"/>
      <c r="K20" s="2" t="n"/>
      <c r="L20" s="2" t="n"/>
      <c r="M20" s="2" t="n"/>
    </row>
    <row r="21">
      <c r="A21" s="12" t="n">
        <v>224.5</v>
      </c>
      <c r="B21" s="22" t="n">
        <v>0.2624</v>
      </c>
      <c r="C21" s="22" t="n">
        <v>0.12224</v>
      </c>
      <c r="D21" s="22" t="n">
        <v>0.14016</v>
      </c>
      <c r="E21" s="22" t="n">
        <v>0.91296</v>
      </c>
      <c r="F21" s="22" t="n">
        <v>0.59416</v>
      </c>
      <c r="G21" s="22" t="n">
        <v>0.31879</v>
      </c>
      <c r="H21" s="22" t="n">
        <v>0</v>
      </c>
      <c r="I21" s="22" t="n">
        <v>0</v>
      </c>
      <c r="J21" s="2" t="n"/>
      <c r="K21" s="2" t="n"/>
      <c r="L21" s="2" t="n"/>
      <c r="M21" s="2" t="n"/>
    </row>
    <row r="22">
      <c r="A22" s="12" t="n">
        <v>225</v>
      </c>
      <c r="B22" s="22" t="n">
        <v>0.2845</v>
      </c>
      <c r="C22" s="22" t="n">
        <v>0.12491</v>
      </c>
      <c r="D22" s="22" t="n">
        <v>0.15959</v>
      </c>
      <c r="E22" s="22" t="n">
        <v>1.04964</v>
      </c>
      <c r="F22" s="22" t="n">
        <v>0.65595</v>
      </c>
      <c r="G22" s="22" t="n">
        <v>0.39369</v>
      </c>
      <c r="H22" s="22" t="n">
        <v>0.01596</v>
      </c>
      <c r="I22" s="22" t="n">
        <v>0.00371</v>
      </c>
      <c r="J22" s="2" t="n"/>
      <c r="K22" s="2" t="n"/>
      <c r="L22" s="2" t="n"/>
      <c r="M22" s="2" t="n"/>
    </row>
    <row r="23">
      <c r="A23" s="12" t="n">
        <v>225.5</v>
      </c>
      <c r="B23" s="22" t="n">
        <v>0.3069</v>
      </c>
      <c r="C23" s="22" t="n">
        <v>0.12706</v>
      </c>
      <c r="D23" s="22" t="n">
        <v>0.17984</v>
      </c>
      <c r="E23" s="22" t="n">
        <v>1.19746</v>
      </c>
      <c r="F23" s="22" t="n">
        <v>0.71894</v>
      </c>
      <c r="G23" s="22" t="n">
        <v>0.47851</v>
      </c>
      <c r="H23" s="22" t="n">
        <v>0.03372</v>
      </c>
      <c r="I23" s="22" t="n">
        <v>0.01609</v>
      </c>
      <c r="J23" s="2" t="n"/>
      <c r="K23" s="2" t="n"/>
      <c r="L23" s="2" t="n"/>
      <c r="M23" s="2" t="n"/>
    </row>
    <row r="24">
      <c r="A24" s="12" t="n">
        <v>226</v>
      </c>
      <c r="B24" s="22" t="n">
        <v>0.3315</v>
      </c>
      <c r="C24" s="22" t="n">
        <v>0.12873</v>
      </c>
      <c r="D24" s="22" t="n">
        <v>0.20277</v>
      </c>
      <c r="E24" s="22" t="n">
        <v>1.35702</v>
      </c>
      <c r="F24" s="22" t="n">
        <v>0.78289</v>
      </c>
      <c r="G24" s="22" t="n">
        <v>0.57412</v>
      </c>
      <c r="H24" s="22" t="n">
        <v>0.05473</v>
      </c>
      <c r="I24" s="22" t="n">
        <v>0.03816</v>
      </c>
      <c r="J24" s="2" t="n"/>
      <c r="K24" s="2" t="n"/>
      <c r="L24" s="2" t="n"/>
      <c r="M24" s="2" t="n"/>
    </row>
    <row r="25">
      <c r="A25" s="12" t="n">
        <v>226.5</v>
      </c>
      <c r="B25" s="22" t="n">
        <v>0.3574</v>
      </c>
      <c r="C25" s="22" t="n">
        <v>0.12993</v>
      </c>
      <c r="D25" s="22" t="n">
        <v>0.22747</v>
      </c>
      <c r="E25" s="22" t="n">
        <v>1.5292</v>
      </c>
      <c r="F25" s="22" t="n">
        <v>0.84756</v>
      </c>
      <c r="G25" s="22" t="n">
        <v>0.68164</v>
      </c>
      <c r="H25" s="22" t="n">
        <v>0.07806</v>
      </c>
      <c r="I25" s="22" t="n">
        <v>0.07131999999999999</v>
      </c>
      <c r="J25" s="2" t="n"/>
      <c r="K25" s="2" t="n"/>
      <c r="L25" s="2" t="n"/>
      <c r="M25" s="2" t="n"/>
    </row>
    <row r="26">
      <c r="A26" s="12" t="n">
        <v>227</v>
      </c>
      <c r="B26" s="22" t="n">
        <v>0.3829</v>
      </c>
      <c r="C26" s="22" t="n">
        <v>0.13066</v>
      </c>
      <c r="D26" s="22" t="n">
        <v>0.25224</v>
      </c>
      <c r="E26" s="22" t="n">
        <v>1.71424</v>
      </c>
      <c r="F26" s="22" t="n">
        <v>0.91271</v>
      </c>
      <c r="G26" s="22" t="n">
        <v>0.80153</v>
      </c>
      <c r="H26" s="22" t="n">
        <v>0.10198</v>
      </c>
      <c r="I26" s="22" t="n">
        <v>0.1163</v>
      </c>
      <c r="J26" s="2" t="n"/>
      <c r="K26" s="2" t="n"/>
      <c r="L26" s="2" t="n"/>
      <c r="M26" s="2" t="n"/>
    </row>
    <row r="27">
      <c r="A27" s="12" t="n">
        <v>227.5</v>
      </c>
      <c r="B27" s="22" t="n">
        <v>0.4093</v>
      </c>
      <c r="C27" s="22" t="n">
        <v>0.13096</v>
      </c>
      <c r="D27" s="22" t="n">
        <v>0.27834</v>
      </c>
      <c r="E27" s="22" t="n">
        <v>1.91225</v>
      </c>
      <c r="F27" s="22" t="n">
        <v>0.97811</v>
      </c>
      <c r="G27" s="22" t="n">
        <v>0.93414</v>
      </c>
      <c r="H27" s="22" t="n">
        <v>0.12774</v>
      </c>
      <c r="I27" s="22" t="n">
        <v>0.17369</v>
      </c>
      <c r="J27" s="2" t="n"/>
      <c r="K27" s="2" t="n"/>
      <c r="L27" s="2" t="n"/>
      <c r="M27" s="2" t="n"/>
    </row>
    <row r="28">
      <c r="A28" s="12" t="n">
        <v>228</v>
      </c>
      <c r="B28" s="22" t="n">
        <v>0.4329</v>
      </c>
      <c r="C28" s="22" t="n">
        <v>0.13084</v>
      </c>
      <c r="D28" s="22" t="n">
        <v>0.30206</v>
      </c>
      <c r="E28" s="22" t="n">
        <v>2.12278</v>
      </c>
      <c r="F28" s="22" t="n">
        <v>1.04356</v>
      </c>
      <c r="G28" s="22" t="n">
        <v>1.07921</v>
      </c>
      <c r="H28" s="22" t="n">
        <v>0.15161</v>
      </c>
      <c r="I28" s="22" t="n">
        <v>0.2435</v>
      </c>
      <c r="J28" s="2" t="n"/>
      <c r="K28" s="2" t="n"/>
      <c r="L28" s="2" t="n"/>
      <c r="M28" s="2" t="n"/>
    </row>
    <row r="29">
      <c r="A29" s="12" t="n">
        <v>228.5</v>
      </c>
      <c r="B29" s="22" t="n">
        <v>0.4555</v>
      </c>
      <c r="C29" s="22" t="n">
        <v>0.13031</v>
      </c>
      <c r="D29" s="22" t="n">
        <v>0.32519</v>
      </c>
      <c r="E29" s="22" t="n">
        <v>2.34485</v>
      </c>
      <c r="F29" s="22" t="n">
        <v>1.10885</v>
      </c>
      <c r="G29" s="22" t="n">
        <v>1.236</v>
      </c>
      <c r="H29" s="22" t="n">
        <v>0.17534</v>
      </c>
      <c r="I29" s="22" t="n">
        <v>0.32521</v>
      </c>
      <c r="J29" s="2" t="n"/>
      <c r="K29" s="2" t="n"/>
      <c r="L29" s="2" t="n"/>
      <c r="M29" s="2" t="n"/>
    </row>
    <row r="30">
      <c r="A30" s="12" t="n">
        <v>229</v>
      </c>
      <c r="B30" s="22" t="n">
        <v>0.4803</v>
      </c>
      <c r="C30" s="22" t="n">
        <v>0.1294</v>
      </c>
      <c r="D30" s="22" t="n">
        <v>0.3509</v>
      </c>
      <c r="E30" s="22" t="n">
        <v>2.57878</v>
      </c>
      <c r="F30" s="22" t="n">
        <v>1.17378</v>
      </c>
      <c r="G30" s="22" t="n">
        <v>1.405</v>
      </c>
      <c r="H30" s="22" t="n">
        <v>0.2021</v>
      </c>
      <c r="I30" s="22" t="n">
        <v>0.41954</v>
      </c>
      <c r="J30" s="2" t="n"/>
      <c r="K30" s="2" t="n"/>
      <c r="L30" s="2" t="n"/>
      <c r="M30" s="2" t="n"/>
    </row>
    <row r="31">
      <c r="A31" s="12" t="n">
        <v>229.5</v>
      </c>
      <c r="B31" s="22" t="n">
        <v>0.5064</v>
      </c>
      <c r="C31" s="22" t="n">
        <v>0.12812</v>
      </c>
      <c r="D31" s="22" t="n">
        <v>0.37828</v>
      </c>
      <c r="E31" s="22" t="n">
        <v>2.82542</v>
      </c>
      <c r="F31" s="22" t="n">
        <v>1.23816</v>
      </c>
      <c r="G31" s="22" t="n">
        <v>1.58727</v>
      </c>
      <c r="H31" s="22" t="n">
        <v>0.23095</v>
      </c>
      <c r="I31" s="22" t="n">
        <v>0.52778</v>
      </c>
      <c r="J31" s="2" t="n"/>
      <c r="K31" s="2" t="n"/>
      <c r="L31" s="2" t="n"/>
      <c r="M31" s="2" t="n"/>
    </row>
    <row r="32">
      <c r="A32" s="12" t="n">
        <v>230</v>
      </c>
      <c r="B32" s="22" t="n">
        <v>0.5353</v>
      </c>
      <c r="C32" s="22" t="n">
        <v>0.12649</v>
      </c>
      <c r="D32" s="22" t="n">
        <v>0.40881</v>
      </c>
      <c r="E32" s="22" t="n">
        <v>3.08581</v>
      </c>
      <c r="F32" s="22" t="n">
        <v>1.30181</v>
      </c>
      <c r="G32" s="22" t="n">
        <v>1.78401</v>
      </c>
      <c r="H32" s="22" t="n">
        <v>0.26335</v>
      </c>
      <c r="I32" s="22" t="n">
        <v>0.65132</v>
      </c>
      <c r="J32" s="2" t="n"/>
      <c r="K32" s="2" t="n"/>
      <c r="L32" s="2" t="n"/>
      <c r="M32" s="2" t="n"/>
    </row>
    <row r="33">
      <c r="A33" s="12" t="n">
        <v>230.5</v>
      </c>
      <c r="B33" s="22" t="n">
        <v>0.5622</v>
      </c>
      <c r="C33" s="22" t="n">
        <v>0.12454</v>
      </c>
      <c r="D33" s="22" t="n">
        <v>0.43766</v>
      </c>
      <c r="E33" s="22" t="n">
        <v>3.36016</v>
      </c>
      <c r="F33" s="22" t="n">
        <v>1.36457</v>
      </c>
      <c r="G33" s="22" t="n">
        <v>1.99559</v>
      </c>
      <c r="H33" s="22" t="n">
        <v>0.29445</v>
      </c>
      <c r="I33" s="22" t="n">
        <v>0.79074</v>
      </c>
      <c r="J33" s="2" t="n"/>
      <c r="K33" s="2" t="n"/>
      <c r="L33" s="2" t="n"/>
      <c r="M33" s="2" t="n"/>
    </row>
    <row r="34">
      <c r="A34" s="12" t="n">
        <v>231</v>
      </c>
      <c r="B34" s="22" t="n">
        <v>0.5933</v>
      </c>
      <c r="C34" s="22" t="n">
        <v>0.12228</v>
      </c>
      <c r="D34" s="22" t="n">
        <v>0.47102</v>
      </c>
      <c r="E34" s="22" t="n">
        <v>3.649</v>
      </c>
      <c r="F34" s="22" t="n">
        <v>1.42627</v>
      </c>
      <c r="G34" s="22" t="n">
        <v>2.22273</v>
      </c>
      <c r="H34" s="22" t="n">
        <v>0.3304</v>
      </c>
      <c r="I34" s="22" t="n">
        <v>0.94692</v>
      </c>
      <c r="J34" s="2" t="n"/>
      <c r="K34" s="2" t="n"/>
      <c r="L34" s="2" t="n"/>
      <c r="M34" s="2" t="n"/>
    </row>
    <row r="35">
      <c r="A35" s="12" t="n">
        <v>231.5</v>
      </c>
      <c r="B35" s="22" t="n">
        <v>0.62</v>
      </c>
      <c r="C35" s="22" t="n">
        <v>0.11974</v>
      </c>
      <c r="D35" s="22" t="n">
        <v>0.50026</v>
      </c>
      <c r="E35" s="22" t="n">
        <v>3.9523</v>
      </c>
      <c r="F35" s="22" t="n">
        <v>1.48678</v>
      </c>
      <c r="G35" s="22" t="n">
        <v>2.46553</v>
      </c>
      <c r="H35" s="22" t="n">
        <v>0.36257</v>
      </c>
      <c r="I35" s="22" t="n">
        <v>1.12014</v>
      </c>
      <c r="J35" s="2" t="n"/>
      <c r="K35" s="2" t="n"/>
      <c r="L35" s="2" t="n"/>
      <c r="M35" s="2" t="n"/>
    </row>
    <row r="36">
      <c r="A36" s="12" t="n">
        <v>232</v>
      </c>
      <c r="B36" s="22" t="n">
        <v>0.6554</v>
      </c>
      <c r="C36" s="22" t="n">
        <v>0.11693</v>
      </c>
      <c r="D36" s="22" t="n">
        <v>0.53847</v>
      </c>
      <c r="E36" s="22" t="n">
        <v>4.27111</v>
      </c>
      <c r="F36" s="22" t="n">
        <v>1.54594</v>
      </c>
      <c r="G36" s="22" t="n">
        <v>2.72517</v>
      </c>
      <c r="H36" s="22" t="n">
        <v>0.40401</v>
      </c>
      <c r="I36" s="22" t="n">
        <v>1.31175</v>
      </c>
      <c r="J36" s="2" t="n"/>
      <c r="K36" s="2" t="n"/>
      <c r="L36" s="2" t="n"/>
      <c r="M36" s="2" t="n"/>
    </row>
    <row r="37">
      <c r="A37" s="12" t="n">
        <v>232.5</v>
      </c>
      <c r="B37" s="22" t="n">
        <v>0.6865</v>
      </c>
      <c r="C37" s="22" t="n">
        <v>0.11387</v>
      </c>
      <c r="D37" s="22" t="n">
        <v>0.57263</v>
      </c>
      <c r="E37" s="22" t="n">
        <v>4.60656</v>
      </c>
      <c r="F37" s="22" t="n">
        <v>1.60364</v>
      </c>
      <c r="G37" s="22" t="n">
        <v>3.00291</v>
      </c>
      <c r="H37" s="22" t="n">
        <v>0.44168</v>
      </c>
      <c r="I37" s="22" t="n">
        <v>1.52314</v>
      </c>
      <c r="J37" s="2" t="n"/>
      <c r="K37" s="2" t="n"/>
      <c r="L37" s="2" t="n"/>
      <c r="M37" s="2" t="n"/>
    </row>
    <row r="38">
      <c r="A38" s="12" t="n">
        <v>233</v>
      </c>
      <c r="B38" s="22" t="n">
        <v>0.7222</v>
      </c>
      <c r="C38" s="22" t="n">
        <v>0.11059</v>
      </c>
      <c r="D38" s="22" t="n">
        <v>0.61161</v>
      </c>
      <c r="E38" s="22" t="n">
        <v>4.95869</v>
      </c>
      <c r="F38" s="22" t="n">
        <v>1.65976</v>
      </c>
      <c r="G38" s="22" t="n">
        <v>3.29894</v>
      </c>
      <c r="H38" s="22" t="n">
        <v>0.48444</v>
      </c>
      <c r="I38" s="22" t="n">
        <v>1.75463</v>
      </c>
      <c r="J38" s="2" t="n"/>
      <c r="K38" s="2" t="n"/>
      <c r="L38" s="2" t="n"/>
      <c r="M38" s="2" t="n"/>
    </row>
    <row r="39">
      <c r="A39" s="12" t="n">
        <v>233.5</v>
      </c>
      <c r="B39" s="22" t="n">
        <v>0.7605</v>
      </c>
      <c r="C39" s="22" t="n">
        <v>0.1071</v>
      </c>
      <c r="D39" s="22" t="n">
        <v>0.6534</v>
      </c>
      <c r="E39" s="22" t="n">
        <v>5.32933</v>
      </c>
      <c r="F39" s="22" t="n">
        <v>1.71418</v>
      </c>
      <c r="G39" s="22" t="n">
        <v>3.61515</v>
      </c>
      <c r="H39" s="22" t="n">
        <v>0.53023</v>
      </c>
      <c r="I39" s="22" t="n">
        <v>2.00826</v>
      </c>
      <c r="J39" s="2" t="n"/>
      <c r="K39" s="2" t="n"/>
      <c r="L39" s="2" t="n"/>
      <c r="M39" s="2" t="n"/>
    </row>
    <row r="40">
      <c r="A40" s="12" t="n">
        <v>234</v>
      </c>
      <c r="B40" s="22" t="n">
        <v>0.8055</v>
      </c>
      <c r="C40" s="22" t="n">
        <v>0.10344</v>
      </c>
      <c r="D40" s="22" t="n">
        <v>0.70206</v>
      </c>
      <c r="E40" s="22" t="n">
        <v>5.72077</v>
      </c>
      <c r="F40" s="22" t="n">
        <v>1.76682</v>
      </c>
      <c r="G40" s="22" t="n">
        <v>3.95396</v>
      </c>
      <c r="H40" s="22" t="n">
        <v>0.58312</v>
      </c>
      <c r="I40" s="22" t="n">
        <v>2.28654</v>
      </c>
      <c r="J40" s="2" t="n"/>
      <c r="K40" s="2" t="n"/>
      <c r="L40" s="2" t="n"/>
      <c r="M40" s="2" t="n"/>
    </row>
    <row r="41">
      <c r="A41" s="12" t="n">
        <v>234.5</v>
      </c>
      <c r="B41" s="22" t="n">
        <v>0.8502</v>
      </c>
      <c r="C41" s="22" t="n">
        <v>0.09959999999999999</v>
      </c>
      <c r="D41" s="22" t="n">
        <v>0.7506</v>
      </c>
      <c r="E41" s="22" t="n">
        <v>6.13465</v>
      </c>
      <c r="F41" s="22" t="n">
        <v>1.81758</v>
      </c>
      <c r="G41" s="22" t="n">
        <v>4.31707</v>
      </c>
      <c r="H41" s="22" t="n">
        <v>0.63606</v>
      </c>
      <c r="I41" s="22" t="n">
        <v>2.59129</v>
      </c>
      <c r="J41" s="2" t="n"/>
      <c r="K41" s="2" t="n"/>
      <c r="L41" s="2" t="n"/>
      <c r="M41" s="2" t="n"/>
    </row>
    <row r="42">
      <c r="A42" s="12" t="n">
        <v>235</v>
      </c>
      <c r="B42" s="22" t="n">
        <v>0.8901</v>
      </c>
      <c r="C42" s="22" t="n">
        <v>0.09563000000000001</v>
      </c>
      <c r="D42" s="22" t="n">
        <v>0.79447</v>
      </c>
      <c r="E42" s="22" t="n">
        <v>6.56968</v>
      </c>
      <c r="F42" s="22" t="n">
        <v>1.86638</v>
      </c>
      <c r="G42" s="22" t="n">
        <v>4.7033</v>
      </c>
      <c r="H42" s="22" t="n">
        <v>0.6845</v>
      </c>
      <c r="I42" s="22" t="n">
        <v>2.92139</v>
      </c>
      <c r="J42" s="2" t="n"/>
      <c r="K42" s="2" t="n"/>
      <c r="L42" s="2" t="n"/>
      <c r="M42" s="2" t="n"/>
    </row>
    <row r="43">
      <c r="A43" s="12" t="n">
        <v>235.5</v>
      </c>
      <c r="B43" s="22" t="n">
        <v>0.9346</v>
      </c>
      <c r="C43" s="22" t="n">
        <v>0.09153</v>
      </c>
      <c r="D43" s="22" t="n">
        <v>0.84307</v>
      </c>
      <c r="E43" s="22" t="n">
        <v>7.02581</v>
      </c>
      <c r="F43" s="22" t="n">
        <v>1.91317</v>
      </c>
      <c r="G43" s="22" t="n">
        <v>5.11264</v>
      </c>
      <c r="H43" s="22" t="n">
        <v>0.73781</v>
      </c>
      <c r="I43" s="22" t="n">
        <v>3.27692</v>
      </c>
      <c r="J43" s="2" t="n"/>
      <c r="K43" s="2" t="n"/>
      <c r="L43" s="2" t="n"/>
      <c r="M43" s="2" t="n"/>
    </row>
    <row r="44">
      <c r="A44" s="12" t="n">
        <v>236</v>
      </c>
      <c r="B44" s="22" t="n">
        <v>0.9808</v>
      </c>
      <c r="C44" s="22" t="n">
        <v>0.08733</v>
      </c>
      <c r="D44" s="22" t="n">
        <v>0.89347</v>
      </c>
      <c r="E44" s="22" t="n">
        <v>7.50462</v>
      </c>
      <c r="F44" s="22" t="n">
        <v>1.95789</v>
      </c>
      <c r="G44" s="22" t="n">
        <v>5.54673</v>
      </c>
      <c r="H44" s="22" t="n">
        <v>0.79304</v>
      </c>
      <c r="I44" s="22" t="n">
        <v>3.65959</v>
      </c>
      <c r="J44" s="2" t="n"/>
      <c r="K44" s="2" t="n"/>
      <c r="L44" s="2" t="n"/>
      <c r="M44" s="2" t="n"/>
    </row>
    <row r="45">
      <c r="A45" s="12" t="n">
        <v>236.5</v>
      </c>
      <c r="B45" s="22" t="n">
        <v>1.026</v>
      </c>
      <c r="C45" s="22" t="n">
        <v>0.08305</v>
      </c>
      <c r="D45" s="22" t="n">
        <v>0.94295</v>
      </c>
      <c r="E45" s="22" t="n">
        <v>8.00628</v>
      </c>
      <c r="F45" s="22" t="n">
        <v>2.00049</v>
      </c>
      <c r="G45" s="22" t="n">
        <v>6.00579</v>
      </c>
      <c r="H45" s="22" t="n">
        <v>0.84744</v>
      </c>
      <c r="I45" s="22" t="n">
        <v>4.06966</v>
      </c>
      <c r="J45" s="2" t="n"/>
      <c r="K45" s="2" t="n"/>
      <c r="L45" s="2" t="n"/>
      <c r="M45" s="2" t="n"/>
    </row>
    <row r="46">
      <c r="A46" s="12" t="n">
        <v>237</v>
      </c>
      <c r="B46" s="22" t="n">
        <v>1.0769</v>
      </c>
      <c r="C46" s="22" t="n">
        <v>0.07871</v>
      </c>
      <c r="D46" s="22" t="n">
        <v>0.99819</v>
      </c>
      <c r="E46" s="22" t="n">
        <v>8.53195</v>
      </c>
      <c r="F46" s="22" t="n">
        <v>2.04093</v>
      </c>
      <c r="G46" s="22" t="n">
        <v>6.49102</v>
      </c>
      <c r="H46" s="22" t="n">
        <v>0.90768</v>
      </c>
      <c r="I46" s="22" t="n">
        <v>4.50839</v>
      </c>
      <c r="J46" s="2" t="n"/>
      <c r="K46" s="2" t="n"/>
      <c r="L46" s="2" t="n"/>
      <c r="M46" s="2" t="n"/>
    </row>
    <row r="47">
      <c r="A47" s="12" t="n">
        <v>237.5</v>
      </c>
      <c r="B47" s="22" t="n">
        <v>1.1281</v>
      </c>
      <c r="C47" s="22" t="n">
        <v>0.07432999999999999</v>
      </c>
      <c r="D47" s="22" t="n">
        <v>1.05377</v>
      </c>
      <c r="E47" s="22" t="n">
        <v>9.08315</v>
      </c>
      <c r="F47" s="22" t="n">
        <v>2.07919</v>
      </c>
      <c r="G47" s="22" t="n">
        <v>7.00396</v>
      </c>
      <c r="H47" s="22" t="n">
        <v>0.9683</v>
      </c>
      <c r="I47" s="22" t="n">
        <v>4.97733</v>
      </c>
      <c r="J47" s="2" t="n"/>
      <c r="K47" s="2" t="n"/>
      <c r="L47" s="2" t="n"/>
      <c r="M47" s="2" t="n"/>
    </row>
    <row r="48">
      <c r="A48" s="12" t="n">
        <v>238</v>
      </c>
      <c r="B48" s="22" t="n">
        <v>1.177</v>
      </c>
      <c r="C48" s="22" t="n">
        <v>0.06992</v>
      </c>
      <c r="D48" s="22" t="n">
        <v>1.10708</v>
      </c>
      <c r="E48" s="22" t="n">
        <v>9.659380000000001</v>
      </c>
      <c r="F48" s="22" t="n">
        <v>2.11525</v>
      </c>
      <c r="G48" s="22" t="n">
        <v>7.54413</v>
      </c>
      <c r="H48" s="22" t="n">
        <v>1.02668</v>
      </c>
      <c r="I48" s="22" t="n">
        <v>5.47604</v>
      </c>
      <c r="J48" s="2" t="n"/>
      <c r="K48" s="2" t="n"/>
      <c r="L48" s="2" t="n"/>
      <c r="M48" s="2" t="n"/>
    </row>
    <row r="49">
      <c r="A49" s="12" t="n">
        <v>238.5</v>
      </c>
      <c r="B49" s="22" t="n">
        <v>1.2264</v>
      </c>
      <c r="C49" s="22" t="n">
        <v>0.06551</v>
      </c>
      <c r="D49" s="22" t="n">
        <v>1.16089</v>
      </c>
      <c r="E49" s="22" t="n">
        <v>10.26019</v>
      </c>
      <c r="F49" s="22" t="n">
        <v>2.14911</v>
      </c>
      <c r="G49" s="22" t="n">
        <v>8.111079999999999</v>
      </c>
      <c r="H49" s="22" t="n">
        <v>1.08556</v>
      </c>
      <c r="I49" s="22" t="n">
        <v>6.00405</v>
      </c>
      <c r="J49" s="2" t="n"/>
      <c r="K49" s="2" t="n"/>
      <c r="L49" s="2" t="n"/>
      <c r="M49" s="2" t="n"/>
    </row>
    <row r="50">
      <c r="A50" s="12" t="n">
        <v>239</v>
      </c>
      <c r="B50" s="22" t="n">
        <v>1.2708</v>
      </c>
      <c r="C50" s="22" t="n">
        <v>0.06112</v>
      </c>
      <c r="D50" s="22" t="n">
        <v>1.20968</v>
      </c>
      <c r="E50" s="22" t="n">
        <v>10.88446</v>
      </c>
      <c r="F50" s="22" t="n">
        <v>2.18076</v>
      </c>
      <c r="G50" s="22" t="n">
        <v>8.70369</v>
      </c>
      <c r="H50" s="22" t="n">
        <v>1.1394</v>
      </c>
      <c r="I50" s="22" t="n">
        <v>6.56026</v>
      </c>
      <c r="J50" s="2" t="n"/>
      <c r="K50" s="2" t="n"/>
      <c r="L50" s="2" t="n"/>
      <c r="M50" s="2" t="n"/>
    </row>
    <row r="51">
      <c r="A51" s="12" t="n">
        <v>239.5</v>
      </c>
      <c r="B51" s="22" t="n">
        <v>1.3192</v>
      </c>
      <c r="C51" s="22" t="n">
        <v>0.05676</v>
      </c>
      <c r="D51" s="22" t="n">
        <v>1.26244</v>
      </c>
      <c r="E51" s="22" t="n">
        <v>11.53192</v>
      </c>
      <c r="F51" s="22" t="n">
        <v>2.21023</v>
      </c>
      <c r="G51" s="22" t="n">
        <v>9.32169</v>
      </c>
      <c r="H51" s="22" t="n">
        <v>1.19718</v>
      </c>
      <c r="I51" s="22" t="n">
        <v>7.14437</v>
      </c>
      <c r="J51" s="2" t="n"/>
      <c r="K51" s="2" t="n"/>
      <c r="L51" s="2" t="n"/>
      <c r="M51" s="2" t="n"/>
    </row>
    <row r="52">
      <c r="A52" s="12" t="n">
        <v>240</v>
      </c>
      <c r="B52" s="22" t="n">
        <v>1.3704</v>
      </c>
      <c r="C52" s="22" t="n">
        <v>0.05245</v>
      </c>
      <c r="D52" s="22" t="n">
        <v>1.31795</v>
      </c>
      <c r="E52" s="22" t="n">
        <v>12.20428</v>
      </c>
      <c r="F52" s="22" t="n">
        <v>2.23753</v>
      </c>
      <c r="G52" s="22" t="n">
        <v>9.96674</v>
      </c>
      <c r="H52" s="22" t="n">
        <v>1.25764</v>
      </c>
      <c r="I52" s="22" t="n">
        <v>7.75803</v>
      </c>
      <c r="J52" s="2" t="n"/>
      <c r="K52" s="2" t="n"/>
      <c r="L52" s="2" t="n"/>
      <c r="M52" s="2" t="n"/>
    </row>
    <row r="53">
      <c r="A53" s="12" t="n">
        <v>240.5</v>
      </c>
      <c r="B53" s="22" t="n">
        <v>1.4134</v>
      </c>
      <c r="C53" s="22" t="n">
        <v>0.04821</v>
      </c>
      <c r="D53" s="22" t="n">
        <v>1.36519</v>
      </c>
      <c r="E53" s="22" t="n">
        <v>12.9002</v>
      </c>
      <c r="F53" s="22" t="n">
        <v>2.2627</v>
      </c>
      <c r="G53" s="22" t="n">
        <v>10.6375</v>
      </c>
      <c r="H53" s="22" t="n">
        <v>1.30974</v>
      </c>
      <c r="I53" s="22" t="n">
        <v>8.399850000000001</v>
      </c>
      <c r="J53" s="2" t="n"/>
      <c r="K53" s="2" t="n"/>
      <c r="L53" s="2" t="n"/>
      <c r="M53" s="2" t="n"/>
    </row>
    <row r="54">
      <c r="A54" s="12" t="n">
        <v>241</v>
      </c>
      <c r="B54" s="22" t="n">
        <v>1.4596</v>
      </c>
      <c r="C54" s="22" t="n">
        <v>0.04407</v>
      </c>
      <c r="D54" s="22" t="n">
        <v>1.41553</v>
      </c>
      <c r="E54" s="22" t="n">
        <v>13.61842</v>
      </c>
      <c r="F54" s="22" t="n">
        <v>2.28577</v>
      </c>
      <c r="G54" s="22" t="n">
        <v>11.33265</v>
      </c>
      <c r="H54" s="22" t="n">
        <v>1.36486</v>
      </c>
      <c r="I54" s="22" t="n">
        <v>9.06847</v>
      </c>
      <c r="J54" s="2" t="n"/>
      <c r="K54" s="2" t="n"/>
      <c r="L54" s="2" t="n"/>
      <c r="M54" s="2" t="n"/>
    </row>
    <row r="55">
      <c r="A55" s="12" t="n">
        <v>241.5</v>
      </c>
      <c r="B55" s="22" t="n">
        <v>1.5038</v>
      </c>
      <c r="C55" s="22" t="n">
        <v>0.04002</v>
      </c>
      <c r="D55" s="22" t="n">
        <v>1.46378</v>
      </c>
      <c r="E55" s="22" t="n">
        <v>14.35924</v>
      </c>
      <c r="F55" s="22" t="n">
        <v>2.30679</v>
      </c>
      <c r="G55" s="22" t="n">
        <v>12.05245</v>
      </c>
      <c r="H55" s="22" t="n">
        <v>1.41775</v>
      </c>
      <c r="I55" s="22" t="n">
        <v>9.764089999999999</v>
      </c>
      <c r="J55" s="2" t="n"/>
      <c r="K55" s="2" t="n"/>
      <c r="L55" s="2" t="n"/>
      <c r="M55" s="2" t="n"/>
    </row>
    <row r="56">
      <c r="A56" s="12" t="n">
        <v>242</v>
      </c>
      <c r="B56" s="22" t="n">
        <v>1.5504</v>
      </c>
      <c r="C56" s="22" t="n">
        <v>0.0361</v>
      </c>
      <c r="D56" s="22" t="n">
        <v>1.5143</v>
      </c>
      <c r="E56" s="22" t="n">
        <v>15.12276</v>
      </c>
      <c r="F56" s="22" t="n">
        <v>2.32582</v>
      </c>
      <c r="G56" s="22" t="n">
        <v>12.79694</v>
      </c>
      <c r="H56" s="22" t="n">
        <v>1.47278</v>
      </c>
      <c r="I56" s="22" t="n">
        <v>10.4867</v>
      </c>
      <c r="J56" s="2" t="n"/>
      <c r="K56" s="2" t="n"/>
      <c r="L56" s="2" t="n"/>
      <c r="M56" s="2" t="n"/>
    </row>
    <row r="57">
      <c r="A57" s="12" t="n">
        <v>242.5</v>
      </c>
      <c r="B57" s="22" t="n">
        <v>1.5973</v>
      </c>
      <c r="C57" s="22" t="n">
        <v>0.03232</v>
      </c>
      <c r="D57" s="22" t="n">
        <v>1.56498</v>
      </c>
      <c r="E57" s="22" t="n">
        <v>15.90966</v>
      </c>
      <c r="F57" s="22" t="n">
        <v>2.34293</v>
      </c>
      <c r="G57" s="22" t="n">
        <v>13.56673</v>
      </c>
      <c r="H57" s="22" t="n">
        <v>1.52782</v>
      </c>
      <c r="I57" s="22" t="n">
        <v>11.23682</v>
      </c>
      <c r="J57" s="2" t="n"/>
      <c r="K57" s="2" t="n"/>
      <c r="L57" s="2" t="n"/>
      <c r="M57" s="2" t="n"/>
    </row>
    <row r="58">
      <c r="A58" s="12" t="n">
        <v>243</v>
      </c>
      <c r="B58" s="22" t="n">
        <v>1.6445</v>
      </c>
      <c r="C58" s="22" t="n">
        <v>0.02869</v>
      </c>
      <c r="D58" s="22" t="n">
        <v>1.61581</v>
      </c>
      <c r="E58" s="22" t="n">
        <v>16.72008</v>
      </c>
      <c r="F58" s="22" t="n">
        <v>2.35818</v>
      </c>
      <c r="G58" s="22" t="n">
        <v>14.3619</v>
      </c>
      <c r="H58" s="22" t="n">
        <v>1.58282</v>
      </c>
      <c r="I58" s="22" t="n">
        <v>12.01445</v>
      </c>
      <c r="J58" s="2" t="n"/>
      <c r="K58" s="2" t="n"/>
      <c r="L58" s="2" t="n"/>
      <c r="M58" s="2" t="n"/>
    </row>
    <row r="59">
      <c r="A59" s="12" t="n">
        <v>243.5</v>
      </c>
      <c r="B59" s="22" t="n">
        <v>1.6894</v>
      </c>
      <c r="C59" s="22" t="n">
        <v>0.02523</v>
      </c>
      <c r="D59" s="22" t="n">
        <v>1.66417</v>
      </c>
      <c r="E59" s="22" t="n">
        <v>17.55353</v>
      </c>
      <c r="F59" s="22" t="n">
        <v>2.37166</v>
      </c>
      <c r="G59" s="22" t="n">
        <v>15.18187</v>
      </c>
      <c r="H59" s="22" t="n">
        <v>1.63517</v>
      </c>
      <c r="I59" s="22" t="n">
        <v>12.81892</v>
      </c>
      <c r="J59" s="2" t="n"/>
      <c r="K59" s="2" t="n"/>
      <c r="L59" s="2" t="n"/>
      <c r="M59" s="2" t="n"/>
    </row>
    <row r="60">
      <c r="A60" s="12" t="n">
        <v>244</v>
      </c>
      <c r="B60" s="22" t="n">
        <v>1.7343</v>
      </c>
      <c r="C60" s="22" t="n">
        <v>0.02194</v>
      </c>
      <c r="D60" s="22" t="n">
        <v>1.71236</v>
      </c>
      <c r="E60" s="22" t="n">
        <v>18.40943</v>
      </c>
      <c r="F60" s="22" t="n">
        <v>2.38345</v>
      </c>
      <c r="G60" s="22" t="n">
        <v>16.02598</v>
      </c>
      <c r="H60" s="22" t="n">
        <v>1.68712</v>
      </c>
      <c r="I60" s="22" t="n">
        <v>13.64947</v>
      </c>
      <c r="J60" s="2" t="n"/>
      <c r="K60" s="2" t="n"/>
      <c r="L60" s="2" t="n"/>
      <c r="M60" s="2" t="n"/>
    </row>
    <row r="61">
      <c r="A61" s="12" t="n">
        <v>244.5</v>
      </c>
      <c r="B61" s="22" t="n">
        <v>1.7812</v>
      </c>
      <c r="C61" s="22" t="n">
        <v>0.01886</v>
      </c>
      <c r="D61" s="22" t="n">
        <v>1.76234</v>
      </c>
      <c r="E61" s="22" t="n">
        <v>19.28828</v>
      </c>
      <c r="F61" s="22" t="n">
        <v>2.39365</v>
      </c>
      <c r="G61" s="22" t="n">
        <v>16.89463</v>
      </c>
      <c r="H61" s="22" t="n">
        <v>1.74066</v>
      </c>
      <c r="I61" s="22" t="n">
        <v>14.50639</v>
      </c>
      <c r="J61" s="2" t="n"/>
      <c r="K61" s="2" t="n"/>
      <c r="L61" s="2" t="n"/>
      <c r="M61" s="2" t="n"/>
    </row>
    <row r="62">
      <c r="A62" s="12" t="n">
        <v>245</v>
      </c>
      <c r="B62" s="22" t="n">
        <v>1.8262</v>
      </c>
      <c r="C62" s="22" t="n">
        <v>0.01598</v>
      </c>
      <c r="D62" s="22" t="n">
        <v>1.81022</v>
      </c>
      <c r="E62" s="22" t="n">
        <v>20.1901</v>
      </c>
      <c r="F62" s="22" t="n">
        <v>2.40236</v>
      </c>
      <c r="G62" s="22" t="n">
        <v>17.78775</v>
      </c>
      <c r="H62" s="22" t="n">
        <v>1.79185</v>
      </c>
      <c r="I62" s="22" t="n">
        <v>15.38949</v>
      </c>
      <c r="J62" s="2" t="n"/>
      <c r="K62" s="2" t="n"/>
      <c r="L62" s="2" t="n"/>
      <c r="M62" s="2" t="n"/>
    </row>
    <row r="63">
      <c r="A63" s="12" t="n">
        <v>245.5</v>
      </c>
      <c r="B63" s="22" t="n">
        <v>1.873</v>
      </c>
      <c r="C63" s="22" t="n">
        <v>0.01332</v>
      </c>
      <c r="D63" s="22" t="n">
        <v>1.85968</v>
      </c>
      <c r="E63" s="22" t="n">
        <v>21.11488</v>
      </c>
      <c r="F63" s="22" t="n">
        <v>2.40968</v>
      </c>
      <c r="G63" s="22" t="n">
        <v>18.7052</v>
      </c>
      <c r="H63" s="22" t="n">
        <v>1.84437</v>
      </c>
      <c r="I63" s="22" t="n">
        <v>16.29852</v>
      </c>
      <c r="J63" s="2" t="n"/>
      <c r="K63" s="2" t="n"/>
      <c r="L63" s="2" t="n"/>
      <c r="M63" s="2" t="n"/>
    </row>
    <row r="64">
      <c r="A64" s="12" t="n">
        <v>246</v>
      </c>
      <c r="B64" s="22" t="n">
        <v>1.9246</v>
      </c>
      <c r="C64" s="22" t="n">
        <v>0.01088</v>
      </c>
      <c r="D64" s="22" t="n">
        <v>1.91372</v>
      </c>
      <c r="E64" s="22" t="n">
        <v>22.06425</v>
      </c>
      <c r="F64" s="22" t="n">
        <v>2.41573</v>
      </c>
      <c r="G64" s="22" t="n">
        <v>19.64852</v>
      </c>
      <c r="H64" s="22" t="n">
        <v>1.9012</v>
      </c>
      <c r="I64" s="22" t="n">
        <v>17.23488</v>
      </c>
      <c r="J64" s="2" t="n"/>
      <c r="K64" s="2" t="n"/>
      <c r="L64" s="2" t="n"/>
      <c r="M64" s="2" t="n"/>
    </row>
    <row r="65">
      <c r="A65" s="12" t="n">
        <v>246.5</v>
      </c>
      <c r="B65" s="22" t="n">
        <v>1.9748</v>
      </c>
      <c r="C65" s="22" t="n">
        <v>0.00869</v>
      </c>
      <c r="D65" s="22" t="n">
        <v>1.96611</v>
      </c>
      <c r="E65" s="22" t="n">
        <v>23.03907</v>
      </c>
      <c r="F65" s="22" t="n">
        <v>2.42063</v>
      </c>
      <c r="G65" s="22" t="n">
        <v>20.61845</v>
      </c>
      <c r="H65" s="22" t="n">
        <v>1.95612</v>
      </c>
      <c r="I65" s="22" t="n">
        <v>18.19919</v>
      </c>
      <c r="J65" s="2" t="n"/>
      <c r="K65" s="2" t="n"/>
      <c r="L65" s="2" t="n"/>
      <c r="M65" s="2" t="n"/>
    </row>
    <row r="66">
      <c r="A66" s="12" t="n">
        <v>247</v>
      </c>
      <c r="B66" s="22" t="n">
        <v>2.0337</v>
      </c>
      <c r="C66" s="22" t="n">
        <v>0.00673</v>
      </c>
      <c r="D66" s="22" t="n">
        <v>2.02697</v>
      </c>
      <c r="E66" s="22" t="n">
        <v>24.04116</v>
      </c>
      <c r="F66" s="22" t="n">
        <v>2.42448</v>
      </c>
      <c r="G66" s="22" t="n">
        <v>21.61668</v>
      </c>
      <c r="H66" s="22" t="n">
        <v>2.01922</v>
      </c>
      <c r="I66" s="22" t="n">
        <v>19.19299</v>
      </c>
      <c r="J66" s="2" t="n"/>
      <c r="K66" s="2" t="n"/>
      <c r="L66" s="2" t="n"/>
      <c r="M66" s="2" t="n"/>
    </row>
    <row r="67">
      <c r="A67" s="12" t="n">
        <v>247.5</v>
      </c>
      <c r="B67" s="22" t="n">
        <v>2.0978</v>
      </c>
      <c r="C67" s="22" t="n">
        <v>0.00503</v>
      </c>
      <c r="D67" s="22" t="n">
        <v>2.09277</v>
      </c>
      <c r="E67" s="22" t="n">
        <v>25.074</v>
      </c>
      <c r="F67" s="22" t="n">
        <v>2.42742</v>
      </c>
      <c r="G67" s="22" t="n">
        <v>22.64657</v>
      </c>
      <c r="H67" s="22" t="n">
        <v>2.08698</v>
      </c>
      <c r="I67" s="22" t="n">
        <v>20.2195</v>
      </c>
      <c r="J67" s="2" t="n"/>
      <c r="K67" s="2" t="n"/>
      <c r="L67" s="2" t="n"/>
      <c r="M67" s="2" t="n"/>
    </row>
    <row r="68">
      <c r="A68" s="12" t="n">
        <v>248</v>
      </c>
      <c r="B68" s="22" t="n">
        <v>2.1599</v>
      </c>
      <c r="C68" s="22" t="n">
        <v>0.00358</v>
      </c>
      <c r="D68" s="22" t="n">
        <v>2.15632</v>
      </c>
      <c r="E68" s="22" t="n">
        <v>26.13838</v>
      </c>
      <c r="F68" s="22" t="n">
        <v>2.42958</v>
      </c>
      <c r="G68" s="22" t="n">
        <v>23.70881</v>
      </c>
      <c r="H68" s="22" t="n">
        <v>2.1522</v>
      </c>
      <c r="I68" s="22" t="n">
        <v>21.27925</v>
      </c>
      <c r="J68" s="2" t="n"/>
      <c r="K68" s="2" t="n"/>
      <c r="L68" s="2" t="n"/>
      <c r="M68" s="2" t="n"/>
    </row>
    <row r="69">
      <c r="A69" s="12" t="n">
        <v>248.5</v>
      </c>
      <c r="B69" s="22" t="n">
        <v>2.2205</v>
      </c>
      <c r="C69" s="22" t="n">
        <v>0.00239</v>
      </c>
      <c r="D69" s="22" t="n">
        <v>2.21811</v>
      </c>
      <c r="E69" s="22" t="n">
        <v>27.23345</v>
      </c>
      <c r="F69" s="22" t="n">
        <v>2.43107</v>
      </c>
      <c r="G69" s="22" t="n">
        <v>24.80238</v>
      </c>
      <c r="H69" s="22" t="n">
        <v>2.21536</v>
      </c>
      <c r="I69" s="22" t="n">
        <v>22.37111</v>
      </c>
      <c r="J69" s="2" t="n"/>
      <c r="K69" s="2" t="n"/>
      <c r="L69" s="2" t="n"/>
      <c r="M69" s="2" t="n"/>
    </row>
    <row r="70">
      <c r="A70" s="12" t="n">
        <v>249</v>
      </c>
      <c r="B70" s="22" t="n">
        <v>2.2805</v>
      </c>
      <c r="C70" s="22" t="n">
        <v>0.00145</v>
      </c>
      <c r="D70" s="22" t="n">
        <v>2.27905</v>
      </c>
      <c r="E70" s="22" t="n">
        <v>28.35867</v>
      </c>
      <c r="F70" s="22" t="n">
        <v>2.43203</v>
      </c>
      <c r="G70" s="22" t="n">
        <v>25.92664</v>
      </c>
      <c r="H70" s="22" t="n">
        <v>2.27738</v>
      </c>
      <c r="I70" s="22" t="n">
        <v>23.49426</v>
      </c>
      <c r="J70" s="2" t="n"/>
      <c r="K70" s="2" t="n"/>
      <c r="L70" s="2" t="n"/>
      <c r="M70" s="2" t="n"/>
    </row>
    <row r="71">
      <c r="A71" s="12" t="n">
        <v>249.5</v>
      </c>
      <c r="B71" s="22" t="n">
        <v>2.3383</v>
      </c>
      <c r="C71" s="22" t="n">
        <v>0.00076</v>
      </c>
      <c r="D71" s="22" t="n">
        <v>2.33754</v>
      </c>
      <c r="E71" s="22" t="n">
        <v>29.51334</v>
      </c>
      <c r="F71" s="22" t="n">
        <v>2.43258</v>
      </c>
      <c r="G71" s="22" t="n">
        <v>27.08075</v>
      </c>
      <c r="H71" s="22" t="n">
        <v>2.33667</v>
      </c>
      <c r="I71" s="22" t="n">
        <v>24.64774</v>
      </c>
      <c r="J71" s="2" t="n"/>
      <c r="K71" s="2" t="n"/>
      <c r="L71" s="2" t="n"/>
      <c r="M71" s="2" t="n"/>
    </row>
    <row r="72">
      <c r="A72" s="12" t="n">
        <v>250</v>
      </c>
      <c r="B72" s="22" t="n">
        <v>2.4066</v>
      </c>
      <c r="C72" s="22" t="n">
        <v>0.0003</v>
      </c>
      <c r="D72" s="22" t="n">
        <v>2.4063</v>
      </c>
      <c r="E72" s="22" t="n">
        <v>30.69952</v>
      </c>
      <c r="F72" s="22" t="n">
        <v>2.43285</v>
      </c>
      <c r="G72" s="22" t="n">
        <v>28.26667</v>
      </c>
      <c r="H72" s="22" t="n">
        <v>2.40595</v>
      </c>
      <c r="I72" s="22" t="n">
        <v>25.83336</v>
      </c>
      <c r="J72" s="2" t="n"/>
      <c r="K72" s="2" t="n"/>
      <c r="L72" s="2" t="n"/>
      <c r="M72" s="2" t="n"/>
    </row>
    <row r="73">
      <c r="A73" s="12" t="n">
        <v>250.5</v>
      </c>
      <c r="B73" s="22" t="n">
        <v>2.4727</v>
      </c>
      <c r="C73" s="22" t="n">
        <v>6e-05</v>
      </c>
      <c r="D73" s="22" t="n">
        <v>2.47264</v>
      </c>
      <c r="E73" s="22" t="n">
        <v>31.91931</v>
      </c>
      <c r="F73" s="22" t="n">
        <v>2.43294</v>
      </c>
      <c r="G73" s="22" t="n">
        <v>29.48637</v>
      </c>
      <c r="H73" s="22" t="n">
        <v>2.47257</v>
      </c>
      <c r="I73" s="22" t="n">
        <v>27.05295</v>
      </c>
      <c r="J73" s="2" t="n"/>
      <c r="K73" s="2" t="n"/>
      <c r="L73" s="2" t="n"/>
      <c r="M73" s="2" t="n"/>
    </row>
    <row r="74">
      <c r="A74" s="12" t="n">
        <v>251</v>
      </c>
      <c r="B74" s="22" t="n">
        <v>2.5416</v>
      </c>
      <c r="C74" s="22" t="n">
        <v>0</v>
      </c>
      <c r="D74" s="22" t="n">
        <v>2.5416</v>
      </c>
      <c r="E74" s="22" t="n">
        <v>33.17284</v>
      </c>
      <c r="F74" s="22" t="n">
        <v>2.43295</v>
      </c>
      <c r="G74" s="22" t="n">
        <v>30.73989</v>
      </c>
      <c r="H74" s="22" t="n">
        <v>2.5416</v>
      </c>
      <c r="I74" s="22" t="n">
        <v>28.30646</v>
      </c>
      <c r="J74" s="2" t="n"/>
      <c r="K74" s="2" t="n"/>
      <c r="L74" s="2" t="n"/>
      <c r="M7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Hawasinah EX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60</v>
      </c>
      <c r="M3" s="2" t="n"/>
    </row>
    <row r="4">
      <c r="A4" s="12" t="n">
        <v>43.5</v>
      </c>
      <c r="B4" s="22" t="n">
        <v>0.0002</v>
      </c>
      <c r="C4" s="22" t="n">
        <v>0.0002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44</v>
      </c>
      <c r="B5" s="22" t="n">
        <v>0.0091</v>
      </c>
      <c r="C5" s="22" t="n">
        <v>0.0091</v>
      </c>
      <c r="D5" s="22" t="n">
        <v>0</v>
      </c>
      <c r="E5" s="22" t="n">
        <v>0.00177</v>
      </c>
      <c r="F5" s="22" t="n">
        <v>0.00177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MAX(E4:E37)*1.02</f>
        <v/>
      </c>
      <c r="M5" s="2">
        <f>L3</f>
        <v/>
      </c>
    </row>
    <row r="6">
      <c r="A6" s="12" t="n">
        <v>44.5</v>
      </c>
      <c r="B6" s="22" t="n">
        <v>0.025</v>
      </c>
      <c r="C6" s="22" t="n">
        <v>0.025</v>
      </c>
      <c r="D6" s="22" t="n">
        <v>0</v>
      </c>
      <c r="E6" s="22" t="n">
        <v>0.00997</v>
      </c>
      <c r="F6" s="22" t="n">
        <v>0.00997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45</v>
      </c>
      <c r="B7" s="22" t="n">
        <v>0.0303</v>
      </c>
      <c r="C7" s="22" t="n">
        <v>0.0303</v>
      </c>
      <c r="D7" s="22" t="n">
        <v>0</v>
      </c>
      <c r="E7" s="22" t="n">
        <v>0.02378</v>
      </c>
      <c r="F7" s="22" t="n">
        <v>0.02378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45.5</v>
      </c>
      <c r="B8" s="22" t="n">
        <v>0.3051</v>
      </c>
      <c r="C8" s="22" t="n">
        <v>0.2972</v>
      </c>
      <c r="D8" s="22" t="n">
        <v>0.007900000000000001</v>
      </c>
      <c r="E8" s="22" t="n">
        <v>0.09569999999999999</v>
      </c>
      <c r="F8" s="22" t="n">
        <v>0.09869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46</v>
      </c>
      <c r="B9" s="22" t="n">
        <v>0.8178</v>
      </c>
      <c r="C9" s="22" t="n">
        <v>0.33269</v>
      </c>
      <c r="D9" s="22" t="n">
        <v>0.48511</v>
      </c>
      <c r="E9" s="22" t="n">
        <v>0.3661</v>
      </c>
      <c r="F9" s="22" t="n">
        <v>0.25616</v>
      </c>
      <c r="G9" s="22" t="n">
        <v>0.10994</v>
      </c>
      <c r="H9" s="22" t="n">
        <v>0.14582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46.5</v>
      </c>
      <c r="B10" s="22" t="n">
        <v>1.1238</v>
      </c>
      <c r="C10" s="22" t="n">
        <v>0.36367</v>
      </c>
      <c r="D10" s="22" t="n">
        <v>0.76013</v>
      </c>
      <c r="E10" s="22" t="n">
        <v>0.84948</v>
      </c>
      <c r="F10" s="22" t="n">
        <v>0.43026</v>
      </c>
      <c r="G10" s="22" t="n">
        <v>0.41923</v>
      </c>
      <c r="H10" s="22" t="n">
        <v>0.38926</v>
      </c>
      <c r="I10" s="22" t="n">
        <v>0.11195</v>
      </c>
      <c r="J10" s="2" t="n"/>
      <c r="K10" s="2">
        <f>"FSL "&amp;TEXT(L3,"0.0")&amp;" m"</f>
        <v/>
      </c>
      <c r="L10" s="2" t="n"/>
      <c r="M10" s="2" t="n"/>
    </row>
    <row r="11">
      <c r="A11" s="12" t="n">
        <v>47</v>
      </c>
      <c r="B11" s="22" t="n">
        <v>1.4402</v>
      </c>
      <c r="C11" s="22" t="n">
        <v>0.39097</v>
      </c>
      <c r="D11" s="22" t="n">
        <v>1.04923</v>
      </c>
      <c r="E11" s="22" t="n">
        <v>1.48885</v>
      </c>
      <c r="F11" s="22" t="n">
        <v>0.61891</v>
      </c>
      <c r="G11" s="22" t="n">
        <v>0.86993</v>
      </c>
      <c r="H11" s="22" t="n">
        <v>0.65051</v>
      </c>
      <c r="I11" s="22" t="n">
        <v>0.37026</v>
      </c>
      <c r="J11" s="2" t="n"/>
      <c r="K11" s="2" t="n"/>
      <c r="L11" s="2" t="n"/>
      <c r="M11" s="2" t="n"/>
    </row>
    <row r="12">
      <c r="A12" s="12" t="n">
        <v>47.5</v>
      </c>
      <c r="B12" s="22" t="n">
        <v>1.7301</v>
      </c>
      <c r="C12" s="22" t="n">
        <v>0.41516</v>
      </c>
      <c r="D12" s="22" t="n">
        <v>1.31494</v>
      </c>
      <c r="E12" s="22" t="n">
        <v>2.28032</v>
      </c>
      <c r="F12" s="22" t="n">
        <v>0.82045</v>
      </c>
      <c r="G12" s="22" t="n">
        <v>1.45987</v>
      </c>
      <c r="H12" s="22" t="n">
        <v>0.89156</v>
      </c>
      <c r="I12" s="22" t="n">
        <v>0.75467</v>
      </c>
      <c r="J12" s="2" t="n"/>
      <c r="K12" s="2" t="n"/>
      <c r="L12" s="2" t="n"/>
      <c r="M12" s="2" t="n"/>
    </row>
    <row r="13">
      <c r="A13" s="12" t="n">
        <v>48</v>
      </c>
      <c r="B13" s="22" t="n">
        <v>2.0865</v>
      </c>
      <c r="C13" s="22" t="n">
        <v>0.43662</v>
      </c>
      <c r="D13" s="22" t="n">
        <v>1.64988</v>
      </c>
      <c r="E13" s="22" t="n">
        <v>3.23308</v>
      </c>
      <c r="F13" s="22" t="n">
        <v>1.03339</v>
      </c>
      <c r="G13" s="22" t="n">
        <v>2.19968</v>
      </c>
      <c r="H13" s="22" t="n">
        <v>1.20461</v>
      </c>
      <c r="I13" s="22" t="n">
        <v>1.27732</v>
      </c>
      <c r="J13" s="2" t="n"/>
      <c r="K13" s="2" t="n"/>
      <c r="L13" s="2" t="n"/>
      <c r="M13" s="2" t="n"/>
    </row>
    <row r="14">
      <c r="A14" s="12" t="n">
        <v>48.5</v>
      </c>
      <c r="B14" s="22" t="n">
        <v>2.4117</v>
      </c>
      <c r="C14" s="22" t="n">
        <v>0.45562</v>
      </c>
      <c r="D14" s="22" t="n">
        <v>1.95608</v>
      </c>
      <c r="E14" s="22" t="n">
        <v>4.35664</v>
      </c>
      <c r="F14" s="22" t="n">
        <v>1.25645</v>
      </c>
      <c r="G14" s="22" t="n">
        <v>3.10019</v>
      </c>
      <c r="H14" s="22" t="n">
        <v>1.49142</v>
      </c>
      <c r="I14" s="22" t="n">
        <v>1.95035</v>
      </c>
      <c r="J14" s="2" t="n"/>
      <c r="K14" s="2" t="n"/>
      <c r="L14" s="2" t="n"/>
      <c r="M14" s="2" t="n"/>
    </row>
    <row r="15">
      <c r="A15" s="12" t="n">
        <v>49</v>
      </c>
      <c r="B15" s="22" t="n">
        <v>2.7399</v>
      </c>
      <c r="C15" s="22" t="n">
        <v>0.47237</v>
      </c>
      <c r="D15" s="22" t="n">
        <v>2.26753</v>
      </c>
      <c r="E15" s="22" t="n">
        <v>5.64367</v>
      </c>
      <c r="F15" s="22" t="n">
        <v>1.48845</v>
      </c>
      <c r="G15" s="22" t="n">
        <v>4.15522</v>
      </c>
      <c r="H15" s="22" t="n">
        <v>1.78579</v>
      </c>
      <c r="I15" s="22" t="n">
        <v>2.76878</v>
      </c>
      <c r="J15" s="2" t="n"/>
      <c r="K15" s="2" t="n"/>
      <c r="L15" s="2" t="n"/>
      <c r="M15" s="2" t="n"/>
    </row>
    <row r="16">
      <c r="A16" s="12" t="n">
        <v>49.5</v>
      </c>
      <c r="B16" s="22" t="n">
        <v>3.0892</v>
      </c>
      <c r="C16" s="22" t="n">
        <v>0.48701</v>
      </c>
      <c r="D16" s="22" t="n">
        <v>2.60219</v>
      </c>
      <c r="E16" s="22" t="n">
        <v>7.10007</v>
      </c>
      <c r="F16" s="22" t="n">
        <v>1.7283</v>
      </c>
      <c r="G16" s="22" t="n">
        <v>5.37178</v>
      </c>
      <c r="H16" s="22" t="n">
        <v>2.10552</v>
      </c>
      <c r="I16" s="22" t="n">
        <v>3.74073</v>
      </c>
      <c r="J16" s="2" t="n"/>
      <c r="K16" s="2" t="n"/>
      <c r="L16" s="2" t="n"/>
      <c r="M16" s="2" t="n"/>
    </row>
    <row r="17">
      <c r="A17" s="12" t="n">
        <v>50</v>
      </c>
      <c r="B17" s="22" t="n">
        <v>3.4651</v>
      </c>
      <c r="C17" s="22" t="n">
        <v>0.49965</v>
      </c>
      <c r="D17" s="22" t="n">
        <v>2.96545</v>
      </c>
      <c r="E17" s="22" t="n">
        <v>8.73775</v>
      </c>
      <c r="F17" s="22" t="n">
        <v>1.97497</v>
      </c>
      <c r="G17" s="22" t="n">
        <v>6.76279</v>
      </c>
      <c r="H17" s="22" t="n">
        <v>2.45589</v>
      </c>
      <c r="I17" s="22" t="n">
        <v>4.88019</v>
      </c>
      <c r="J17" s="2" t="n"/>
      <c r="K17" s="2" t="n"/>
      <c r="L17" s="2" t="n"/>
      <c r="M17" s="2" t="n"/>
    </row>
    <row r="18">
      <c r="A18" s="12" t="n">
        <v>50.5</v>
      </c>
      <c r="B18" s="22" t="n">
        <v>3.8285</v>
      </c>
      <c r="C18" s="22" t="n">
        <v>0.51036</v>
      </c>
      <c r="D18" s="22" t="n">
        <v>3.31814</v>
      </c>
      <c r="E18" s="22" t="n">
        <v>10.5604</v>
      </c>
      <c r="F18" s="22" t="n">
        <v>2.22747</v>
      </c>
      <c r="G18" s="22" t="n">
        <v>8.332929999999999</v>
      </c>
      <c r="H18" s="22" t="n">
        <v>2.79766</v>
      </c>
      <c r="I18" s="22" t="n">
        <v>6.19282</v>
      </c>
      <c r="J18" s="2" t="n"/>
      <c r="K18" s="2" t="n"/>
      <c r="L18" s="2" t="n"/>
      <c r="M18" s="2" t="n"/>
    </row>
    <row r="19">
      <c r="A19" s="12" t="n">
        <v>51</v>
      </c>
      <c r="B19" s="22" t="n">
        <v>4.1801</v>
      </c>
      <c r="C19" s="22" t="n">
        <v>0.5192</v>
      </c>
      <c r="D19" s="22" t="n">
        <v>3.6609</v>
      </c>
      <c r="E19" s="22" t="n">
        <v>12.5619</v>
      </c>
      <c r="F19" s="22" t="n">
        <v>2.48486</v>
      </c>
      <c r="G19" s="22" t="n">
        <v>10.07704</v>
      </c>
      <c r="H19" s="22" t="n">
        <v>3.13142</v>
      </c>
      <c r="I19" s="22" t="n">
        <v>7.67445</v>
      </c>
      <c r="J19" s="2" t="n"/>
      <c r="K19" s="2" t="n"/>
      <c r="L19" s="2" t="n"/>
      <c r="M19" s="2" t="n"/>
    </row>
    <row r="20">
      <c r="A20" s="12" t="n">
        <v>51.5</v>
      </c>
      <c r="B20" s="22" t="n">
        <v>4.5281</v>
      </c>
      <c r="C20" s="22" t="n">
        <v>0.52618</v>
      </c>
      <c r="D20" s="22" t="n">
        <v>4.00192</v>
      </c>
      <c r="E20" s="22" t="n">
        <v>14.73837</v>
      </c>
      <c r="F20" s="22" t="n">
        <v>2.7462</v>
      </c>
      <c r="G20" s="22" t="n">
        <v>11.99217</v>
      </c>
      <c r="H20" s="22" t="n">
        <v>3.46532</v>
      </c>
      <c r="I20" s="22" t="n">
        <v>9.32306</v>
      </c>
      <c r="J20" s="2" t="n"/>
      <c r="K20" s="2" t="n"/>
      <c r="L20" s="2" t="n"/>
      <c r="M20" s="2" t="n"/>
    </row>
    <row r="21">
      <c r="A21" s="12" t="n">
        <v>52</v>
      </c>
      <c r="B21" s="22" t="n">
        <v>4.8755</v>
      </c>
      <c r="C21" s="22" t="n">
        <v>0.5313</v>
      </c>
      <c r="D21" s="22" t="n">
        <v>4.3442</v>
      </c>
      <c r="E21" s="22" t="n">
        <v>17.08874</v>
      </c>
      <c r="F21" s="22" t="n">
        <v>3.01057</v>
      </c>
      <c r="G21" s="22" t="n">
        <v>14.07816</v>
      </c>
      <c r="H21" s="22" t="n">
        <v>3.80236</v>
      </c>
      <c r="I21" s="22" t="n">
        <v>11.13944</v>
      </c>
      <c r="J21" s="2" t="n"/>
      <c r="K21" s="2" t="n"/>
      <c r="L21" s="2" t="n"/>
      <c r="M21" s="2" t="n"/>
    </row>
    <row r="22">
      <c r="A22" s="12" t="n">
        <v>52.5</v>
      </c>
      <c r="B22" s="22" t="n">
        <v>5.2061</v>
      </c>
      <c r="C22" s="22" t="n">
        <v>0.53457</v>
      </c>
      <c r="D22" s="22" t="n">
        <v>4.67153</v>
      </c>
      <c r="E22" s="22" t="n">
        <v>19.60869</v>
      </c>
      <c r="F22" s="22" t="n">
        <v>3.27704</v>
      </c>
      <c r="G22" s="22" t="n">
        <v>16.33164</v>
      </c>
      <c r="H22" s="22" t="n">
        <v>4.12638</v>
      </c>
      <c r="I22" s="22" t="n">
        <v>13.12118</v>
      </c>
      <c r="J22" s="2" t="n"/>
      <c r="K22" s="2" t="n"/>
      <c r="L22" s="2" t="n"/>
      <c r="M22" s="2" t="n"/>
    </row>
    <row r="23">
      <c r="A23" s="12" t="n">
        <v>53</v>
      </c>
      <c r="B23" s="22" t="n">
        <v>5.5528</v>
      </c>
      <c r="C23" s="22" t="n">
        <v>0.53592</v>
      </c>
      <c r="D23" s="22" t="n">
        <v>5.01688</v>
      </c>
      <c r="E23" s="22" t="n">
        <v>22.29795</v>
      </c>
      <c r="F23" s="22" t="n">
        <v>3.54466</v>
      </c>
      <c r="G23" s="22" t="n">
        <v>18.75328</v>
      </c>
      <c r="H23" s="22" t="n">
        <v>4.47034</v>
      </c>
      <c r="I23" s="22" t="n">
        <v>15.26989</v>
      </c>
      <c r="J23" s="2" t="n"/>
      <c r="K23" s="2" t="n"/>
      <c r="L23" s="2" t="n"/>
      <c r="M23" s="2" t="n"/>
    </row>
    <row r="24">
      <c r="A24" s="12" t="n">
        <v>53.5</v>
      </c>
      <c r="B24" s="22" t="n">
        <v>5.9211</v>
      </c>
      <c r="C24" s="22" t="n">
        <v>0.53531</v>
      </c>
      <c r="D24" s="22" t="n">
        <v>5.38579</v>
      </c>
      <c r="E24" s="22" t="n">
        <v>25.16593</v>
      </c>
      <c r="F24" s="22" t="n">
        <v>3.81247</v>
      </c>
      <c r="G24" s="22" t="n">
        <v>21.35346</v>
      </c>
      <c r="H24" s="22" t="n">
        <v>4.83988</v>
      </c>
      <c r="I24" s="22" t="n">
        <v>17.59695</v>
      </c>
      <c r="J24" s="2" t="n"/>
      <c r="K24" s="2" t="n"/>
      <c r="L24" s="2" t="n"/>
      <c r="M24" s="2" t="n"/>
    </row>
    <row r="25">
      <c r="A25" s="12" t="n">
        <v>54</v>
      </c>
      <c r="B25" s="22" t="n">
        <v>6.2968</v>
      </c>
      <c r="C25" s="22" t="n">
        <v>0.53263</v>
      </c>
      <c r="D25" s="22" t="n">
        <v>5.76417</v>
      </c>
      <c r="E25" s="22" t="n">
        <v>28.21992</v>
      </c>
      <c r="F25" s="22" t="n">
        <v>4.07945</v>
      </c>
      <c r="G25" s="22" t="n">
        <v>24.14047</v>
      </c>
      <c r="H25" s="22" t="n">
        <v>5.22098</v>
      </c>
      <c r="I25" s="22" t="n">
        <v>20.11169</v>
      </c>
      <c r="J25" s="2" t="n"/>
      <c r="K25" s="2" t="n"/>
      <c r="L25" s="2" t="n"/>
      <c r="M25" s="2" t="n"/>
    </row>
    <row r="26">
      <c r="A26" s="12" t="n">
        <v>54.5</v>
      </c>
      <c r="B26" s="22" t="n">
        <v>6.6464</v>
      </c>
      <c r="C26" s="22" t="n">
        <v>0.52778</v>
      </c>
      <c r="D26" s="22" t="n">
        <v>6.11862</v>
      </c>
      <c r="E26" s="22" t="n">
        <v>31.45533</v>
      </c>
      <c r="F26" s="22" t="n">
        <v>4.34456</v>
      </c>
      <c r="G26" s="22" t="n">
        <v>27.11077</v>
      </c>
      <c r="H26" s="22" t="n">
        <v>5.58039</v>
      </c>
      <c r="I26" s="22" t="n">
        <v>22.81164</v>
      </c>
      <c r="J26" s="2" t="n"/>
      <c r="K26" s="2" t="n"/>
      <c r="L26" s="2" t="n"/>
      <c r="M26" s="2" t="n"/>
    </row>
    <row r="27">
      <c r="A27" s="12" t="n">
        <v>55</v>
      </c>
      <c r="B27" s="22" t="n">
        <v>7.0137</v>
      </c>
      <c r="C27" s="22" t="n">
        <v>0.52057</v>
      </c>
      <c r="D27" s="22" t="n">
        <v>6.49313</v>
      </c>
      <c r="E27" s="22" t="n">
        <v>34.86994</v>
      </c>
      <c r="F27" s="22" t="n">
        <v>4.60664</v>
      </c>
      <c r="G27" s="22" t="n">
        <v>30.2633</v>
      </c>
      <c r="H27" s="22" t="n">
        <v>5.96224</v>
      </c>
      <c r="I27" s="22" t="n">
        <v>25.69688</v>
      </c>
      <c r="J27" s="2" t="n"/>
      <c r="K27" s="2" t="n"/>
      <c r="L27" s="2" t="n"/>
      <c r="M27" s="2" t="n"/>
    </row>
    <row r="28">
      <c r="A28" s="12" t="n">
        <v>55.5</v>
      </c>
      <c r="B28" s="22" t="n">
        <v>7.3923</v>
      </c>
      <c r="C28" s="22" t="n">
        <v>0.51081</v>
      </c>
      <c r="D28" s="22" t="n">
        <v>6.88149</v>
      </c>
      <c r="E28" s="22" t="n">
        <v>38.47103</v>
      </c>
      <c r="F28" s="22" t="n">
        <v>4.86449</v>
      </c>
      <c r="G28" s="22" t="n">
        <v>33.60654</v>
      </c>
      <c r="H28" s="22" t="n">
        <v>6.36056</v>
      </c>
      <c r="I28" s="22" t="n">
        <v>28.77717</v>
      </c>
      <c r="J28" s="2" t="n"/>
      <c r="K28" s="2" t="n"/>
      <c r="L28" s="2" t="n"/>
      <c r="M28" s="2" t="n"/>
    </row>
    <row r="29">
      <c r="A29" s="12" t="n">
        <v>56</v>
      </c>
      <c r="B29" s="22" t="n">
        <v>7.7624</v>
      </c>
      <c r="C29" s="22" t="n">
        <v>0.49819</v>
      </c>
      <c r="D29" s="22" t="n">
        <v>7.26421</v>
      </c>
      <c r="E29" s="22" t="n">
        <v>42.25932</v>
      </c>
      <c r="F29" s="22" t="n">
        <v>5.11674</v>
      </c>
      <c r="G29" s="22" t="n">
        <v>37.14259</v>
      </c>
      <c r="H29" s="22" t="n">
        <v>6.75616</v>
      </c>
      <c r="I29" s="22" t="n">
        <v>32.05597</v>
      </c>
      <c r="J29" s="2" t="n"/>
      <c r="K29" s="2" t="n"/>
      <c r="L29" s="2" t="n"/>
      <c r="M29" s="2" t="n"/>
    </row>
    <row r="30">
      <c r="A30" s="12" t="n">
        <v>56.5</v>
      </c>
      <c r="B30" s="22" t="n">
        <v>8.130599999999999</v>
      </c>
      <c r="C30" s="22" t="n">
        <v>0.48231</v>
      </c>
      <c r="D30" s="22" t="n">
        <v>7.64829</v>
      </c>
      <c r="E30" s="22" t="n">
        <v>46.23222</v>
      </c>
      <c r="F30" s="22" t="n">
        <v>5.36186</v>
      </c>
      <c r="G30" s="22" t="n">
        <v>40.87036</v>
      </c>
      <c r="H30" s="22" t="n">
        <v>7.15643</v>
      </c>
      <c r="I30" s="22" t="n">
        <v>35.53376</v>
      </c>
      <c r="J30" s="2" t="n"/>
      <c r="K30" s="2" t="n"/>
      <c r="L30" s="2" t="n"/>
      <c r="M30" s="2" t="n"/>
    </row>
    <row r="31">
      <c r="A31" s="12" t="n">
        <v>57</v>
      </c>
      <c r="B31" s="22" t="n">
        <v>8.488200000000001</v>
      </c>
      <c r="C31" s="22" t="n">
        <v>0.46261</v>
      </c>
      <c r="D31" s="22" t="n">
        <v>8.025589999999999</v>
      </c>
      <c r="E31" s="22" t="n">
        <v>50.3866</v>
      </c>
      <c r="F31" s="22" t="n">
        <v>5.59809</v>
      </c>
      <c r="G31" s="22" t="n">
        <v>44.78851</v>
      </c>
      <c r="H31" s="22" t="n">
        <v>7.55381</v>
      </c>
      <c r="I31" s="22" t="n">
        <v>39.211</v>
      </c>
      <c r="J31" s="2" t="n"/>
      <c r="K31" s="2" t="n"/>
      <c r="L31" s="2" t="n"/>
      <c r="M31" s="2" t="n"/>
    </row>
    <row r="32">
      <c r="A32" s="12" t="n">
        <v>57.5</v>
      </c>
      <c r="B32" s="22" t="n">
        <v>8.839700000000001</v>
      </c>
      <c r="C32" s="22" t="n">
        <v>0.43828</v>
      </c>
      <c r="D32" s="22" t="n">
        <v>8.40142</v>
      </c>
      <c r="E32" s="22" t="n">
        <v>54.71828</v>
      </c>
      <c r="F32" s="22" t="n">
        <v>5.82332</v>
      </c>
      <c r="G32" s="22" t="n">
        <v>48.89496</v>
      </c>
      <c r="H32" s="22" t="n">
        <v>7.95445</v>
      </c>
      <c r="I32" s="22" t="n">
        <v>43.08777</v>
      </c>
      <c r="J32" s="2" t="n"/>
      <c r="K32" s="2" t="n"/>
      <c r="L32" s="2" t="n"/>
      <c r="M32" s="2" t="n"/>
    </row>
    <row r="33">
      <c r="A33" s="12" t="n">
        <v>58</v>
      </c>
      <c r="B33" s="22" t="n">
        <v>9.2241</v>
      </c>
      <c r="C33" s="22" t="n">
        <v>0.40805</v>
      </c>
      <c r="D33" s="22" t="n">
        <v>8.816050000000001</v>
      </c>
      <c r="E33" s="22" t="n">
        <v>59.23389</v>
      </c>
      <c r="F33" s="22" t="n">
        <v>6.0349</v>
      </c>
      <c r="G33" s="22" t="n">
        <v>53.19899</v>
      </c>
      <c r="H33" s="22" t="n">
        <v>8.39992</v>
      </c>
      <c r="I33" s="22" t="n">
        <v>47.17602</v>
      </c>
      <c r="J33" s="2" t="n"/>
      <c r="K33" s="2" t="n"/>
      <c r="L33" s="2" t="n"/>
      <c r="M33" s="2" t="n"/>
    </row>
    <row r="34">
      <c r="A34" s="12" t="n">
        <v>58.5</v>
      </c>
      <c r="B34" s="22" t="n">
        <v>9.6126</v>
      </c>
      <c r="C34" s="22" t="n">
        <v>0.36972</v>
      </c>
      <c r="D34" s="22" t="n">
        <v>9.24288</v>
      </c>
      <c r="E34" s="22" t="n">
        <v>63.94273</v>
      </c>
      <c r="F34" s="22" t="n">
        <v>6.22934</v>
      </c>
      <c r="G34" s="22" t="n">
        <v>57.71338</v>
      </c>
      <c r="H34" s="22" t="n">
        <v>8.865830000000001</v>
      </c>
      <c r="I34" s="22" t="n">
        <v>51.49213</v>
      </c>
      <c r="J34" s="2" t="n"/>
      <c r="K34" s="2" t="n"/>
      <c r="L34" s="2" t="n"/>
      <c r="M34" s="2" t="n"/>
    </row>
    <row r="35">
      <c r="A35" s="12" t="n">
        <v>59</v>
      </c>
      <c r="B35" s="22" t="n">
        <v>9.9887</v>
      </c>
      <c r="C35" s="22" t="n">
        <v>0.319</v>
      </c>
      <c r="D35" s="22" t="n">
        <v>9.669700000000001</v>
      </c>
      <c r="E35" s="22" t="n">
        <v>68.84275</v>
      </c>
      <c r="F35" s="22" t="n">
        <v>6.40152</v>
      </c>
      <c r="G35" s="22" t="n">
        <v>62.44123</v>
      </c>
      <c r="H35" s="22" t="n">
        <v>9.34437</v>
      </c>
      <c r="I35" s="22" t="n">
        <v>56.04437</v>
      </c>
      <c r="J35" s="2" t="n"/>
      <c r="K35" s="2" t="n"/>
      <c r="L35" s="2" t="n"/>
      <c r="M35" s="2" t="n"/>
    </row>
    <row r="36">
      <c r="A36" s="12" t="n">
        <v>59.5</v>
      </c>
      <c r="B36" s="22" t="n">
        <v>10.3656</v>
      </c>
      <c r="C36" s="22" t="n">
        <v>0.24447</v>
      </c>
      <c r="D36" s="22" t="n">
        <v>10.12113</v>
      </c>
      <c r="E36" s="22" t="n">
        <v>73.93104</v>
      </c>
      <c r="F36" s="22" t="n">
        <v>6.54239</v>
      </c>
      <c r="G36" s="22" t="n">
        <v>67.38864</v>
      </c>
      <c r="H36" s="22" t="n">
        <v>9.87181</v>
      </c>
      <c r="I36" s="22" t="n">
        <v>60.84813</v>
      </c>
      <c r="J36" s="2" t="n"/>
      <c r="K36" s="2" t="n"/>
      <c r="L36" s="2" t="n"/>
      <c r="M36" s="2" t="n"/>
    </row>
    <row r="37">
      <c r="A37" s="12" t="n">
        <v>60</v>
      </c>
      <c r="B37" s="22" t="n">
        <v>10.7747</v>
      </c>
      <c r="C37" s="22" t="n">
        <v>0</v>
      </c>
      <c r="D37" s="22" t="n">
        <v>10.7747</v>
      </c>
      <c r="E37" s="22" t="n">
        <v>79.21578</v>
      </c>
      <c r="F37" s="22" t="n">
        <v>6.60351</v>
      </c>
      <c r="G37" s="22" t="n">
        <v>72.61227</v>
      </c>
      <c r="H37" s="22" t="n">
        <v>10.7747</v>
      </c>
      <c r="I37" s="22" t="n">
        <v>66.00942000000001</v>
      </c>
      <c r="J37" s="2" t="n"/>
      <c r="K37" s="2" t="n"/>
      <c r="L37" s="2" t="n"/>
      <c r="M3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Shafan 02 -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235</v>
      </c>
      <c r="M3" s="2" t="n"/>
    </row>
    <row r="4">
      <c r="A4" s="12" t="n">
        <v>202</v>
      </c>
      <c r="B4" s="22" t="n">
        <v>0.0013</v>
      </c>
      <c r="C4" s="22" t="n">
        <v>0.0013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202.5</v>
      </c>
      <c r="B5" s="22" t="n">
        <v>0.0047</v>
      </c>
      <c r="C5" s="22" t="n">
        <v>0.0047</v>
      </c>
      <c r="D5" s="22" t="n">
        <v>0</v>
      </c>
      <c r="E5" s="22" t="n">
        <v>0.00141</v>
      </c>
      <c r="F5" s="22" t="n">
        <v>0.00141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MAX(E4:E70)*1.02</f>
        <v/>
      </c>
      <c r="M5" s="2">
        <f>L3</f>
        <v/>
      </c>
    </row>
    <row r="6">
      <c r="A6" s="12" t="n">
        <v>203</v>
      </c>
      <c r="B6" s="22" t="n">
        <v>0.008999999999999999</v>
      </c>
      <c r="C6" s="22" t="n">
        <v>0.008999999999999999</v>
      </c>
      <c r="D6" s="22" t="n">
        <v>0</v>
      </c>
      <c r="E6" s="22" t="n">
        <v>0.00478</v>
      </c>
      <c r="F6" s="22" t="n">
        <v>0.00478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203.5</v>
      </c>
      <c r="B7" s="22" t="n">
        <v>0.0135</v>
      </c>
      <c r="C7" s="22" t="n">
        <v>0.0135</v>
      </c>
      <c r="D7" s="22" t="n">
        <v>0</v>
      </c>
      <c r="E7" s="22" t="n">
        <v>0.01037</v>
      </c>
      <c r="F7" s="22" t="n">
        <v>0.01037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204</v>
      </c>
      <c r="B8" s="22" t="n">
        <v>0.0199</v>
      </c>
      <c r="C8" s="22" t="n">
        <v>0.0199</v>
      </c>
      <c r="D8" s="22" t="n">
        <v>0</v>
      </c>
      <c r="E8" s="22" t="n">
        <v>0.01866</v>
      </c>
      <c r="F8" s="22" t="n">
        <v>0.01866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204.5</v>
      </c>
      <c r="B9" s="22" t="n">
        <v>0.0258</v>
      </c>
      <c r="C9" s="22" t="n">
        <v>0.0258</v>
      </c>
      <c r="D9" s="22" t="n">
        <v>0</v>
      </c>
      <c r="E9" s="22" t="n">
        <v>0.03006</v>
      </c>
      <c r="F9" s="22" t="n">
        <v>0.03006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205</v>
      </c>
      <c r="B10" s="22" t="n">
        <v>0.0301</v>
      </c>
      <c r="C10" s="22" t="n">
        <v>0.0301</v>
      </c>
      <c r="D10" s="22" t="n">
        <v>0</v>
      </c>
      <c r="E10" s="22" t="n">
        <v>0.04402</v>
      </c>
      <c r="F10" s="22" t="n">
        <v>0.04402</v>
      </c>
      <c r="G10" s="22" t="n">
        <v>0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205.5</v>
      </c>
      <c r="B11" s="22" t="n">
        <v>0.0362</v>
      </c>
      <c r="C11" s="22" t="n">
        <v>0.0362</v>
      </c>
      <c r="D11" s="22" t="n">
        <v>0</v>
      </c>
      <c r="E11" s="22" t="n">
        <v>0.06057</v>
      </c>
      <c r="F11" s="22" t="n">
        <v>0.06057</v>
      </c>
      <c r="G11" s="22" t="n">
        <v>0</v>
      </c>
      <c r="H11" s="22" t="n">
        <v>0</v>
      </c>
      <c r="I11" s="22" t="n">
        <v>0</v>
      </c>
      <c r="J11" s="2" t="n"/>
      <c r="K11" s="2" t="n"/>
      <c r="L11" s="2" t="n"/>
      <c r="M11" s="2" t="n"/>
    </row>
    <row r="12">
      <c r="A12" s="12" t="n">
        <v>206</v>
      </c>
      <c r="B12" s="22" t="n">
        <v>0.0454</v>
      </c>
      <c r="C12" s="22" t="n">
        <v>0.0454</v>
      </c>
      <c r="D12" s="22" t="n">
        <v>0</v>
      </c>
      <c r="E12" s="22" t="n">
        <v>0.08093</v>
      </c>
      <c r="F12" s="22" t="n">
        <v>0.08093</v>
      </c>
      <c r="G12" s="22" t="n">
        <v>0</v>
      </c>
      <c r="H12" s="22" t="n">
        <v>0</v>
      </c>
      <c r="I12" s="22" t="n">
        <v>0</v>
      </c>
      <c r="J12" s="2" t="n"/>
      <c r="K12" s="2" t="n"/>
      <c r="L12" s="2" t="n"/>
      <c r="M12" s="2" t="n"/>
    </row>
    <row r="13">
      <c r="A13" s="12" t="n">
        <v>206.5</v>
      </c>
      <c r="B13" s="22" t="n">
        <v>0.06270000000000001</v>
      </c>
      <c r="C13" s="22" t="n">
        <v>0.05447</v>
      </c>
      <c r="D13" s="22" t="n">
        <v>0.008229999999999999</v>
      </c>
      <c r="E13" s="22" t="n">
        <v>0.10784</v>
      </c>
      <c r="F13" s="22" t="n">
        <v>0.10776</v>
      </c>
      <c r="G13" s="22" t="n">
        <v>6.999999999999999e-05</v>
      </c>
      <c r="H13" s="22" t="n">
        <v>0</v>
      </c>
      <c r="I13" s="22" t="n">
        <v>0</v>
      </c>
      <c r="J13" s="2" t="n"/>
      <c r="K13" s="2" t="n"/>
      <c r="L13" s="2" t="n"/>
      <c r="M13" s="2" t="n"/>
    </row>
    <row r="14">
      <c r="A14" s="12" t="n">
        <v>207</v>
      </c>
      <c r="B14" s="22" t="n">
        <v>0.0789</v>
      </c>
      <c r="C14" s="22" t="n">
        <v>0.05742</v>
      </c>
      <c r="D14" s="22" t="n">
        <v>0.02148</v>
      </c>
      <c r="E14" s="22" t="n">
        <v>0.14316</v>
      </c>
      <c r="F14" s="22" t="n">
        <v>0.13574</v>
      </c>
      <c r="G14" s="22" t="n">
        <v>0.00742</v>
      </c>
      <c r="H14" s="22" t="n">
        <v>0</v>
      </c>
      <c r="I14" s="22" t="n">
        <v>0</v>
      </c>
      <c r="J14" s="2" t="n"/>
      <c r="K14" s="2" t="n"/>
      <c r="L14" s="2" t="n"/>
      <c r="M14" s="2" t="n"/>
    </row>
    <row r="15">
      <c r="A15" s="12" t="n">
        <v>207.5</v>
      </c>
      <c r="B15" s="22" t="n">
        <v>0.1007</v>
      </c>
      <c r="C15" s="22" t="n">
        <v>0.06018</v>
      </c>
      <c r="D15" s="22" t="n">
        <v>0.04052</v>
      </c>
      <c r="E15" s="22" t="n">
        <v>0.18795</v>
      </c>
      <c r="F15" s="22" t="n">
        <v>0.16514</v>
      </c>
      <c r="G15" s="22" t="n">
        <v>0.02281</v>
      </c>
      <c r="H15" s="22" t="n">
        <v>0</v>
      </c>
      <c r="I15" s="22" t="n">
        <v>0</v>
      </c>
      <c r="J15" s="2" t="n"/>
      <c r="K15" s="2" t="n"/>
      <c r="L15" s="2" t="n"/>
      <c r="M15" s="2" t="n"/>
    </row>
    <row r="16">
      <c r="A16" s="12" t="n">
        <v>208</v>
      </c>
      <c r="B16" s="22" t="n">
        <v>0.1211</v>
      </c>
      <c r="C16" s="22" t="n">
        <v>0.06277000000000001</v>
      </c>
      <c r="D16" s="22" t="n">
        <v>0.05833</v>
      </c>
      <c r="E16" s="22" t="n">
        <v>0.24332</v>
      </c>
      <c r="F16" s="22" t="n">
        <v>0.19587</v>
      </c>
      <c r="G16" s="22" t="n">
        <v>0.04744</v>
      </c>
      <c r="H16" s="22" t="n">
        <v>0</v>
      </c>
      <c r="I16" s="22" t="n">
        <v>0</v>
      </c>
      <c r="J16" s="2" t="n"/>
      <c r="K16" s="2" t="n"/>
      <c r="L16" s="2" t="n"/>
      <c r="M16" s="2" t="n"/>
    </row>
    <row r="17">
      <c r="A17" s="12" t="n">
        <v>208.5</v>
      </c>
      <c r="B17" s="22" t="n">
        <v>0.1416</v>
      </c>
      <c r="C17" s="22" t="n">
        <v>0.06519999999999999</v>
      </c>
      <c r="D17" s="22" t="n">
        <v>0.0764</v>
      </c>
      <c r="E17" s="22" t="n">
        <v>0.30893</v>
      </c>
      <c r="F17" s="22" t="n">
        <v>0.22787</v>
      </c>
      <c r="G17" s="22" t="n">
        <v>0.08105999999999999</v>
      </c>
      <c r="H17" s="22" t="n">
        <v>0.00668</v>
      </c>
      <c r="I17" s="22" t="n">
        <v>0</v>
      </c>
      <c r="J17" s="2" t="n"/>
      <c r="K17" s="2" t="n"/>
      <c r="L17" s="2" t="n"/>
      <c r="M17" s="2" t="n"/>
    </row>
    <row r="18">
      <c r="A18" s="12" t="n">
        <v>209</v>
      </c>
      <c r="B18" s="22" t="n">
        <v>0.1618</v>
      </c>
      <c r="C18" s="22" t="n">
        <v>0.06748</v>
      </c>
      <c r="D18" s="22" t="n">
        <v>0.09432</v>
      </c>
      <c r="E18" s="22" t="n">
        <v>0.38472</v>
      </c>
      <c r="F18" s="22" t="n">
        <v>0.26104</v>
      </c>
      <c r="G18" s="22" t="n">
        <v>0.12369</v>
      </c>
      <c r="H18" s="22" t="n">
        <v>0.02216</v>
      </c>
      <c r="I18" s="22" t="n">
        <v>0.00659</v>
      </c>
      <c r="J18" s="2" t="n"/>
      <c r="K18" s="2" t="n"/>
      <c r="L18" s="2" t="n"/>
      <c r="M18" s="2" t="n"/>
    </row>
    <row r="19">
      <c r="A19" s="12" t="n">
        <v>209.5</v>
      </c>
      <c r="B19" s="22" t="n">
        <v>0.1834</v>
      </c>
      <c r="C19" s="22" t="n">
        <v>0.06963</v>
      </c>
      <c r="D19" s="22" t="n">
        <v>0.11377</v>
      </c>
      <c r="E19" s="22" t="n">
        <v>0.47097</v>
      </c>
      <c r="F19" s="22" t="n">
        <v>0.29531</v>
      </c>
      <c r="G19" s="22" t="n">
        <v>0.17565</v>
      </c>
      <c r="H19" s="22" t="n">
        <v>0.03931</v>
      </c>
      <c r="I19" s="22" t="n">
        <v>0.0219</v>
      </c>
      <c r="J19" s="2" t="n"/>
      <c r="K19" s="2" t="n"/>
      <c r="L19" s="2" t="n"/>
      <c r="M19" s="2" t="n"/>
    </row>
    <row r="20">
      <c r="A20" s="12" t="n">
        <v>210</v>
      </c>
      <c r="B20" s="22" t="n">
        <v>0.2041</v>
      </c>
      <c r="C20" s="22" t="n">
        <v>0.07166</v>
      </c>
      <c r="D20" s="22" t="n">
        <v>0.13244</v>
      </c>
      <c r="E20" s="22" t="n">
        <v>0.56779</v>
      </c>
      <c r="F20" s="22" t="n">
        <v>0.33064</v>
      </c>
      <c r="G20" s="22" t="n">
        <v>0.23716</v>
      </c>
      <c r="H20" s="22" t="n">
        <v>0.05582</v>
      </c>
      <c r="I20" s="22" t="n">
        <v>0.04563</v>
      </c>
      <c r="J20" s="2" t="n"/>
      <c r="K20" s="2" t="n"/>
      <c r="L20" s="2" t="n"/>
      <c r="M20" s="2" t="n"/>
    </row>
    <row r="21">
      <c r="A21" s="12" t="n">
        <v>210.5</v>
      </c>
      <c r="B21" s="22" t="n">
        <v>0.2291</v>
      </c>
      <c r="C21" s="22" t="n">
        <v>0.07356</v>
      </c>
      <c r="D21" s="22" t="n">
        <v>0.15554</v>
      </c>
      <c r="E21" s="22" t="n">
        <v>0.67603</v>
      </c>
      <c r="F21" s="22" t="n">
        <v>0.36694</v>
      </c>
      <c r="G21" s="22" t="n">
        <v>0.30909</v>
      </c>
      <c r="H21" s="22" t="n">
        <v>0.07686999999999999</v>
      </c>
      <c r="I21" s="22" t="n">
        <v>0.07875</v>
      </c>
      <c r="J21" s="2" t="n"/>
      <c r="K21" s="2" t="n"/>
      <c r="L21" s="2" t="n"/>
      <c r="M21" s="2" t="n"/>
    </row>
    <row r="22">
      <c r="A22" s="12" t="n">
        <v>211</v>
      </c>
      <c r="B22" s="22" t="n">
        <v>0.2529</v>
      </c>
      <c r="C22" s="22" t="n">
        <v>0.07536</v>
      </c>
      <c r="D22" s="22" t="n">
        <v>0.17754</v>
      </c>
      <c r="E22" s="22" t="n">
        <v>0.79649</v>
      </c>
      <c r="F22" s="22" t="n">
        <v>0.40417</v>
      </c>
      <c r="G22" s="22" t="n">
        <v>0.39231</v>
      </c>
      <c r="H22" s="22" t="n">
        <v>0.09694999999999999</v>
      </c>
      <c r="I22" s="22" t="n">
        <v>0.12215</v>
      </c>
      <c r="J22" s="2" t="n"/>
      <c r="K22" s="2" t="n"/>
      <c r="L22" s="2" t="n"/>
      <c r="M22" s="2" t="n"/>
    </row>
    <row r="23">
      <c r="A23" s="12" t="n">
        <v>211.5</v>
      </c>
      <c r="B23" s="22" t="n">
        <v>0.277</v>
      </c>
      <c r="C23" s="22" t="n">
        <v>0.07704999999999999</v>
      </c>
      <c r="D23" s="22" t="n">
        <v>0.19995</v>
      </c>
      <c r="E23" s="22" t="n">
        <v>0.92891</v>
      </c>
      <c r="F23" s="22" t="n">
        <v>0.44228</v>
      </c>
      <c r="G23" s="22" t="n">
        <v>0.48664</v>
      </c>
      <c r="H23" s="22" t="n">
        <v>0.11755</v>
      </c>
      <c r="I23" s="22" t="n">
        <v>0.17573</v>
      </c>
      <c r="J23" s="2" t="n"/>
      <c r="K23" s="2" t="n"/>
      <c r="L23" s="2" t="n"/>
      <c r="M23" s="2" t="n"/>
    </row>
    <row r="24">
      <c r="A24" s="12" t="n">
        <v>212</v>
      </c>
      <c r="B24" s="22" t="n">
        <v>0.3007</v>
      </c>
      <c r="C24" s="22" t="n">
        <v>0.07864</v>
      </c>
      <c r="D24" s="22" t="n">
        <v>0.22206</v>
      </c>
      <c r="E24" s="22" t="n">
        <v>1.0733</v>
      </c>
      <c r="F24" s="22" t="n">
        <v>0.4812</v>
      </c>
      <c r="G24" s="22" t="n">
        <v>0.5921</v>
      </c>
      <c r="H24" s="22" t="n">
        <v>0.13797</v>
      </c>
      <c r="I24" s="22" t="n">
        <v>0.23957</v>
      </c>
      <c r="J24" s="2" t="n"/>
      <c r="K24" s="2" t="n"/>
      <c r="L24" s="2" t="n"/>
      <c r="M24" s="2" t="n"/>
    </row>
    <row r="25">
      <c r="A25" s="12" t="n">
        <v>212.5</v>
      </c>
      <c r="B25" s="22" t="n">
        <v>0.323</v>
      </c>
      <c r="C25" s="22" t="n">
        <v>0.08013000000000001</v>
      </c>
      <c r="D25" s="22" t="n">
        <v>0.24287</v>
      </c>
      <c r="E25" s="22" t="n">
        <v>1.22919</v>
      </c>
      <c r="F25" s="22" t="n">
        <v>0.52089</v>
      </c>
      <c r="G25" s="22" t="n">
        <v>0.7083</v>
      </c>
      <c r="H25" s="22" t="n">
        <v>0.15718</v>
      </c>
      <c r="I25" s="22" t="n">
        <v>0.31333</v>
      </c>
      <c r="J25" s="2" t="n"/>
      <c r="K25" s="2" t="n"/>
      <c r="L25" s="2" t="n"/>
      <c r="M25" s="2" t="n"/>
    </row>
    <row r="26">
      <c r="A26" s="12" t="n">
        <v>213</v>
      </c>
      <c r="B26" s="22" t="n">
        <v>0.3522</v>
      </c>
      <c r="C26" s="22" t="n">
        <v>0.08153000000000001</v>
      </c>
      <c r="D26" s="22" t="n">
        <v>0.27067</v>
      </c>
      <c r="E26" s="22" t="n">
        <v>1.39794</v>
      </c>
      <c r="F26" s="22" t="n">
        <v>0.56131</v>
      </c>
      <c r="G26" s="22" t="n">
        <v>0.83663</v>
      </c>
      <c r="H26" s="22" t="n">
        <v>0.18348</v>
      </c>
      <c r="I26" s="22" t="n">
        <v>0.39844</v>
      </c>
      <c r="J26" s="2" t="n"/>
      <c r="K26" s="2" t="n"/>
      <c r="L26" s="2" t="n"/>
      <c r="M26" s="2" t="n"/>
    </row>
    <row r="27">
      <c r="A27" s="12" t="n">
        <v>213.5</v>
      </c>
      <c r="B27" s="22" t="n">
        <v>0.3771</v>
      </c>
      <c r="C27" s="22" t="n">
        <v>0.08284</v>
      </c>
      <c r="D27" s="22" t="n">
        <v>0.29426</v>
      </c>
      <c r="E27" s="22" t="n">
        <v>1.58023</v>
      </c>
      <c r="F27" s="22" t="n">
        <v>0.6024</v>
      </c>
      <c r="G27" s="22" t="n">
        <v>0.97783</v>
      </c>
      <c r="H27" s="22" t="n">
        <v>0.20568</v>
      </c>
      <c r="I27" s="22" t="n">
        <v>0.49569</v>
      </c>
      <c r="J27" s="2" t="n"/>
      <c r="K27" s="2" t="n"/>
      <c r="L27" s="2" t="n"/>
      <c r="M27" s="2" t="n"/>
    </row>
    <row r="28">
      <c r="A28" s="12" t="n">
        <v>214</v>
      </c>
      <c r="B28" s="22" t="n">
        <v>0.4048</v>
      </c>
      <c r="C28" s="22" t="n">
        <v>0.08406</v>
      </c>
      <c r="D28" s="22" t="n">
        <v>0.32074</v>
      </c>
      <c r="E28" s="22" t="n">
        <v>1.77566</v>
      </c>
      <c r="F28" s="22" t="n">
        <v>0.64412</v>
      </c>
      <c r="G28" s="22" t="n">
        <v>1.13154</v>
      </c>
      <c r="H28" s="22" t="n">
        <v>0.23085</v>
      </c>
      <c r="I28" s="22" t="n">
        <v>0.60479</v>
      </c>
      <c r="J28" s="2" t="n"/>
      <c r="K28" s="2" t="n"/>
      <c r="L28" s="2" t="n"/>
      <c r="M28" s="2" t="n"/>
    </row>
    <row r="29">
      <c r="A29" s="12" t="n">
        <v>214.5</v>
      </c>
      <c r="B29" s="22" t="n">
        <v>0.4472</v>
      </c>
      <c r="C29" s="22" t="n">
        <v>0.08519</v>
      </c>
      <c r="D29" s="22" t="n">
        <v>0.36201</v>
      </c>
      <c r="E29" s="22" t="n">
        <v>1.98857</v>
      </c>
      <c r="F29" s="22" t="n">
        <v>0.6864400000000001</v>
      </c>
      <c r="G29" s="22" t="n">
        <v>1.30214</v>
      </c>
      <c r="H29" s="22" t="n">
        <v>0.27091</v>
      </c>
      <c r="I29" s="22" t="n">
        <v>0.73014</v>
      </c>
      <c r="J29" s="2" t="n"/>
      <c r="K29" s="2" t="n"/>
      <c r="L29" s="2" t="n"/>
      <c r="M29" s="2" t="n"/>
    </row>
    <row r="30">
      <c r="A30" s="12" t="n">
        <v>215</v>
      </c>
      <c r="B30" s="22" t="n">
        <v>0.4865</v>
      </c>
      <c r="C30" s="22" t="n">
        <v>0.08624</v>
      </c>
      <c r="D30" s="22" t="n">
        <v>0.40026</v>
      </c>
      <c r="E30" s="22" t="n">
        <v>2.22193</v>
      </c>
      <c r="F30" s="22" t="n">
        <v>0.7292999999999999</v>
      </c>
      <c r="G30" s="22" t="n">
        <v>1.49263</v>
      </c>
      <c r="H30" s="22" t="n">
        <v>0.30804</v>
      </c>
      <c r="I30" s="22" t="n">
        <v>0.87481</v>
      </c>
      <c r="J30" s="2" t="n"/>
      <c r="K30" s="2" t="n"/>
      <c r="L30" s="2" t="n"/>
      <c r="M30" s="2" t="n"/>
    </row>
    <row r="31">
      <c r="A31" s="12" t="n">
        <v>215.5</v>
      </c>
      <c r="B31" s="22" t="n">
        <v>0.5298</v>
      </c>
      <c r="C31" s="22" t="n">
        <v>0.08721</v>
      </c>
      <c r="D31" s="22" t="n">
        <v>0.44259</v>
      </c>
      <c r="E31" s="22" t="n">
        <v>2.47593</v>
      </c>
      <c r="F31" s="22" t="n">
        <v>0.77266</v>
      </c>
      <c r="G31" s="22" t="n">
        <v>1.70327</v>
      </c>
      <c r="H31" s="22" t="n">
        <v>0.34934</v>
      </c>
      <c r="I31" s="22" t="n">
        <v>1.03908</v>
      </c>
      <c r="J31" s="2" t="n"/>
      <c r="K31" s="2" t="n"/>
      <c r="L31" s="2" t="n"/>
      <c r="M31" s="2" t="n"/>
    </row>
    <row r="32">
      <c r="A32" s="12" t="n">
        <v>216</v>
      </c>
      <c r="B32" s="22" t="n">
        <v>0.5742</v>
      </c>
      <c r="C32" s="22" t="n">
        <v>0.08809</v>
      </c>
      <c r="D32" s="22" t="n">
        <v>0.48611</v>
      </c>
      <c r="E32" s="22" t="n">
        <v>2.75185</v>
      </c>
      <c r="F32" s="22" t="n">
        <v>0.81648</v>
      </c>
      <c r="G32" s="22" t="n">
        <v>1.93537</v>
      </c>
      <c r="H32" s="22" t="n">
        <v>0.39191</v>
      </c>
      <c r="I32" s="22" t="n">
        <v>1.22432</v>
      </c>
      <c r="J32" s="2" t="n"/>
      <c r="K32" s="2" t="n"/>
      <c r="L32" s="2" t="n"/>
      <c r="M32" s="2" t="n"/>
    </row>
    <row r="33">
      <c r="A33" s="12" t="n">
        <v>216.5</v>
      </c>
      <c r="B33" s="22" t="n">
        <v>0.6263</v>
      </c>
      <c r="C33" s="22" t="n">
        <v>0.08889</v>
      </c>
      <c r="D33" s="22" t="n">
        <v>0.5374100000000001</v>
      </c>
      <c r="E33" s="22" t="n">
        <v>3.05188</v>
      </c>
      <c r="F33" s="22" t="n">
        <v>0.86073</v>
      </c>
      <c r="G33" s="22" t="n">
        <v>2.19116</v>
      </c>
      <c r="H33" s="22" t="n">
        <v>0.44235</v>
      </c>
      <c r="I33" s="22" t="n">
        <v>1.43279</v>
      </c>
      <c r="J33" s="2" t="n"/>
      <c r="K33" s="2" t="n"/>
      <c r="L33" s="2" t="n"/>
      <c r="M33" s="2" t="n"/>
    </row>
    <row r="34">
      <c r="A34" s="12" t="n">
        <v>217</v>
      </c>
      <c r="B34" s="22" t="n">
        <v>0.6871</v>
      </c>
      <c r="C34" s="22" t="n">
        <v>0.08961</v>
      </c>
      <c r="D34" s="22" t="n">
        <v>0.59749</v>
      </c>
      <c r="E34" s="22" t="n">
        <v>3.38012</v>
      </c>
      <c r="F34" s="22" t="n">
        <v>0.90535</v>
      </c>
      <c r="G34" s="22" t="n">
        <v>2.47477</v>
      </c>
      <c r="H34" s="22" t="n">
        <v>0.50166</v>
      </c>
      <c r="I34" s="22" t="n">
        <v>1.66867</v>
      </c>
      <c r="J34" s="2" t="n"/>
      <c r="K34" s="2" t="n"/>
      <c r="L34" s="2" t="n"/>
      <c r="M34" s="2" t="n"/>
    </row>
    <row r="35">
      <c r="A35" s="12" t="n">
        <v>217.5</v>
      </c>
      <c r="B35" s="22" t="n">
        <v>0.7494</v>
      </c>
      <c r="C35" s="22" t="n">
        <v>0.09026000000000001</v>
      </c>
      <c r="D35" s="22" t="n">
        <v>0.6591399999999999</v>
      </c>
      <c r="E35" s="22" t="n">
        <v>3.73913</v>
      </c>
      <c r="F35" s="22" t="n">
        <v>0.9503200000000001</v>
      </c>
      <c r="G35" s="22" t="n">
        <v>2.78881</v>
      </c>
      <c r="H35" s="22" t="n">
        <v>0.56263</v>
      </c>
      <c r="I35" s="22" t="n">
        <v>1.93463</v>
      </c>
      <c r="J35" s="2" t="n"/>
      <c r="K35" s="2" t="n"/>
      <c r="L35" s="2" t="n"/>
      <c r="M35" s="2" t="n"/>
    </row>
    <row r="36">
      <c r="A36" s="12" t="n">
        <v>218</v>
      </c>
      <c r="B36" s="22" t="n">
        <v>0.8133</v>
      </c>
      <c r="C36" s="22" t="n">
        <v>0.09082</v>
      </c>
      <c r="D36" s="22" t="n">
        <v>0.72248</v>
      </c>
      <c r="E36" s="22" t="n">
        <v>4.1297</v>
      </c>
      <c r="F36" s="22" t="n">
        <v>0.99559</v>
      </c>
      <c r="G36" s="22" t="n">
        <v>3.13411</v>
      </c>
      <c r="H36" s="22" t="n">
        <v>0.62537</v>
      </c>
      <c r="I36" s="22" t="n">
        <v>2.23153</v>
      </c>
      <c r="J36" s="2" t="n"/>
      <c r="K36" s="2" t="n"/>
      <c r="L36" s="2" t="n"/>
      <c r="M36" s="2" t="n"/>
    </row>
    <row r="37">
      <c r="A37" s="12" t="n">
        <v>218.5</v>
      </c>
      <c r="B37" s="22" t="n">
        <v>0.8817</v>
      </c>
      <c r="C37" s="22" t="n">
        <v>0.09130000000000001</v>
      </c>
      <c r="D37" s="22" t="n">
        <v>0.7904</v>
      </c>
      <c r="E37" s="22" t="n">
        <v>4.55333</v>
      </c>
      <c r="F37" s="22" t="n">
        <v>1.04112</v>
      </c>
      <c r="G37" s="22" t="n">
        <v>3.51221</v>
      </c>
      <c r="H37" s="22" t="n">
        <v>0.69277</v>
      </c>
      <c r="I37" s="22" t="n">
        <v>2.56094</v>
      </c>
      <c r="J37" s="2" t="n"/>
      <c r="K37" s="2" t="n"/>
      <c r="L37" s="2" t="n"/>
      <c r="M37" s="2" t="n"/>
    </row>
    <row r="38">
      <c r="A38" s="12" t="n">
        <v>219</v>
      </c>
      <c r="B38" s="22" t="n">
        <v>0.9609</v>
      </c>
      <c r="C38" s="22" t="n">
        <v>0.0917</v>
      </c>
      <c r="D38" s="22" t="n">
        <v>0.8692</v>
      </c>
      <c r="E38" s="22" t="n">
        <v>5.01384</v>
      </c>
      <c r="F38" s="22" t="n">
        <v>1.08687</v>
      </c>
      <c r="G38" s="22" t="n">
        <v>3.92697</v>
      </c>
      <c r="H38" s="22" t="n">
        <v>0.77114</v>
      </c>
      <c r="I38" s="22" t="n">
        <v>2.92678</v>
      </c>
      <c r="J38" s="2" t="n"/>
      <c r="K38" s="2" t="n"/>
      <c r="L38" s="2" t="n"/>
      <c r="M38" s="2" t="n"/>
    </row>
    <row r="39">
      <c r="A39" s="12" t="n">
        <v>219.5</v>
      </c>
      <c r="B39" s="22" t="n">
        <v>1.0352</v>
      </c>
      <c r="C39" s="22" t="n">
        <v>0.09203</v>
      </c>
      <c r="D39" s="22" t="n">
        <v>0.94317</v>
      </c>
      <c r="E39" s="22" t="n">
        <v>5.51275</v>
      </c>
      <c r="F39" s="22" t="n">
        <v>1.1328</v>
      </c>
      <c r="G39" s="22" t="n">
        <v>4.37995</v>
      </c>
      <c r="H39" s="22" t="n">
        <v>0.84477</v>
      </c>
      <c r="I39" s="22" t="n">
        <v>3.33064</v>
      </c>
      <c r="J39" s="2" t="n"/>
      <c r="K39" s="2" t="n"/>
      <c r="L39" s="2" t="n"/>
      <c r="M39" s="2" t="n"/>
    </row>
    <row r="40">
      <c r="A40" s="12" t="n">
        <v>220</v>
      </c>
      <c r="B40" s="22" t="n">
        <v>1.1203</v>
      </c>
      <c r="C40" s="22" t="n">
        <v>0.09227</v>
      </c>
      <c r="D40" s="22" t="n">
        <v>1.02803</v>
      </c>
      <c r="E40" s="22" t="n">
        <v>6.05148</v>
      </c>
      <c r="F40" s="22" t="n">
        <v>1.17887</v>
      </c>
      <c r="G40" s="22" t="n">
        <v>4.87261</v>
      </c>
      <c r="H40" s="22" t="n">
        <v>0.92937</v>
      </c>
      <c r="I40" s="22" t="n">
        <v>3.77403</v>
      </c>
      <c r="J40" s="2" t="n"/>
      <c r="K40" s="2" t="n"/>
      <c r="L40" s="2" t="n"/>
      <c r="M40" s="2" t="n"/>
    </row>
    <row r="41">
      <c r="A41" s="12" t="n">
        <v>220.5</v>
      </c>
      <c r="B41" s="22" t="n">
        <v>1.2079</v>
      </c>
      <c r="C41" s="22" t="n">
        <v>0.09242</v>
      </c>
      <c r="D41" s="22" t="n">
        <v>1.11548</v>
      </c>
      <c r="E41" s="22" t="n">
        <v>6.6334</v>
      </c>
      <c r="F41" s="22" t="n">
        <v>1.22504</v>
      </c>
      <c r="G41" s="22" t="n">
        <v>5.40835</v>
      </c>
      <c r="H41" s="22" t="n">
        <v>1.01664</v>
      </c>
      <c r="I41" s="22" t="n">
        <v>4.2604</v>
      </c>
      <c r="J41" s="2" t="n"/>
      <c r="K41" s="2" t="n"/>
      <c r="L41" s="2" t="n"/>
      <c r="M41" s="2" t="n"/>
    </row>
    <row r="42">
      <c r="A42" s="12" t="n">
        <v>221</v>
      </c>
      <c r="B42" s="22" t="n">
        <v>1.295</v>
      </c>
      <c r="C42" s="22" t="n">
        <v>0.0925</v>
      </c>
      <c r="D42" s="22" t="n">
        <v>1.2025</v>
      </c>
      <c r="E42" s="22" t="n">
        <v>7.25899</v>
      </c>
      <c r="F42" s="22" t="n">
        <v>1.27128</v>
      </c>
      <c r="G42" s="22" t="n">
        <v>5.98772</v>
      </c>
      <c r="H42" s="22" t="n">
        <v>1.10359</v>
      </c>
      <c r="I42" s="22" t="n">
        <v>4.79033</v>
      </c>
      <c r="J42" s="2" t="n"/>
      <c r="K42" s="2" t="n"/>
      <c r="L42" s="2" t="n"/>
      <c r="M42" s="2" t="n"/>
    </row>
    <row r="43">
      <c r="A43" s="12" t="n">
        <v>221.5</v>
      </c>
      <c r="B43" s="22" t="n">
        <v>1.3873</v>
      </c>
      <c r="C43" s="22" t="n">
        <v>0.09249</v>
      </c>
      <c r="D43" s="22" t="n">
        <v>1.29481</v>
      </c>
      <c r="E43" s="22" t="n">
        <v>7.92944</v>
      </c>
      <c r="F43" s="22" t="n">
        <v>1.31752</v>
      </c>
      <c r="G43" s="22" t="n">
        <v>6.61191</v>
      </c>
      <c r="H43" s="22" t="n">
        <v>1.19591</v>
      </c>
      <c r="I43" s="22" t="n">
        <v>5.36507</v>
      </c>
      <c r="J43" s="2" t="n"/>
      <c r="K43" s="2" t="n"/>
      <c r="L43" s="2" t="n"/>
      <c r="M43" s="2" t="n"/>
    </row>
    <row r="44">
      <c r="A44" s="12" t="n">
        <v>222</v>
      </c>
      <c r="B44" s="22" t="n">
        <v>1.4787</v>
      </c>
      <c r="C44" s="22" t="n">
        <v>0.09239</v>
      </c>
      <c r="D44" s="22" t="n">
        <v>1.38631</v>
      </c>
      <c r="E44" s="22" t="n">
        <v>8.645820000000001</v>
      </c>
      <c r="F44" s="22" t="n">
        <v>1.36374</v>
      </c>
      <c r="G44" s="22" t="n">
        <v>7.28207</v>
      </c>
      <c r="H44" s="22" t="n">
        <v>1.28751</v>
      </c>
      <c r="I44" s="22" t="n">
        <v>5.9858</v>
      </c>
      <c r="J44" s="2" t="n"/>
      <c r="K44" s="2" t="n"/>
      <c r="L44" s="2" t="n"/>
      <c r="M44" s="2" t="n"/>
    </row>
    <row r="45">
      <c r="A45" s="12" t="n">
        <v>222.5</v>
      </c>
      <c r="B45" s="22" t="n">
        <v>1.5628</v>
      </c>
      <c r="C45" s="22" t="n">
        <v>0.09221</v>
      </c>
      <c r="D45" s="22" t="n">
        <v>1.47059</v>
      </c>
      <c r="E45" s="22" t="n">
        <v>9.406090000000001</v>
      </c>
      <c r="F45" s="22" t="n">
        <v>1.40989</v>
      </c>
      <c r="G45" s="22" t="n">
        <v>7.9962</v>
      </c>
      <c r="H45" s="22" t="n">
        <v>1.37199</v>
      </c>
      <c r="I45" s="22" t="n">
        <v>6.65058</v>
      </c>
      <c r="J45" s="2" t="n"/>
      <c r="K45" s="2" t="n"/>
      <c r="L45" s="2" t="n"/>
      <c r="M45" s="2" t="n"/>
    </row>
    <row r="46">
      <c r="A46" s="12" t="n">
        <v>223</v>
      </c>
      <c r="B46" s="22" t="n">
        <v>1.6447</v>
      </c>
      <c r="C46" s="22" t="n">
        <v>0.09193</v>
      </c>
      <c r="D46" s="22" t="n">
        <v>1.55277</v>
      </c>
      <c r="E46" s="22" t="n">
        <v>10.20788</v>
      </c>
      <c r="F46" s="22" t="n">
        <v>1.45593</v>
      </c>
      <c r="G46" s="22" t="n">
        <v>8.751950000000001</v>
      </c>
      <c r="H46" s="22" t="n">
        <v>1.45446</v>
      </c>
      <c r="I46" s="22" t="n">
        <v>7.3571</v>
      </c>
      <c r="J46" s="2" t="n"/>
      <c r="K46" s="2" t="n"/>
      <c r="L46" s="2" t="n"/>
      <c r="M46" s="2" t="n"/>
    </row>
    <row r="47">
      <c r="A47" s="12" t="n">
        <v>223.5</v>
      </c>
      <c r="B47" s="22" t="n">
        <v>1.7232</v>
      </c>
      <c r="C47" s="22" t="n">
        <v>0.09156</v>
      </c>
      <c r="D47" s="22" t="n">
        <v>1.63164</v>
      </c>
      <c r="E47" s="22" t="n">
        <v>11.04978</v>
      </c>
      <c r="F47" s="22" t="n">
        <v>1.5018</v>
      </c>
      <c r="G47" s="22" t="n">
        <v>9.547980000000001</v>
      </c>
      <c r="H47" s="22" t="n">
        <v>1.53373</v>
      </c>
      <c r="I47" s="22" t="n">
        <v>8.10408</v>
      </c>
      <c r="J47" s="2" t="n"/>
      <c r="K47" s="2" t="n"/>
      <c r="L47" s="2" t="n"/>
      <c r="M47" s="2" t="n"/>
    </row>
    <row r="48">
      <c r="A48" s="12" t="n">
        <v>224</v>
      </c>
      <c r="B48" s="22" t="n">
        <v>1.8037</v>
      </c>
      <c r="C48" s="22" t="n">
        <v>0.09109</v>
      </c>
      <c r="D48" s="22" t="n">
        <v>1.71261</v>
      </c>
      <c r="E48" s="22" t="n">
        <v>11.93143</v>
      </c>
      <c r="F48" s="22" t="n">
        <v>1.54747</v>
      </c>
      <c r="G48" s="22" t="n">
        <v>10.38396</v>
      </c>
      <c r="H48" s="22" t="n">
        <v>1.6152</v>
      </c>
      <c r="I48" s="22" t="n">
        <v>8.89123</v>
      </c>
      <c r="J48" s="2" t="n"/>
      <c r="K48" s="2" t="n"/>
      <c r="L48" s="2" t="n"/>
      <c r="M48" s="2" t="n"/>
    </row>
    <row r="49">
      <c r="A49" s="12" t="n">
        <v>224.5</v>
      </c>
      <c r="B49" s="22" t="n">
        <v>1.886</v>
      </c>
      <c r="C49" s="22" t="n">
        <v>0.09053</v>
      </c>
      <c r="D49" s="22" t="n">
        <v>1.79547</v>
      </c>
      <c r="E49" s="22" t="n">
        <v>12.85378</v>
      </c>
      <c r="F49" s="22" t="n">
        <v>1.59287</v>
      </c>
      <c r="G49" s="22" t="n">
        <v>11.26091</v>
      </c>
      <c r="H49" s="22" t="n">
        <v>1.69867</v>
      </c>
      <c r="I49" s="22" t="n">
        <v>9.719620000000001</v>
      </c>
      <c r="J49" s="2" t="n"/>
      <c r="K49" s="2" t="n"/>
      <c r="L49" s="2" t="n"/>
      <c r="M49" s="2" t="n"/>
    </row>
    <row r="50">
      <c r="A50" s="12" t="n">
        <v>225</v>
      </c>
      <c r="B50" s="22" t="n">
        <v>1.9689</v>
      </c>
      <c r="C50" s="22" t="n">
        <v>0.08985</v>
      </c>
      <c r="D50" s="22" t="n">
        <v>1.87905</v>
      </c>
      <c r="E50" s="22" t="n">
        <v>13.81743</v>
      </c>
      <c r="F50" s="22" t="n">
        <v>1.63797</v>
      </c>
      <c r="G50" s="22" t="n">
        <v>12.17946</v>
      </c>
      <c r="H50" s="22" t="n">
        <v>1.78297</v>
      </c>
      <c r="I50" s="22" t="n">
        <v>10.58996</v>
      </c>
      <c r="J50" s="2" t="n"/>
      <c r="K50" s="2" t="n"/>
      <c r="L50" s="2" t="n"/>
      <c r="M50" s="2" t="n"/>
    </row>
    <row r="51">
      <c r="A51" s="12" t="n">
        <v>225.5</v>
      </c>
      <c r="B51" s="22" t="n">
        <v>2.0553</v>
      </c>
      <c r="C51" s="22" t="n">
        <v>0.08907</v>
      </c>
      <c r="D51" s="22" t="n">
        <v>1.96623</v>
      </c>
      <c r="E51" s="22" t="n">
        <v>14.8234</v>
      </c>
      <c r="F51" s="22" t="n">
        <v>1.6827</v>
      </c>
      <c r="G51" s="22" t="n">
        <v>13.14071</v>
      </c>
      <c r="H51" s="22" t="n">
        <v>1.87099</v>
      </c>
      <c r="I51" s="22" t="n">
        <v>11.50337</v>
      </c>
      <c r="J51" s="2" t="n"/>
      <c r="K51" s="2" t="n"/>
      <c r="L51" s="2" t="n"/>
      <c r="M51" s="2" t="n"/>
    </row>
    <row r="52">
      <c r="A52" s="12" t="n">
        <v>226</v>
      </c>
      <c r="B52" s="22" t="n">
        <v>2.1458</v>
      </c>
      <c r="C52" s="22" t="n">
        <v>0.08817</v>
      </c>
      <c r="D52" s="22" t="n">
        <v>2.05763</v>
      </c>
      <c r="E52" s="22" t="n">
        <v>15.87359</v>
      </c>
      <c r="F52" s="22" t="n">
        <v>1.727</v>
      </c>
      <c r="G52" s="22" t="n">
        <v>14.14659</v>
      </c>
      <c r="H52" s="22" t="n">
        <v>1.96336</v>
      </c>
      <c r="I52" s="22" t="n">
        <v>12.46187</v>
      </c>
      <c r="J52" s="2" t="n"/>
      <c r="K52" s="2" t="n"/>
      <c r="L52" s="2" t="n"/>
      <c r="M52" s="2" t="n"/>
    </row>
    <row r="53">
      <c r="A53" s="12" t="n">
        <v>226.5</v>
      </c>
      <c r="B53" s="22" t="n">
        <v>2.2297</v>
      </c>
      <c r="C53" s="22" t="n">
        <v>0.08714</v>
      </c>
      <c r="D53" s="22" t="n">
        <v>2.14256</v>
      </c>
      <c r="E53" s="22" t="n">
        <v>16.9674</v>
      </c>
      <c r="F53" s="22" t="n">
        <v>1.77083</v>
      </c>
      <c r="G53" s="22" t="n">
        <v>15.19657</v>
      </c>
      <c r="H53" s="22" t="n">
        <v>2.04937</v>
      </c>
      <c r="I53" s="22" t="n">
        <v>13.46499</v>
      </c>
      <c r="J53" s="2" t="n"/>
      <c r="K53" s="2" t="n"/>
      <c r="L53" s="2" t="n"/>
      <c r="M53" s="2" t="n"/>
    </row>
    <row r="54">
      <c r="A54" s="12" t="n">
        <v>227</v>
      </c>
      <c r="B54" s="22" t="n">
        <v>2.3076</v>
      </c>
      <c r="C54" s="22" t="n">
        <v>0.08599</v>
      </c>
      <c r="D54" s="22" t="n">
        <v>2.22161</v>
      </c>
      <c r="E54" s="22" t="n">
        <v>18.10167</v>
      </c>
      <c r="F54" s="22" t="n">
        <v>1.81411</v>
      </c>
      <c r="G54" s="22" t="n">
        <v>16.28756</v>
      </c>
      <c r="H54" s="22" t="n">
        <v>2.12966</v>
      </c>
      <c r="I54" s="22" t="n">
        <v>14.50969</v>
      </c>
      <c r="J54" s="2" t="n"/>
      <c r="K54" s="2" t="n"/>
      <c r="L54" s="2" t="n"/>
      <c r="M54" s="2" t="n"/>
    </row>
    <row r="55">
      <c r="A55" s="12" t="n">
        <v>227.5</v>
      </c>
      <c r="B55" s="22" t="n">
        <v>2.3809</v>
      </c>
      <c r="C55" s="22" t="n">
        <v>0.08469</v>
      </c>
      <c r="D55" s="22" t="n">
        <v>2.29621</v>
      </c>
      <c r="E55" s="22" t="n">
        <v>19.27375</v>
      </c>
      <c r="F55" s="22" t="n">
        <v>1.85678</v>
      </c>
      <c r="G55" s="22" t="n">
        <v>17.41697</v>
      </c>
      <c r="H55" s="22" t="n">
        <v>2.20564</v>
      </c>
      <c r="I55" s="22" t="n">
        <v>15.59347</v>
      </c>
      <c r="J55" s="2" t="n"/>
      <c r="K55" s="2" t="n"/>
      <c r="L55" s="2" t="n"/>
      <c r="M55" s="2" t="n"/>
    </row>
    <row r="56">
      <c r="A56" s="12" t="n">
        <v>228</v>
      </c>
      <c r="B56" s="22" t="n">
        <v>2.4549</v>
      </c>
      <c r="C56" s="22" t="n">
        <v>0.08325</v>
      </c>
      <c r="D56" s="22" t="n">
        <v>2.37165</v>
      </c>
      <c r="E56" s="22" t="n">
        <v>20.48265</v>
      </c>
      <c r="F56" s="22" t="n">
        <v>1.89877</v>
      </c>
      <c r="G56" s="22" t="n">
        <v>18.58389</v>
      </c>
      <c r="H56" s="22" t="n">
        <v>2.28264</v>
      </c>
      <c r="I56" s="22" t="n">
        <v>16.71549</v>
      </c>
      <c r="J56" s="2" t="n"/>
      <c r="K56" s="2" t="n"/>
      <c r="L56" s="2" t="n"/>
      <c r="M56" s="2" t="n"/>
    </row>
    <row r="57">
      <c r="A57" s="12" t="n">
        <v>228.5</v>
      </c>
      <c r="B57" s="22" t="n">
        <v>2.5255</v>
      </c>
      <c r="C57" s="22" t="n">
        <v>0.08164</v>
      </c>
      <c r="D57" s="22" t="n">
        <v>2.44386</v>
      </c>
      <c r="E57" s="22" t="n">
        <v>21.72771</v>
      </c>
      <c r="F57" s="22" t="n">
        <v>1.93999</v>
      </c>
      <c r="G57" s="22" t="n">
        <v>19.78772</v>
      </c>
      <c r="H57" s="22" t="n">
        <v>2.35657</v>
      </c>
      <c r="I57" s="22" t="n">
        <v>17.87525</v>
      </c>
      <c r="J57" s="2" t="n"/>
      <c r="K57" s="2" t="n"/>
      <c r="L57" s="2" t="n"/>
      <c r="M57" s="2" t="n"/>
    </row>
    <row r="58">
      <c r="A58" s="12" t="n">
        <v>229</v>
      </c>
      <c r="B58" s="22" t="n">
        <v>2.5983</v>
      </c>
      <c r="C58" s="22" t="n">
        <v>0.07985</v>
      </c>
      <c r="D58" s="22" t="n">
        <v>2.51845</v>
      </c>
      <c r="E58" s="22" t="n">
        <v>23.00862</v>
      </c>
      <c r="F58" s="22" t="n">
        <v>1.98036</v>
      </c>
      <c r="G58" s="22" t="n">
        <v>21.02826</v>
      </c>
      <c r="H58" s="22" t="n">
        <v>2.43307</v>
      </c>
      <c r="I58" s="22" t="n">
        <v>19.07262</v>
      </c>
      <c r="J58" s="2" t="n"/>
      <c r="K58" s="2" t="n"/>
      <c r="L58" s="2" t="n"/>
      <c r="M58" s="2" t="n"/>
    </row>
    <row r="59">
      <c r="A59" s="12" t="n">
        <v>229.5</v>
      </c>
      <c r="B59" s="22" t="n">
        <v>2.6733</v>
      </c>
      <c r="C59" s="22" t="n">
        <v>0.07786</v>
      </c>
      <c r="D59" s="22" t="n">
        <v>2.59544</v>
      </c>
      <c r="E59" s="22" t="n">
        <v>24.32647</v>
      </c>
      <c r="F59" s="22" t="n">
        <v>2.01978</v>
      </c>
      <c r="G59" s="22" t="n">
        <v>22.30669</v>
      </c>
      <c r="H59" s="22" t="n">
        <v>2.51218</v>
      </c>
      <c r="I59" s="22" t="n">
        <v>20.30889</v>
      </c>
      <c r="J59" s="2" t="n"/>
      <c r="K59" s="2" t="n"/>
      <c r="L59" s="2" t="n"/>
      <c r="M59" s="2" t="n"/>
    </row>
    <row r="60">
      <c r="A60" s="12" t="n">
        <v>230</v>
      </c>
      <c r="B60" s="22" t="n">
        <v>2.751</v>
      </c>
      <c r="C60" s="22" t="n">
        <v>0.07565</v>
      </c>
      <c r="D60" s="22" t="n">
        <v>2.67535</v>
      </c>
      <c r="E60" s="22" t="n">
        <v>25.6825</v>
      </c>
      <c r="F60" s="22" t="n">
        <v>2.05816</v>
      </c>
      <c r="G60" s="22" t="n">
        <v>23.62434</v>
      </c>
      <c r="H60" s="22" t="n">
        <v>2.59446</v>
      </c>
      <c r="I60" s="22" t="n">
        <v>21.5855</v>
      </c>
      <c r="J60" s="2" t="n"/>
      <c r="K60" s="2" t="n"/>
      <c r="L60" s="2" t="n"/>
      <c r="M60" s="2" t="n"/>
    </row>
    <row r="61">
      <c r="A61" s="12" t="n">
        <v>230.5</v>
      </c>
      <c r="B61" s="22" t="n">
        <v>2.8327</v>
      </c>
      <c r="C61" s="22" t="n">
        <v>0.07318</v>
      </c>
      <c r="D61" s="22" t="n">
        <v>2.75952</v>
      </c>
      <c r="E61" s="22" t="n">
        <v>27.07838</v>
      </c>
      <c r="F61" s="22" t="n">
        <v>2.09537</v>
      </c>
      <c r="G61" s="22" t="n">
        <v>24.98301</v>
      </c>
      <c r="H61" s="22" t="n">
        <v>2.68126</v>
      </c>
      <c r="I61" s="22" t="n">
        <v>22.90438</v>
      </c>
      <c r="J61" s="2" t="n"/>
      <c r="K61" s="2" t="n"/>
      <c r="L61" s="2" t="n"/>
      <c r="M61" s="2" t="n"/>
    </row>
    <row r="62">
      <c r="A62" s="12" t="n">
        <v>231</v>
      </c>
      <c r="B62" s="22" t="n">
        <v>2.9189</v>
      </c>
      <c r="C62" s="22" t="n">
        <v>0.07043000000000001</v>
      </c>
      <c r="D62" s="22" t="n">
        <v>2.84847</v>
      </c>
      <c r="E62" s="22" t="n">
        <v>28.51622</v>
      </c>
      <c r="F62" s="22" t="n">
        <v>2.13127</v>
      </c>
      <c r="G62" s="22" t="n">
        <v>26.38495</v>
      </c>
      <c r="H62" s="22" t="n">
        <v>2.77316</v>
      </c>
      <c r="I62" s="22" t="n">
        <v>24.26793</v>
      </c>
      <c r="J62" s="2" t="n"/>
      <c r="K62" s="2" t="n"/>
      <c r="L62" s="2" t="n"/>
      <c r="M62" s="2" t="n"/>
    </row>
    <row r="63">
      <c r="A63" s="12" t="n">
        <v>231.5</v>
      </c>
      <c r="B63" s="22" t="n">
        <v>3.0116</v>
      </c>
      <c r="C63" s="22" t="n">
        <v>0.06733</v>
      </c>
      <c r="D63" s="22" t="n">
        <v>2.94427</v>
      </c>
      <c r="E63" s="22" t="n">
        <v>29.99879</v>
      </c>
      <c r="F63" s="22" t="n">
        <v>2.16571</v>
      </c>
      <c r="G63" s="22" t="n">
        <v>27.83308</v>
      </c>
      <c r="H63" s="22" t="n">
        <v>2.87227</v>
      </c>
      <c r="I63" s="22" t="n">
        <v>25.67923</v>
      </c>
      <c r="J63" s="2" t="n"/>
      <c r="K63" s="2" t="n"/>
      <c r="L63" s="2" t="n"/>
      <c r="M63" s="2" t="n"/>
    </row>
    <row r="64">
      <c r="A64" s="12" t="n">
        <v>232</v>
      </c>
      <c r="B64" s="22" t="n">
        <v>3.0986</v>
      </c>
      <c r="C64" s="22" t="n">
        <v>0.06381000000000001</v>
      </c>
      <c r="D64" s="22" t="n">
        <v>3.03479</v>
      </c>
      <c r="E64" s="22" t="n">
        <v>31.52629</v>
      </c>
      <c r="F64" s="22" t="n">
        <v>2.1985</v>
      </c>
      <c r="G64" s="22" t="n">
        <v>29.32779</v>
      </c>
      <c r="H64" s="22" t="n">
        <v>2.96655</v>
      </c>
      <c r="I64" s="22" t="n">
        <v>27.13888</v>
      </c>
      <c r="J64" s="2" t="n"/>
      <c r="K64" s="2" t="n"/>
      <c r="L64" s="2" t="n"/>
      <c r="M64" s="2" t="n"/>
    </row>
    <row r="65">
      <c r="A65" s="12" t="n">
        <v>232.5</v>
      </c>
      <c r="B65" s="22" t="n">
        <v>3.1866</v>
      </c>
      <c r="C65" s="22" t="n">
        <v>0.05978</v>
      </c>
      <c r="D65" s="22" t="n">
        <v>3.12682</v>
      </c>
      <c r="E65" s="22" t="n">
        <v>33.09753</v>
      </c>
      <c r="F65" s="22" t="n">
        <v>2.2294</v>
      </c>
      <c r="G65" s="22" t="n">
        <v>30.86814</v>
      </c>
      <c r="H65" s="22" t="n">
        <v>3.0629</v>
      </c>
      <c r="I65" s="22" t="n">
        <v>28.64619</v>
      </c>
      <c r="J65" s="2" t="n"/>
      <c r="K65" s="2" t="n"/>
      <c r="L65" s="2" t="n"/>
      <c r="M65" s="2" t="n"/>
    </row>
    <row r="66">
      <c r="A66" s="12" t="n">
        <v>233</v>
      </c>
      <c r="B66" s="22" t="n">
        <v>3.2736</v>
      </c>
      <c r="C66" s="22" t="n">
        <v>0.05506</v>
      </c>
      <c r="D66" s="22" t="n">
        <v>3.21854</v>
      </c>
      <c r="E66" s="22" t="n">
        <v>34.71254</v>
      </c>
      <c r="F66" s="22" t="n">
        <v>2.25811</v>
      </c>
      <c r="G66" s="22" t="n">
        <v>32.45443</v>
      </c>
      <c r="H66" s="22" t="n">
        <v>3.15966</v>
      </c>
      <c r="I66" s="22" t="n">
        <v>30.20178</v>
      </c>
      <c r="J66" s="2" t="n"/>
      <c r="K66" s="2" t="n"/>
      <c r="L66" s="2" t="n"/>
      <c r="M66" s="2" t="n"/>
    </row>
    <row r="67">
      <c r="A67" s="12" t="n">
        <v>233.5</v>
      </c>
      <c r="B67" s="22" t="n">
        <v>3.3619</v>
      </c>
      <c r="C67" s="22" t="n">
        <v>0.04938</v>
      </c>
      <c r="D67" s="22" t="n">
        <v>3.31252</v>
      </c>
      <c r="E67" s="22" t="n">
        <v>36.37136</v>
      </c>
      <c r="F67" s="22" t="n">
        <v>2.28422</v>
      </c>
      <c r="G67" s="22" t="n">
        <v>34.08715</v>
      </c>
      <c r="H67" s="22" t="n">
        <v>3.25971</v>
      </c>
      <c r="I67" s="22" t="n">
        <v>31.80658</v>
      </c>
      <c r="J67" s="2" t="n"/>
      <c r="K67" s="2" t="n"/>
      <c r="L67" s="2" t="n"/>
      <c r="M67" s="2" t="n"/>
    </row>
    <row r="68">
      <c r="A68" s="12" t="n">
        <v>234</v>
      </c>
      <c r="B68" s="22" t="n">
        <v>3.45</v>
      </c>
      <c r="C68" s="22" t="n">
        <v>0.0422</v>
      </c>
      <c r="D68" s="22" t="n">
        <v>3.4078</v>
      </c>
      <c r="E68" s="22" t="n">
        <v>38.07429</v>
      </c>
      <c r="F68" s="22" t="n">
        <v>2.30711</v>
      </c>
      <c r="G68" s="22" t="n">
        <v>35.76718</v>
      </c>
      <c r="H68" s="22" t="n">
        <v>3.36268</v>
      </c>
      <c r="I68" s="22" t="n">
        <v>33.46213</v>
      </c>
      <c r="J68" s="2" t="n"/>
      <c r="K68" s="2" t="n"/>
      <c r="L68" s="2" t="n"/>
      <c r="M68" s="2" t="n"/>
    </row>
    <row r="69">
      <c r="A69" s="12" t="n">
        <v>234.5</v>
      </c>
      <c r="B69" s="22" t="n">
        <v>3.5333</v>
      </c>
      <c r="C69" s="22" t="n">
        <v>0.03204</v>
      </c>
      <c r="D69" s="22" t="n">
        <v>3.50126</v>
      </c>
      <c r="E69" s="22" t="n">
        <v>39.82007</v>
      </c>
      <c r="F69" s="22" t="n">
        <v>2.32567</v>
      </c>
      <c r="G69" s="22" t="n">
        <v>37.4944</v>
      </c>
      <c r="H69" s="22" t="n">
        <v>3.467</v>
      </c>
      <c r="I69" s="22" t="n">
        <v>35.16951</v>
      </c>
      <c r="J69" s="2" t="n"/>
      <c r="K69" s="2" t="n"/>
      <c r="L69" s="2" t="n"/>
      <c r="M69" s="2" t="n"/>
    </row>
    <row r="70">
      <c r="A70" s="12" t="n">
        <v>235</v>
      </c>
      <c r="B70" s="22" t="n">
        <v>3.6154</v>
      </c>
      <c r="C70" s="22" t="n">
        <v>0</v>
      </c>
      <c r="D70" s="22" t="n">
        <v>3.6154</v>
      </c>
      <c r="E70" s="22" t="n">
        <v>41.60721</v>
      </c>
      <c r="F70" s="22" t="n">
        <v>2.33368</v>
      </c>
      <c r="G70" s="22" t="n">
        <v>39.27353</v>
      </c>
      <c r="H70" s="22" t="n">
        <v>3.6154</v>
      </c>
      <c r="I70" s="22" t="n">
        <v>36.94007</v>
      </c>
      <c r="J70" s="2" t="n"/>
      <c r="K70" s="2" t="n"/>
      <c r="L70" s="2" t="n"/>
      <c r="M7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Shafan 08 -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168</v>
      </c>
      <c r="M3" s="2" t="n"/>
    </row>
    <row r="4">
      <c r="A4" s="12" t="n">
        <v>153</v>
      </c>
      <c r="B4" s="22" t="n">
        <v>0.0016</v>
      </c>
      <c r="C4" s="22" t="n">
        <v>0.0016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153.5</v>
      </c>
      <c r="B5" s="22" t="n">
        <v>0.0044</v>
      </c>
      <c r="C5" s="22" t="n">
        <v>0.0044</v>
      </c>
      <c r="D5" s="22" t="n">
        <v>0</v>
      </c>
      <c r="E5" s="22" t="n">
        <v>0.00144</v>
      </c>
      <c r="F5" s="22" t="n">
        <v>0.00144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MAX(E4:E34)*1.02</f>
        <v/>
      </c>
      <c r="M5" s="2">
        <f>L3</f>
        <v/>
      </c>
    </row>
    <row r="6">
      <c r="A6" s="12" t="n">
        <v>154</v>
      </c>
      <c r="B6" s="22" t="n">
        <v>0.0095</v>
      </c>
      <c r="C6" s="22" t="n">
        <v>0.0095</v>
      </c>
      <c r="D6" s="22" t="n">
        <v>0</v>
      </c>
      <c r="E6" s="22" t="n">
        <v>0.00484</v>
      </c>
      <c r="F6" s="22" t="n">
        <v>0.00484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154.5</v>
      </c>
      <c r="B7" s="22" t="n">
        <v>0.0232</v>
      </c>
      <c r="C7" s="22" t="n">
        <v>0.0232</v>
      </c>
      <c r="D7" s="22" t="n">
        <v>0</v>
      </c>
      <c r="E7" s="22" t="n">
        <v>0.01276</v>
      </c>
      <c r="F7" s="22" t="n">
        <v>0.01276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155</v>
      </c>
      <c r="B8" s="22" t="n">
        <v>0.0402</v>
      </c>
      <c r="C8" s="22" t="n">
        <v>0.0402</v>
      </c>
      <c r="D8" s="22" t="n">
        <v>0</v>
      </c>
      <c r="E8" s="22" t="n">
        <v>0.02842</v>
      </c>
      <c r="F8" s="22" t="n">
        <v>0.02842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155.5</v>
      </c>
      <c r="B9" s="22" t="n">
        <v>0.0604</v>
      </c>
      <c r="C9" s="22" t="n">
        <v>0.0604</v>
      </c>
      <c r="D9" s="22" t="n">
        <v>0</v>
      </c>
      <c r="E9" s="22" t="n">
        <v>0.0534</v>
      </c>
      <c r="F9" s="22" t="n">
        <v>0.0534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156</v>
      </c>
      <c r="B10" s="22" t="n">
        <v>0.0916</v>
      </c>
      <c r="C10" s="22" t="n">
        <v>0.0916</v>
      </c>
      <c r="D10" s="22" t="n">
        <v>0</v>
      </c>
      <c r="E10" s="22" t="n">
        <v>0.09113</v>
      </c>
      <c r="F10" s="22" t="n">
        <v>0.09113</v>
      </c>
      <c r="G10" s="22" t="n">
        <v>0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156.5</v>
      </c>
      <c r="B11" s="22" t="n">
        <v>0.1237</v>
      </c>
      <c r="C11" s="22" t="n">
        <v>0.1237</v>
      </c>
      <c r="D11" s="22" t="n">
        <v>0</v>
      </c>
      <c r="E11" s="22" t="n">
        <v>0.14475</v>
      </c>
      <c r="F11" s="22" t="n">
        <v>0.14475</v>
      </c>
      <c r="G11" s="22" t="n">
        <v>0</v>
      </c>
      <c r="H11" s="22" t="n">
        <v>0</v>
      </c>
      <c r="I11" s="22" t="n">
        <v>0</v>
      </c>
      <c r="J11" s="2" t="n"/>
      <c r="K11" s="2" t="n"/>
      <c r="L11" s="2" t="n"/>
      <c r="M11" s="2" t="n"/>
    </row>
    <row r="12">
      <c r="A12" s="12" t="n">
        <v>157</v>
      </c>
      <c r="B12" s="22" t="n">
        <v>0.1605</v>
      </c>
      <c r="C12" s="22" t="n">
        <v>0.1605</v>
      </c>
      <c r="D12" s="22" t="n">
        <v>0</v>
      </c>
      <c r="E12" s="22" t="n">
        <v>0.2156</v>
      </c>
      <c r="F12" s="22" t="n">
        <v>0.2156</v>
      </c>
      <c r="G12" s="22" t="n">
        <v>0</v>
      </c>
      <c r="H12" s="22" t="n">
        <v>0</v>
      </c>
      <c r="I12" s="22" t="n">
        <v>0</v>
      </c>
      <c r="J12" s="2" t="n"/>
      <c r="K12" s="2" t="n"/>
      <c r="L12" s="2" t="n"/>
      <c r="M12" s="2" t="n"/>
    </row>
    <row r="13">
      <c r="A13" s="12" t="n">
        <v>157.5</v>
      </c>
      <c r="B13" s="22" t="n">
        <v>0.2039</v>
      </c>
      <c r="C13" s="22" t="n">
        <v>0.2039</v>
      </c>
      <c r="D13" s="22" t="n">
        <v>0</v>
      </c>
      <c r="E13" s="22" t="n">
        <v>0.30649</v>
      </c>
      <c r="F13" s="22" t="n">
        <v>0.30649</v>
      </c>
      <c r="G13" s="22" t="n">
        <v>0</v>
      </c>
      <c r="H13" s="22" t="n">
        <v>0</v>
      </c>
      <c r="I13" s="22" t="n">
        <v>0</v>
      </c>
      <c r="J13" s="2" t="n"/>
      <c r="K13" s="2" t="n"/>
      <c r="L13" s="2" t="n"/>
      <c r="M13" s="2" t="n"/>
    </row>
    <row r="14">
      <c r="A14" s="12" t="n">
        <v>158</v>
      </c>
      <c r="B14" s="22" t="n">
        <v>0.2552</v>
      </c>
      <c r="C14" s="22" t="n">
        <v>0.23101</v>
      </c>
      <c r="D14" s="22" t="n">
        <v>0.02419</v>
      </c>
      <c r="E14" s="22" t="n">
        <v>0.42102</v>
      </c>
      <c r="F14" s="22" t="n">
        <v>0.42061</v>
      </c>
      <c r="G14" s="22" t="n">
        <v>0.00041</v>
      </c>
      <c r="H14" s="22" t="n">
        <v>0</v>
      </c>
      <c r="I14" s="22" t="n">
        <v>0</v>
      </c>
      <c r="J14" s="2" t="n"/>
      <c r="K14" s="2" t="n"/>
      <c r="L14" s="2" t="n"/>
      <c r="M14" s="2" t="n"/>
    </row>
    <row r="15">
      <c r="A15" s="12" t="n">
        <v>158.5</v>
      </c>
      <c r="B15" s="22" t="n">
        <v>0.3145</v>
      </c>
      <c r="C15" s="22" t="n">
        <v>0.23883</v>
      </c>
      <c r="D15" s="22" t="n">
        <v>0.07567</v>
      </c>
      <c r="E15" s="22" t="n">
        <v>0.56319</v>
      </c>
      <c r="F15" s="22" t="n">
        <v>0.53807</v>
      </c>
      <c r="G15" s="22" t="n">
        <v>0.02511</v>
      </c>
      <c r="H15" s="22" t="n">
        <v>0</v>
      </c>
      <c r="I15" s="22" t="n">
        <v>0</v>
      </c>
      <c r="J15" s="2" t="n"/>
      <c r="K15" s="2" t="n"/>
      <c r="L15" s="2" t="n"/>
      <c r="M15" s="2" t="n"/>
    </row>
    <row r="16">
      <c r="A16" s="12" t="n">
        <v>159</v>
      </c>
      <c r="B16" s="22" t="n">
        <v>0.3823</v>
      </c>
      <c r="C16" s="22" t="n">
        <v>0.24547</v>
      </c>
      <c r="D16" s="22" t="n">
        <v>0.13683</v>
      </c>
      <c r="E16" s="22" t="n">
        <v>0.73711</v>
      </c>
      <c r="F16" s="22" t="n">
        <v>0.65915</v>
      </c>
      <c r="G16" s="22" t="n">
        <v>0.07796</v>
      </c>
      <c r="H16" s="22" t="n">
        <v>0</v>
      </c>
      <c r="I16" s="22" t="n">
        <v>0</v>
      </c>
      <c r="J16" s="2" t="n"/>
      <c r="K16" s="2" t="n"/>
      <c r="L16" s="2" t="n"/>
      <c r="M16" s="2" t="n"/>
    </row>
    <row r="17">
      <c r="A17" s="12" t="n">
        <v>159.5</v>
      </c>
      <c r="B17" s="22" t="n">
        <v>0.4559</v>
      </c>
      <c r="C17" s="22" t="n">
        <v>0.25098</v>
      </c>
      <c r="D17" s="22" t="n">
        <v>0.20492</v>
      </c>
      <c r="E17" s="22" t="n">
        <v>0.94639</v>
      </c>
      <c r="F17" s="22" t="n">
        <v>0.78326</v>
      </c>
      <c r="G17" s="22" t="n">
        <v>0.16313</v>
      </c>
      <c r="H17" s="22" t="n">
        <v>0</v>
      </c>
      <c r="I17" s="22" t="n">
        <v>0</v>
      </c>
      <c r="J17" s="2" t="n"/>
      <c r="K17" s="2" t="n"/>
      <c r="L17" s="2" t="n"/>
      <c r="M17" s="2" t="n"/>
    </row>
    <row r="18">
      <c r="A18" s="12" t="n">
        <v>160</v>
      </c>
      <c r="B18" s="22" t="n">
        <v>0.54</v>
      </c>
      <c r="C18" s="22" t="n">
        <v>0.25538</v>
      </c>
      <c r="D18" s="22" t="n">
        <v>0.28462</v>
      </c>
      <c r="E18" s="22" t="n">
        <v>1.19507</v>
      </c>
      <c r="F18" s="22" t="n">
        <v>0.90985</v>
      </c>
      <c r="G18" s="22" t="n">
        <v>0.28522</v>
      </c>
      <c r="H18" s="22" t="n">
        <v>0</v>
      </c>
      <c r="I18" s="22" t="n">
        <v>0</v>
      </c>
      <c r="J18" s="2" t="n"/>
      <c r="K18" s="2" t="n"/>
      <c r="L18" s="2" t="n"/>
      <c r="M18" s="2" t="n"/>
    </row>
    <row r="19">
      <c r="A19" s="12" t="n">
        <v>160.5</v>
      </c>
      <c r="B19" s="22" t="n">
        <v>0.626</v>
      </c>
      <c r="C19" s="22" t="n">
        <v>0.25869</v>
      </c>
      <c r="D19" s="22" t="n">
        <v>0.36731</v>
      </c>
      <c r="E19" s="22" t="n">
        <v>1.48631</v>
      </c>
      <c r="F19" s="22" t="n">
        <v>1.03837</v>
      </c>
      <c r="G19" s="22" t="n">
        <v>0.44794</v>
      </c>
      <c r="H19" s="22" t="n">
        <v>0.01761</v>
      </c>
      <c r="I19" s="22" t="n">
        <v>0</v>
      </c>
      <c r="J19" s="2" t="n"/>
      <c r="K19" s="2" t="n"/>
      <c r="L19" s="2" t="n"/>
      <c r="M19" s="2" t="n"/>
    </row>
    <row r="20">
      <c r="A20" s="12" t="n">
        <v>161</v>
      </c>
      <c r="B20" s="22" t="n">
        <v>0.7236</v>
      </c>
      <c r="C20" s="22" t="n">
        <v>0.2609</v>
      </c>
      <c r="D20" s="22" t="n">
        <v>0.4627</v>
      </c>
      <c r="E20" s="22" t="n">
        <v>1.82341</v>
      </c>
      <c r="F20" s="22" t="n">
        <v>1.16827</v>
      </c>
      <c r="G20" s="22" t="n">
        <v>0.65515</v>
      </c>
      <c r="H20" s="22" t="n">
        <v>0.11002</v>
      </c>
      <c r="I20" s="22" t="n">
        <v>0.02847</v>
      </c>
      <c r="J20" s="2" t="n"/>
      <c r="K20" s="2" t="n"/>
      <c r="L20" s="2" t="n"/>
      <c r="M20" s="2" t="n"/>
    </row>
    <row r="21">
      <c r="A21" s="12" t="n">
        <v>161.5</v>
      </c>
      <c r="B21" s="22" t="n">
        <v>0.8308</v>
      </c>
      <c r="C21" s="22" t="n">
        <v>0.26199</v>
      </c>
      <c r="D21" s="22" t="n">
        <v>0.56881</v>
      </c>
      <c r="E21" s="22" t="n">
        <v>2.2117</v>
      </c>
      <c r="F21" s="22" t="n">
        <v>1.29899</v>
      </c>
      <c r="G21" s="22" t="n">
        <v>0.91272</v>
      </c>
      <c r="H21" s="22" t="n">
        <v>0.21465</v>
      </c>
      <c r="I21" s="22" t="n">
        <v>0.10933</v>
      </c>
      <c r="J21" s="2" t="n"/>
      <c r="K21" s="2" t="n"/>
      <c r="L21" s="2" t="n"/>
      <c r="M21" s="2" t="n"/>
    </row>
    <row r="22">
      <c r="A22" s="12" t="n">
        <v>162</v>
      </c>
      <c r="B22" s="22" t="n">
        <v>0.9326</v>
      </c>
      <c r="C22" s="22" t="n">
        <v>0.26193</v>
      </c>
      <c r="D22" s="22" t="n">
        <v>0.67067</v>
      </c>
      <c r="E22" s="22" t="n">
        <v>2.65231</v>
      </c>
      <c r="F22" s="22" t="n">
        <v>1.42997</v>
      </c>
      <c r="G22" s="22" t="n">
        <v>1.22234</v>
      </c>
      <c r="H22" s="22" t="n">
        <v>0.3166</v>
      </c>
      <c r="I22" s="22" t="n">
        <v>0.2419</v>
      </c>
      <c r="J22" s="2" t="n"/>
      <c r="K22" s="2" t="n"/>
      <c r="L22" s="2" t="n"/>
      <c r="M22" s="2" t="n"/>
    </row>
    <row r="23">
      <c r="A23" s="12" t="n">
        <v>162.5</v>
      </c>
      <c r="B23" s="22" t="n">
        <v>1.0444</v>
      </c>
      <c r="C23" s="22" t="n">
        <v>0.26066</v>
      </c>
      <c r="D23" s="22" t="n">
        <v>0.78374</v>
      </c>
      <c r="E23" s="22" t="n">
        <v>3.1463</v>
      </c>
      <c r="F23" s="22" t="n">
        <v>1.56061</v>
      </c>
      <c r="G23" s="22" t="n">
        <v>1.58568</v>
      </c>
      <c r="H23" s="22" t="n">
        <v>0.43138</v>
      </c>
      <c r="I23" s="22" t="n">
        <v>0.42863</v>
      </c>
      <c r="J23" s="2" t="n"/>
      <c r="K23" s="2" t="n"/>
      <c r="L23" s="2" t="n"/>
      <c r="M23" s="2" t="n"/>
    </row>
    <row r="24">
      <c r="A24" s="12" t="n">
        <v>163</v>
      </c>
      <c r="B24" s="22" t="n">
        <v>1.1679</v>
      </c>
      <c r="C24" s="22" t="n">
        <v>0.2581</v>
      </c>
      <c r="D24" s="22" t="n">
        <v>0.9098000000000001</v>
      </c>
      <c r="E24" s="22" t="n">
        <v>3.69908</v>
      </c>
      <c r="F24" s="22" t="n">
        <v>1.6903</v>
      </c>
      <c r="G24" s="22" t="n">
        <v>2.00878</v>
      </c>
      <c r="H24" s="22" t="n">
        <v>0.56088</v>
      </c>
      <c r="I24" s="22" t="n">
        <v>0.67641</v>
      </c>
      <c r="J24" s="2" t="n"/>
      <c r="K24" s="2" t="n"/>
      <c r="L24" s="2" t="n"/>
      <c r="M24" s="2" t="n"/>
    </row>
    <row r="25">
      <c r="A25" s="12" t="n">
        <v>163.5</v>
      </c>
      <c r="B25" s="22" t="n">
        <v>1.3046</v>
      </c>
      <c r="C25" s="22" t="n">
        <v>0.25416</v>
      </c>
      <c r="D25" s="22" t="n">
        <v>1.05044</v>
      </c>
      <c r="E25" s="22" t="n">
        <v>4.31689</v>
      </c>
      <c r="F25" s="22" t="n">
        <v>1.81837</v>
      </c>
      <c r="G25" s="22" t="n">
        <v>2.49852</v>
      </c>
      <c r="H25" s="22" t="n">
        <v>0.70685</v>
      </c>
      <c r="I25" s="22" t="n">
        <v>0.99303</v>
      </c>
      <c r="J25" s="2" t="n"/>
      <c r="K25" s="2" t="n"/>
      <c r="L25" s="2" t="n"/>
      <c r="M25" s="2" t="n"/>
    </row>
    <row r="26">
      <c r="A26" s="12" t="n">
        <v>164</v>
      </c>
      <c r="B26" s="22" t="n">
        <v>1.4704</v>
      </c>
      <c r="C26" s="22" t="n">
        <v>0.24869</v>
      </c>
      <c r="D26" s="22" t="n">
        <v>1.22171</v>
      </c>
      <c r="E26" s="22" t="n">
        <v>5.01023</v>
      </c>
      <c r="F26" s="22" t="n">
        <v>1.94408</v>
      </c>
      <c r="G26" s="22" t="n">
        <v>3.06615</v>
      </c>
      <c r="H26" s="22" t="n">
        <v>0.88553</v>
      </c>
      <c r="I26" s="22" t="n">
        <v>1.39071</v>
      </c>
      <c r="J26" s="2" t="n"/>
      <c r="K26" s="2" t="n"/>
      <c r="L26" s="2" t="n"/>
      <c r="M26" s="2" t="n"/>
    </row>
    <row r="27">
      <c r="A27" s="12" t="n">
        <v>164.5</v>
      </c>
      <c r="B27" s="22" t="n">
        <v>1.6394</v>
      </c>
      <c r="C27" s="22" t="n">
        <v>0.24148</v>
      </c>
      <c r="D27" s="22" t="n">
        <v>1.39792</v>
      </c>
      <c r="E27" s="22" t="n">
        <v>5.7873</v>
      </c>
      <c r="F27" s="22" t="n">
        <v>2.06662</v>
      </c>
      <c r="G27" s="22" t="n">
        <v>3.72067</v>
      </c>
      <c r="H27" s="22" t="n">
        <v>1.07148</v>
      </c>
      <c r="I27" s="22" t="n">
        <v>1.87958</v>
      </c>
      <c r="J27" s="2" t="n"/>
      <c r="K27" s="2" t="n"/>
      <c r="L27" s="2" t="n"/>
      <c r="M27" s="2" t="n"/>
    </row>
    <row r="28">
      <c r="A28" s="12" t="n">
        <v>165</v>
      </c>
      <c r="B28" s="22" t="n">
        <v>1.802</v>
      </c>
      <c r="C28" s="22" t="n">
        <v>0.23226</v>
      </c>
      <c r="D28" s="22" t="n">
        <v>1.56974</v>
      </c>
      <c r="E28" s="22" t="n">
        <v>6.64733</v>
      </c>
      <c r="F28" s="22" t="n">
        <v>2.18506</v>
      </c>
      <c r="G28" s="22" t="n">
        <v>4.46227</v>
      </c>
      <c r="H28" s="22" t="n">
        <v>1.25577</v>
      </c>
      <c r="I28" s="22" t="n">
        <v>2.46107</v>
      </c>
      <c r="J28" s="2" t="n"/>
      <c r="K28" s="2" t="n"/>
      <c r="L28" s="2" t="n"/>
      <c r="M28" s="2" t="n"/>
    </row>
    <row r="29">
      <c r="A29" s="12" t="n">
        <v>165.5</v>
      </c>
      <c r="B29" s="22" t="n">
        <v>1.977</v>
      </c>
      <c r="C29" s="22" t="n">
        <v>0.2206</v>
      </c>
      <c r="D29" s="22" t="n">
        <v>1.7564</v>
      </c>
      <c r="E29" s="22" t="n">
        <v>7.59174</v>
      </c>
      <c r="F29" s="22" t="n">
        <v>2.29827</v>
      </c>
      <c r="G29" s="22" t="n">
        <v>5.29346</v>
      </c>
      <c r="H29" s="22" t="n">
        <v>1.45818</v>
      </c>
      <c r="I29" s="22" t="n">
        <v>3.13922</v>
      </c>
      <c r="J29" s="2" t="n"/>
      <c r="K29" s="2" t="n"/>
      <c r="L29" s="2" t="n"/>
      <c r="M29" s="2" t="n"/>
    </row>
    <row r="30">
      <c r="A30" s="12" t="n">
        <v>166</v>
      </c>
      <c r="B30" s="22" t="n">
        <v>2.1602</v>
      </c>
      <c r="C30" s="22" t="n">
        <v>0.20587</v>
      </c>
      <c r="D30" s="22" t="n">
        <v>1.95433</v>
      </c>
      <c r="E30" s="22" t="n">
        <v>8.6257</v>
      </c>
      <c r="F30" s="22" t="n">
        <v>2.40489</v>
      </c>
      <c r="G30" s="22" t="n">
        <v>6.22081</v>
      </c>
      <c r="H30" s="22" t="n">
        <v>1.67604</v>
      </c>
      <c r="I30" s="22" t="n">
        <v>3.92244</v>
      </c>
      <c r="J30" s="2" t="n"/>
      <c r="K30" s="2" t="n"/>
      <c r="L30" s="2" t="n"/>
      <c r="M30" s="2" t="n"/>
    </row>
    <row r="31">
      <c r="A31" s="12" t="n">
        <v>166.5</v>
      </c>
      <c r="B31" s="22" t="n">
        <v>2.3419</v>
      </c>
      <c r="C31" s="22" t="n">
        <v>0.18694</v>
      </c>
      <c r="D31" s="22" t="n">
        <v>2.15496</v>
      </c>
      <c r="E31" s="22" t="n">
        <v>9.750920000000001</v>
      </c>
      <c r="F31" s="22" t="n">
        <v>2.50309</v>
      </c>
      <c r="G31" s="22" t="n">
        <v>7.24783</v>
      </c>
      <c r="H31" s="22" t="n">
        <v>1.90225</v>
      </c>
      <c r="I31" s="22" t="n">
        <v>4.8167</v>
      </c>
      <c r="J31" s="2" t="n"/>
      <c r="K31" s="2" t="n"/>
      <c r="L31" s="2" t="n"/>
      <c r="M31" s="2" t="n"/>
    </row>
    <row r="32">
      <c r="A32" s="12" t="n">
        <v>167</v>
      </c>
      <c r="B32" s="22" t="n">
        <v>2.5335</v>
      </c>
      <c r="C32" s="22" t="n">
        <v>0.16163</v>
      </c>
      <c r="D32" s="22" t="n">
        <v>2.37187</v>
      </c>
      <c r="E32" s="22" t="n">
        <v>10.96946</v>
      </c>
      <c r="F32" s="22" t="n">
        <v>2.59023</v>
      </c>
      <c r="G32" s="22" t="n">
        <v>8.37922</v>
      </c>
      <c r="H32" s="22" t="n">
        <v>2.15339</v>
      </c>
      <c r="I32" s="22" t="n">
        <v>5.8303</v>
      </c>
      <c r="J32" s="2" t="n"/>
      <c r="K32" s="2" t="n"/>
      <c r="L32" s="2" t="n"/>
      <c r="M32" s="2" t="n"/>
    </row>
    <row r="33">
      <c r="A33" s="12" t="n">
        <v>167.5</v>
      </c>
      <c r="B33" s="22" t="n">
        <v>2.742</v>
      </c>
      <c r="C33" s="22" t="n">
        <v>0.1241</v>
      </c>
      <c r="D33" s="22" t="n">
        <v>2.6179</v>
      </c>
      <c r="E33" s="22" t="n">
        <v>12.28799</v>
      </c>
      <c r="F33" s="22" t="n">
        <v>2.66167</v>
      </c>
      <c r="G33" s="22" t="n">
        <v>9.62632</v>
      </c>
      <c r="H33" s="22" t="n">
        <v>2.45014</v>
      </c>
      <c r="I33" s="22" t="n">
        <v>6.98083</v>
      </c>
      <c r="J33" s="2" t="n"/>
      <c r="K33" s="2" t="n"/>
      <c r="L33" s="2" t="n"/>
      <c r="M33" s="2" t="n"/>
    </row>
    <row r="34">
      <c r="A34" s="12" t="n">
        <v>168</v>
      </c>
      <c r="B34" s="22" t="n">
        <v>2.943</v>
      </c>
      <c r="C34" s="22" t="n">
        <v>0</v>
      </c>
      <c r="D34" s="22" t="n">
        <v>2.943</v>
      </c>
      <c r="E34" s="22" t="n">
        <v>13.70894</v>
      </c>
      <c r="F34" s="22" t="n">
        <v>2.69269</v>
      </c>
      <c r="G34" s="22" t="n">
        <v>11.01625</v>
      </c>
      <c r="H34" s="22" t="n">
        <v>2.943</v>
      </c>
      <c r="I34" s="22" t="n">
        <v>8.32882</v>
      </c>
      <c r="J34" s="2" t="n"/>
      <c r="K34" s="2" t="n"/>
      <c r="L34" s="2" t="n"/>
      <c r="M3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Sarami 03 -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237</v>
      </c>
      <c r="M3" s="2" t="n"/>
    </row>
    <row r="4">
      <c r="A4" s="12" t="n">
        <v>196.5</v>
      </c>
      <c r="B4" s="22" t="n">
        <v>0.0023</v>
      </c>
      <c r="C4" s="22" t="n">
        <v>0.0023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197</v>
      </c>
      <c r="B5" s="22" t="n">
        <v>0.005</v>
      </c>
      <c r="C5" s="22" t="n">
        <v>0.005</v>
      </c>
      <c r="D5" s="22" t="n">
        <v>0</v>
      </c>
      <c r="E5" s="22" t="n">
        <v>0.00178</v>
      </c>
      <c r="F5" s="22" t="n">
        <v>0.00178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MAX(E4:E85)*1.02</f>
        <v/>
      </c>
      <c r="M5" s="2">
        <f>L3</f>
        <v/>
      </c>
    </row>
    <row r="6">
      <c r="A6" s="12" t="n">
        <v>197.5</v>
      </c>
      <c r="B6" s="22" t="n">
        <v>0.0095</v>
      </c>
      <c r="C6" s="22" t="n">
        <v>0.0095</v>
      </c>
      <c r="D6" s="22" t="n">
        <v>0</v>
      </c>
      <c r="E6" s="22" t="n">
        <v>0.00535</v>
      </c>
      <c r="F6" s="22" t="n">
        <v>0.00535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198</v>
      </c>
      <c r="B7" s="22" t="n">
        <v>0.0167</v>
      </c>
      <c r="C7" s="22" t="n">
        <v>0.0167</v>
      </c>
      <c r="D7" s="22" t="n">
        <v>0</v>
      </c>
      <c r="E7" s="22" t="n">
        <v>0.01181</v>
      </c>
      <c r="F7" s="22" t="n">
        <v>0.01181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198.5</v>
      </c>
      <c r="B8" s="22" t="n">
        <v>0.0206</v>
      </c>
      <c r="C8" s="22" t="n">
        <v>0.0206</v>
      </c>
      <c r="D8" s="22" t="n">
        <v>0</v>
      </c>
      <c r="E8" s="22" t="n">
        <v>0.02112</v>
      </c>
      <c r="F8" s="22" t="n">
        <v>0.02112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199</v>
      </c>
      <c r="B9" s="22" t="n">
        <v>0.0248</v>
      </c>
      <c r="C9" s="22" t="n">
        <v>0.0248</v>
      </c>
      <c r="D9" s="22" t="n">
        <v>0</v>
      </c>
      <c r="E9" s="22" t="n">
        <v>0.03245</v>
      </c>
      <c r="F9" s="22" t="n">
        <v>0.03245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199.5</v>
      </c>
      <c r="B10" s="22" t="n">
        <v>0.0323</v>
      </c>
      <c r="C10" s="22" t="n">
        <v>0.0323</v>
      </c>
      <c r="D10" s="22" t="n">
        <v>0</v>
      </c>
      <c r="E10" s="22" t="n">
        <v>0.04669</v>
      </c>
      <c r="F10" s="22" t="n">
        <v>0.04669</v>
      </c>
      <c r="G10" s="22" t="n">
        <v>0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200</v>
      </c>
      <c r="B11" s="22" t="n">
        <v>0.041</v>
      </c>
      <c r="C11" s="22" t="n">
        <v>0.041</v>
      </c>
      <c r="D11" s="22" t="n">
        <v>0</v>
      </c>
      <c r="E11" s="22" t="n">
        <v>0.06497</v>
      </c>
      <c r="F11" s="22" t="n">
        <v>0.06497</v>
      </c>
      <c r="G11" s="22" t="n">
        <v>0</v>
      </c>
      <c r="H11" s="22" t="n">
        <v>0</v>
      </c>
      <c r="I11" s="22" t="n">
        <v>0</v>
      </c>
      <c r="J11" s="2" t="n"/>
      <c r="K11" s="2" t="n"/>
      <c r="L11" s="2" t="n"/>
      <c r="M11" s="2" t="n"/>
    </row>
    <row r="12">
      <c r="A12" s="12" t="n">
        <v>200.5</v>
      </c>
      <c r="B12" s="22" t="n">
        <v>0.0449</v>
      </c>
      <c r="C12" s="22" t="n">
        <v>0.0449</v>
      </c>
      <c r="D12" s="22" t="n">
        <v>0</v>
      </c>
      <c r="E12" s="22" t="n">
        <v>0.08644</v>
      </c>
      <c r="F12" s="22" t="n">
        <v>0.08644</v>
      </c>
      <c r="G12" s="22" t="n">
        <v>0</v>
      </c>
      <c r="H12" s="22" t="n">
        <v>0</v>
      </c>
      <c r="I12" s="22" t="n">
        <v>0</v>
      </c>
      <c r="J12" s="2" t="n"/>
      <c r="K12" s="2" t="n"/>
      <c r="L12" s="2" t="n"/>
      <c r="M12" s="2" t="n"/>
    </row>
    <row r="13">
      <c r="A13" s="12" t="n">
        <v>201</v>
      </c>
      <c r="B13" s="22" t="n">
        <v>0.0483</v>
      </c>
      <c r="C13" s="22" t="n">
        <v>0.0483</v>
      </c>
      <c r="D13" s="22" t="n">
        <v>0</v>
      </c>
      <c r="E13" s="22" t="n">
        <v>0.10973</v>
      </c>
      <c r="F13" s="22" t="n">
        <v>0.10973</v>
      </c>
      <c r="G13" s="22" t="n">
        <v>0</v>
      </c>
      <c r="H13" s="22" t="n">
        <v>0</v>
      </c>
      <c r="I13" s="22" t="n">
        <v>0</v>
      </c>
      <c r="J13" s="2" t="n"/>
      <c r="K13" s="2" t="n"/>
      <c r="L13" s="2" t="n"/>
      <c r="M13" s="2" t="n"/>
    </row>
    <row r="14">
      <c r="A14" s="12" t="n">
        <v>201.5</v>
      </c>
      <c r="B14" s="22" t="n">
        <v>0.0558</v>
      </c>
      <c r="C14" s="22" t="n">
        <v>0.0558</v>
      </c>
      <c r="D14" s="22" t="n">
        <v>0</v>
      </c>
      <c r="E14" s="22" t="n">
        <v>0.13574</v>
      </c>
      <c r="F14" s="22" t="n">
        <v>0.13574</v>
      </c>
      <c r="G14" s="22" t="n">
        <v>0</v>
      </c>
      <c r="H14" s="22" t="n">
        <v>0</v>
      </c>
      <c r="I14" s="22" t="n">
        <v>0</v>
      </c>
      <c r="J14" s="2" t="n"/>
      <c r="K14" s="2" t="n"/>
      <c r="L14" s="2" t="n"/>
      <c r="M14" s="2" t="n"/>
    </row>
    <row r="15">
      <c r="A15" s="12" t="n">
        <v>202</v>
      </c>
      <c r="B15" s="22" t="n">
        <v>0.0599</v>
      </c>
      <c r="C15" s="22" t="n">
        <v>0.0599</v>
      </c>
      <c r="D15" s="22" t="n">
        <v>0</v>
      </c>
      <c r="E15" s="22" t="n">
        <v>0.16465</v>
      </c>
      <c r="F15" s="22" t="n">
        <v>0.16465</v>
      </c>
      <c r="G15" s="22" t="n">
        <v>0</v>
      </c>
      <c r="H15" s="22" t="n">
        <v>0</v>
      </c>
      <c r="I15" s="22" t="n">
        <v>0</v>
      </c>
      <c r="J15" s="2" t="n"/>
      <c r="K15" s="2" t="n"/>
      <c r="L15" s="2" t="n"/>
      <c r="M15" s="2" t="n"/>
    </row>
    <row r="16">
      <c r="A16" s="12" t="n">
        <v>202.5</v>
      </c>
      <c r="B16" s="22" t="n">
        <v>0.0664</v>
      </c>
      <c r="C16" s="22" t="n">
        <v>0.0664</v>
      </c>
      <c r="D16" s="22" t="n">
        <v>0</v>
      </c>
      <c r="E16" s="22" t="n">
        <v>0.19622</v>
      </c>
      <c r="F16" s="22" t="n">
        <v>0.19622</v>
      </c>
      <c r="G16" s="22" t="n">
        <v>0</v>
      </c>
      <c r="H16" s="22" t="n">
        <v>0</v>
      </c>
      <c r="I16" s="22" t="n">
        <v>0</v>
      </c>
      <c r="J16" s="2" t="n"/>
      <c r="K16" s="2" t="n"/>
      <c r="L16" s="2" t="n"/>
      <c r="M16" s="2" t="n"/>
    </row>
    <row r="17">
      <c r="A17" s="12" t="n">
        <v>203</v>
      </c>
      <c r="B17" s="22" t="n">
        <v>0.0711</v>
      </c>
      <c r="C17" s="22" t="n">
        <v>0.0711</v>
      </c>
      <c r="D17" s="22" t="n">
        <v>0</v>
      </c>
      <c r="E17" s="22" t="n">
        <v>0.23058</v>
      </c>
      <c r="F17" s="22" t="n">
        <v>0.23058</v>
      </c>
      <c r="G17" s="22" t="n">
        <v>0</v>
      </c>
      <c r="H17" s="22" t="n">
        <v>0</v>
      </c>
      <c r="I17" s="22" t="n">
        <v>0</v>
      </c>
      <c r="J17" s="2" t="n"/>
      <c r="K17" s="2" t="n"/>
      <c r="L17" s="2" t="n"/>
      <c r="M17" s="2" t="n"/>
    </row>
    <row r="18">
      <c r="A18" s="12" t="n">
        <v>203.5</v>
      </c>
      <c r="B18" s="22" t="n">
        <v>0.07630000000000001</v>
      </c>
      <c r="C18" s="22" t="n">
        <v>0.07630000000000001</v>
      </c>
      <c r="D18" s="22" t="n">
        <v>0</v>
      </c>
      <c r="E18" s="22" t="n">
        <v>0.26743</v>
      </c>
      <c r="F18" s="22" t="n">
        <v>0.26743</v>
      </c>
      <c r="G18" s="22" t="n">
        <v>0</v>
      </c>
      <c r="H18" s="22" t="n">
        <v>0</v>
      </c>
      <c r="I18" s="22" t="n">
        <v>0</v>
      </c>
      <c r="J18" s="2" t="n"/>
      <c r="K18" s="2" t="n"/>
      <c r="L18" s="2" t="n"/>
      <c r="M18" s="2" t="n"/>
    </row>
    <row r="19">
      <c r="A19" s="12" t="n">
        <v>204</v>
      </c>
      <c r="B19" s="22" t="n">
        <v>0.08309999999999999</v>
      </c>
      <c r="C19" s="22" t="n">
        <v>0.08309999999999999</v>
      </c>
      <c r="D19" s="22" t="n">
        <v>0</v>
      </c>
      <c r="E19" s="22" t="n">
        <v>0.30726</v>
      </c>
      <c r="F19" s="22" t="n">
        <v>0.30726</v>
      </c>
      <c r="G19" s="22" t="n">
        <v>0</v>
      </c>
      <c r="H19" s="22" t="n">
        <v>0</v>
      </c>
      <c r="I19" s="22" t="n">
        <v>0</v>
      </c>
      <c r="J19" s="2" t="n"/>
      <c r="K19" s="2" t="n"/>
      <c r="L19" s="2" t="n"/>
      <c r="M19" s="2" t="n"/>
    </row>
    <row r="20">
      <c r="A20" s="12" t="n">
        <v>204.5</v>
      </c>
      <c r="B20" s="22" t="n">
        <v>0.09030000000000001</v>
      </c>
      <c r="C20" s="22" t="n">
        <v>0.09030000000000001</v>
      </c>
      <c r="D20" s="22" t="n">
        <v>0</v>
      </c>
      <c r="E20" s="22" t="n">
        <v>0.3506</v>
      </c>
      <c r="F20" s="22" t="n">
        <v>0.3506</v>
      </c>
      <c r="G20" s="22" t="n">
        <v>0</v>
      </c>
      <c r="H20" s="22" t="n">
        <v>0</v>
      </c>
      <c r="I20" s="22" t="n">
        <v>0</v>
      </c>
      <c r="J20" s="2" t="n"/>
      <c r="K20" s="2" t="n"/>
      <c r="L20" s="2" t="n"/>
      <c r="M20" s="2" t="n"/>
    </row>
    <row r="21">
      <c r="A21" s="12" t="n">
        <v>205</v>
      </c>
      <c r="B21" s="22" t="n">
        <v>0.098</v>
      </c>
      <c r="C21" s="22" t="n">
        <v>0.09711</v>
      </c>
      <c r="D21" s="22" t="n">
        <v>0.0008899999999999999</v>
      </c>
      <c r="E21" s="22" t="n">
        <v>0.39766</v>
      </c>
      <c r="F21" s="22" t="n">
        <v>0.39792</v>
      </c>
      <c r="G21" s="22" t="n">
        <v>0</v>
      </c>
      <c r="H21" s="22" t="n">
        <v>0</v>
      </c>
      <c r="I21" s="22" t="n">
        <v>0</v>
      </c>
      <c r="J21" s="2" t="n"/>
      <c r="K21" s="2" t="n"/>
      <c r="L21" s="2" t="n"/>
      <c r="M21" s="2" t="n"/>
    </row>
    <row r="22">
      <c r="A22" s="12" t="n">
        <v>205.5</v>
      </c>
      <c r="B22" s="22" t="n">
        <v>0.1035</v>
      </c>
      <c r="C22" s="22" t="n">
        <v>0.09998</v>
      </c>
      <c r="D22" s="22" t="n">
        <v>0.00352</v>
      </c>
      <c r="E22" s="22" t="n">
        <v>0.44803</v>
      </c>
      <c r="F22" s="22" t="n">
        <v>0.4472</v>
      </c>
      <c r="G22" s="22" t="n">
        <v>0.00084</v>
      </c>
      <c r="H22" s="22" t="n">
        <v>0</v>
      </c>
      <c r="I22" s="22" t="n">
        <v>0</v>
      </c>
      <c r="J22" s="2" t="n"/>
      <c r="K22" s="2" t="n"/>
      <c r="L22" s="2" t="n"/>
      <c r="M22" s="2" t="n"/>
    </row>
    <row r="23">
      <c r="A23" s="12" t="n">
        <v>206</v>
      </c>
      <c r="B23" s="22" t="n">
        <v>0.1115</v>
      </c>
      <c r="C23" s="22" t="n">
        <v>0.10252</v>
      </c>
      <c r="D23" s="22" t="n">
        <v>0.00898</v>
      </c>
      <c r="E23" s="22" t="n">
        <v>0.50177</v>
      </c>
      <c r="F23" s="22" t="n">
        <v>0.49782</v>
      </c>
      <c r="G23" s="22" t="n">
        <v>0.00395</v>
      </c>
      <c r="H23" s="22" t="n">
        <v>0</v>
      </c>
      <c r="I23" s="22" t="n">
        <v>0</v>
      </c>
      <c r="J23" s="2" t="n"/>
      <c r="K23" s="2" t="n"/>
      <c r="L23" s="2" t="n"/>
      <c r="M23" s="2" t="n"/>
    </row>
    <row r="24">
      <c r="A24" s="12" t="n">
        <v>206.5</v>
      </c>
      <c r="B24" s="22" t="n">
        <v>0.1195</v>
      </c>
      <c r="C24" s="22" t="n">
        <v>0.10472</v>
      </c>
      <c r="D24" s="22" t="n">
        <v>0.01478</v>
      </c>
      <c r="E24" s="22" t="n">
        <v>0.55951</v>
      </c>
      <c r="F24" s="22" t="n">
        <v>0.54963</v>
      </c>
      <c r="G24" s="22" t="n">
        <v>0.00988</v>
      </c>
      <c r="H24" s="22" t="n">
        <v>0</v>
      </c>
      <c r="I24" s="22" t="n">
        <v>0</v>
      </c>
      <c r="J24" s="2" t="n"/>
      <c r="K24" s="2" t="n"/>
      <c r="L24" s="2" t="n"/>
      <c r="M24" s="2" t="n"/>
    </row>
    <row r="25">
      <c r="A25" s="12" t="n">
        <v>207</v>
      </c>
      <c r="B25" s="22" t="n">
        <v>0.1281</v>
      </c>
      <c r="C25" s="22" t="n">
        <v>0.1066</v>
      </c>
      <c r="D25" s="22" t="n">
        <v>0.0215</v>
      </c>
      <c r="E25" s="22" t="n">
        <v>0.6214</v>
      </c>
      <c r="F25" s="22" t="n">
        <v>0.60246</v>
      </c>
      <c r="G25" s="22" t="n">
        <v>0.01893</v>
      </c>
      <c r="H25" s="22" t="n">
        <v>0</v>
      </c>
      <c r="I25" s="22" t="n">
        <v>0</v>
      </c>
      <c r="J25" s="2" t="n"/>
      <c r="K25" s="2" t="n"/>
      <c r="L25" s="2" t="n"/>
      <c r="M25" s="2" t="n"/>
    </row>
    <row r="26">
      <c r="A26" s="12" t="n">
        <v>207.5</v>
      </c>
      <c r="B26" s="22" t="n">
        <v>0.1383</v>
      </c>
      <c r="C26" s="22" t="n">
        <v>0.10816</v>
      </c>
      <c r="D26" s="22" t="n">
        <v>0.03014</v>
      </c>
      <c r="E26" s="22" t="n">
        <v>0.68798</v>
      </c>
      <c r="F26" s="22" t="n">
        <v>0.65615</v>
      </c>
      <c r="G26" s="22" t="n">
        <v>0.03183</v>
      </c>
      <c r="H26" s="22" t="n">
        <v>0</v>
      </c>
      <c r="I26" s="22" t="n">
        <v>0</v>
      </c>
      <c r="J26" s="2" t="n"/>
      <c r="K26" s="2" t="n"/>
      <c r="L26" s="2" t="n"/>
      <c r="M26" s="2" t="n"/>
    </row>
    <row r="27">
      <c r="A27" s="12" t="n">
        <v>208</v>
      </c>
      <c r="B27" s="22" t="n">
        <v>0.1495</v>
      </c>
      <c r="C27" s="22" t="n">
        <v>0.1094</v>
      </c>
      <c r="D27" s="22" t="n">
        <v>0.0401</v>
      </c>
      <c r="E27" s="22" t="n">
        <v>0.75991</v>
      </c>
      <c r="F27" s="22" t="n">
        <v>0.7105399999999999</v>
      </c>
      <c r="G27" s="22" t="n">
        <v>0.04937</v>
      </c>
      <c r="H27" s="22" t="n">
        <v>0</v>
      </c>
      <c r="I27" s="22" t="n">
        <v>0</v>
      </c>
      <c r="J27" s="2" t="n"/>
      <c r="K27" s="2" t="n"/>
      <c r="L27" s="2" t="n"/>
      <c r="M27" s="2" t="n"/>
    </row>
    <row r="28">
      <c r="A28" s="12" t="n">
        <v>208.5</v>
      </c>
      <c r="B28" s="22" t="n">
        <v>0.1612</v>
      </c>
      <c r="C28" s="22" t="n">
        <v>0.11035</v>
      </c>
      <c r="D28" s="22" t="n">
        <v>0.05085</v>
      </c>
      <c r="E28" s="22" t="n">
        <v>0.83757</v>
      </c>
      <c r="F28" s="22" t="n">
        <v>0.76548</v>
      </c>
      <c r="G28" s="22" t="n">
        <v>0.07209</v>
      </c>
      <c r="H28" s="22" t="n">
        <v>0</v>
      </c>
      <c r="I28" s="22" t="n">
        <v>0</v>
      </c>
      <c r="J28" s="2" t="n"/>
      <c r="K28" s="2" t="n"/>
      <c r="L28" s="2" t="n"/>
      <c r="M28" s="2" t="n"/>
    </row>
    <row r="29">
      <c r="A29" s="12" t="n">
        <v>209</v>
      </c>
      <c r="B29" s="22" t="n">
        <v>0.1727</v>
      </c>
      <c r="C29" s="22" t="n">
        <v>0.111</v>
      </c>
      <c r="D29" s="22" t="n">
        <v>0.0617</v>
      </c>
      <c r="E29" s="22" t="n">
        <v>0.92103</v>
      </c>
      <c r="F29" s="22" t="n">
        <v>0.82081</v>
      </c>
      <c r="G29" s="22" t="n">
        <v>0.10021</v>
      </c>
      <c r="H29" s="22" t="n">
        <v>0</v>
      </c>
      <c r="I29" s="22" t="n">
        <v>0</v>
      </c>
      <c r="J29" s="2" t="n"/>
      <c r="K29" s="2" t="n"/>
      <c r="L29" s="2" t="n"/>
      <c r="M29" s="2" t="n"/>
    </row>
    <row r="30">
      <c r="A30" s="12" t="n">
        <v>209.5</v>
      </c>
      <c r="B30" s="22" t="n">
        <v>0.1862</v>
      </c>
      <c r="C30" s="22" t="n">
        <v>0.11137</v>
      </c>
      <c r="D30" s="22" t="n">
        <v>0.07482999999999999</v>
      </c>
      <c r="E30" s="22" t="n">
        <v>1.01073</v>
      </c>
      <c r="F30" s="22" t="n">
        <v>0.87641</v>
      </c>
      <c r="G30" s="22" t="n">
        <v>0.13432</v>
      </c>
      <c r="H30" s="22" t="n">
        <v>0</v>
      </c>
      <c r="I30" s="22" t="n">
        <v>0</v>
      </c>
      <c r="J30" s="2" t="n"/>
      <c r="K30" s="2" t="n"/>
      <c r="L30" s="2" t="n"/>
      <c r="M30" s="2" t="n"/>
    </row>
    <row r="31">
      <c r="A31" s="12" t="n">
        <v>210</v>
      </c>
      <c r="B31" s="22" t="n">
        <v>0.2009</v>
      </c>
      <c r="C31" s="22" t="n">
        <v>0.11146</v>
      </c>
      <c r="D31" s="22" t="n">
        <v>0.08944000000000001</v>
      </c>
      <c r="E31" s="22" t="n">
        <v>1.10748</v>
      </c>
      <c r="F31" s="22" t="n">
        <v>0.93211</v>
      </c>
      <c r="G31" s="22" t="n">
        <v>0.17537</v>
      </c>
      <c r="H31" s="22" t="n">
        <v>0</v>
      </c>
      <c r="I31" s="22" t="n">
        <v>0</v>
      </c>
      <c r="J31" s="2" t="n"/>
      <c r="K31" s="2" t="n"/>
      <c r="L31" s="2" t="n"/>
      <c r="M31" s="2" t="n"/>
    </row>
    <row r="32">
      <c r="A32" s="12" t="n">
        <v>210.5</v>
      </c>
      <c r="B32" s="22" t="n">
        <v>0.2154</v>
      </c>
      <c r="C32" s="22" t="n">
        <v>0.11129</v>
      </c>
      <c r="D32" s="22" t="n">
        <v>0.10411</v>
      </c>
      <c r="E32" s="22" t="n">
        <v>1.21154</v>
      </c>
      <c r="F32" s="22" t="n">
        <v>0.9878</v>
      </c>
      <c r="G32" s="22" t="n">
        <v>0.22374</v>
      </c>
      <c r="H32" s="22" t="n">
        <v>0</v>
      </c>
      <c r="I32" s="22" t="n">
        <v>0</v>
      </c>
      <c r="J32" s="2" t="n"/>
      <c r="K32" s="2" t="n"/>
      <c r="L32" s="2" t="n"/>
      <c r="M32" s="2" t="n"/>
    </row>
    <row r="33">
      <c r="A33" s="12" t="n">
        <v>211</v>
      </c>
      <c r="B33" s="22" t="n">
        <v>0.2294</v>
      </c>
      <c r="C33" s="22" t="n">
        <v>0.11086</v>
      </c>
      <c r="D33" s="22" t="n">
        <v>0.11854</v>
      </c>
      <c r="E33" s="22" t="n">
        <v>1.32272</v>
      </c>
      <c r="F33" s="22" t="n">
        <v>1.04333</v>
      </c>
      <c r="G33" s="22" t="n">
        <v>0.27938</v>
      </c>
      <c r="H33" s="22" t="n">
        <v>0</v>
      </c>
      <c r="I33" s="22" t="n">
        <v>0</v>
      </c>
      <c r="J33" s="2" t="n"/>
      <c r="K33" s="2" t="n"/>
      <c r="L33" s="2" t="n"/>
      <c r="M33" s="2" t="n"/>
    </row>
    <row r="34">
      <c r="A34" s="12" t="n">
        <v>211.5</v>
      </c>
      <c r="B34" s="22" t="n">
        <v>0.248</v>
      </c>
      <c r="C34" s="22" t="n">
        <v>0.11019</v>
      </c>
      <c r="D34" s="22" t="n">
        <v>0.13781</v>
      </c>
      <c r="E34" s="22" t="n">
        <v>1.44204</v>
      </c>
      <c r="F34" s="22" t="n">
        <v>1.0986</v>
      </c>
      <c r="G34" s="22" t="n">
        <v>0.34344</v>
      </c>
      <c r="H34" s="22" t="n">
        <v>0</v>
      </c>
      <c r="I34" s="22" t="n">
        <v>0</v>
      </c>
      <c r="J34" s="2" t="n"/>
      <c r="K34" s="2" t="n"/>
      <c r="L34" s="2" t="n"/>
      <c r="M34" s="2" t="n"/>
    </row>
    <row r="35">
      <c r="A35" s="12" t="n">
        <v>212</v>
      </c>
      <c r="B35" s="22" t="n">
        <v>0.2689</v>
      </c>
      <c r="C35" s="22" t="n">
        <v>0.10929</v>
      </c>
      <c r="D35" s="22" t="n">
        <v>0.15961</v>
      </c>
      <c r="E35" s="22" t="n">
        <v>1.57123</v>
      </c>
      <c r="F35" s="22" t="n">
        <v>1.15347</v>
      </c>
      <c r="G35" s="22" t="n">
        <v>0.41776</v>
      </c>
      <c r="H35" s="22" t="n">
        <v>0</v>
      </c>
      <c r="I35" s="22" t="n">
        <v>0</v>
      </c>
      <c r="J35" s="2" t="n"/>
      <c r="K35" s="2" t="n"/>
      <c r="L35" s="2" t="n"/>
      <c r="M35" s="2" t="n"/>
    </row>
    <row r="36">
      <c r="A36" s="12" t="n">
        <v>212.5</v>
      </c>
      <c r="B36" s="22" t="n">
        <v>0.291</v>
      </c>
      <c r="C36" s="22" t="n">
        <v>0.10816</v>
      </c>
      <c r="D36" s="22" t="n">
        <v>0.18284</v>
      </c>
      <c r="E36" s="22" t="n">
        <v>1.71117</v>
      </c>
      <c r="F36" s="22" t="n">
        <v>1.20783</v>
      </c>
      <c r="G36" s="22" t="n">
        <v>0.50334</v>
      </c>
      <c r="H36" s="22" t="n">
        <v>0.00759</v>
      </c>
      <c r="I36" s="22" t="n">
        <v>0</v>
      </c>
      <c r="J36" s="2" t="n"/>
      <c r="K36" s="2" t="n"/>
      <c r="L36" s="2" t="n"/>
      <c r="M36" s="2" t="n"/>
    </row>
    <row r="37">
      <c r="A37" s="12" t="n">
        <v>213</v>
      </c>
      <c r="B37" s="22" t="n">
        <v>0.3149</v>
      </c>
      <c r="C37" s="22" t="n">
        <v>0.10682</v>
      </c>
      <c r="D37" s="22" t="n">
        <v>0.20808</v>
      </c>
      <c r="E37" s="22" t="n">
        <v>1.8626</v>
      </c>
      <c r="F37" s="22" t="n">
        <v>1.26157</v>
      </c>
      <c r="G37" s="22" t="n">
        <v>0.60103</v>
      </c>
      <c r="H37" s="22" t="n">
        <v>0.035</v>
      </c>
      <c r="I37" s="22" t="n">
        <v>0.01001</v>
      </c>
      <c r="J37" s="2" t="n"/>
      <c r="K37" s="2" t="n"/>
      <c r="L37" s="2" t="n"/>
      <c r="M37" s="2" t="n"/>
    </row>
    <row r="38">
      <c r="A38" s="12" t="n">
        <v>213.5</v>
      </c>
      <c r="B38" s="22" t="n">
        <v>0.3406</v>
      </c>
      <c r="C38" s="22" t="n">
        <v>0.10528</v>
      </c>
      <c r="D38" s="22" t="n">
        <v>0.23532</v>
      </c>
      <c r="E38" s="22" t="n">
        <v>2.02643</v>
      </c>
      <c r="F38" s="22" t="n">
        <v>1.3146</v>
      </c>
      <c r="G38" s="22" t="n">
        <v>0.71183</v>
      </c>
      <c r="H38" s="22" t="n">
        <v>0.06473</v>
      </c>
      <c r="I38" s="22" t="n">
        <v>0.0349</v>
      </c>
      <c r="J38" s="2" t="n"/>
      <c r="K38" s="2" t="n"/>
      <c r="L38" s="2" t="n"/>
      <c r="M38" s="2" t="n"/>
    </row>
    <row r="39">
      <c r="A39" s="12" t="n">
        <v>214</v>
      </c>
      <c r="B39" s="22" t="n">
        <v>0.3693</v>
      </c>
      <c r="C39" s="22" t="n">
        <v>0.10355</v>
      </c>
      <c r="D39" s="22" t="n">
        <v>0.26575</v>
      </c>
      <c r="E39" s="22" t="n">
        <v>2.20386</v>
      </c>
      <c r="F39" s="22" t="n">
        <v>1.36681</v>
      </c>
      <c r="G39" s="22" t="n">
        <v>0.83705</v>
      </c>
      <c r="H39" s="22" t="n">
        <v>0.09796000000000001</v>
      </c>
      <c r="I39" s="22" t="n">
        <v>0.07552</v>
      </c>
      <c r="J39" s="2" t="n"/>
      <c r="K39" s="2" t="n"/>
      <c r="L39" s="2" t="n"/>
      <c r="M39" s="2" t="n"/>
    </row>
    <row r="40">
      <c r="A40" s="12" t="n">
        <v>214.5</v>
      </c>
      <c r="B40" s="22" t="n">
        <v>0.4074</v>
      </c>
      <c r="C40" s="22" t="n">
        <v>0.10165</v>
      </c>
      <c r="D40" s="22" t="n">
        <v>0.30575</v>
      </c>
      <c r="E40" s="22" t="n">
        <v>2.39796</v>
      </c>
      <c r="F40" s="22" t="n">
        <v>1.41811</v>
      </c>
      <c r="G40" s="22" t="n">
        <v>0.97985</v>
      </c>
      <c r="H40" s="22" t="n">
        <v>0.14106</v>
      </c>
      <c r="I40" s="22" t="n">
        <v>0.1352</v>
      </c>
      <c r="J40" s="2" t="n"/>
      <c r="K40" s="2" t="n"/>
      <c r="L40" s="2" t="n"/>
      <c r="M40" s="2" t="n"/>
    </row>
    <row r="41">
      <c r="A41" s="12" t="n">
        <v>215</v>
      </c>
      <c r="B41" s="22" t="n">
        <v>0.4433</v>
      </c>
      <c r="C41" s="22" t="n">
        <v>0.09957000000000001</v>
      </c>
      <c r="D41" s="22" t="n">
        <v>0.34373</v>
      </c>
      <c r="E41" s="22" t="n">
        <v>2.61057</v>
      </c>
      <c r="F41" s="22" t="n">
        <v>1.46841</v>
      </c>
      <c r="G41" s="22" t="n">
        <v>1.14216</v>
      </c>
      <c r="H41" s="22" t="n">
        <v>0.1824</v>
      </c>
      <c r="I41" s="22" t="n">
        <v>0.216</v>
      </c>
      <c r="J41" s="2" t="n"/>
      <c r="K41" s="2" t="n"/>
      <c r="L41" s="2" t="n"/>
      <c r="M41" s="2" t="n"/>
    </row>
    <row r="42">
      <c r="A42" s="12" t="n">
        <v>215.5</v>
      </c>
      <c r="B42" s="22" t="n">
        <v>0.4854</v>
      </c>
      <c r="C42" s="22" t="n">
        <v>0.09734</v>
      </c>
      <c r="D42" s="22" t="n">
        <v>0.38806</v>
      </c>
      <c r="E42" s="22" t="n">
        <v>2.84267</v>
      </c>
      <c r="F42" s="22" t="n">
        <v>1.51764</v>
      </c>
      <c r="G42" s="22" t="n">
        <v>1.32502</v>
      </c>
      <c r="H42" s="22" t="n">
        <v>0.23035</v>
      </c>
      <c r="I42" s="22" t="n">
        <v>0.31911</v>
      </c>
      <c r="J42" s="2" t="n"/>
      <c r="K42" s="2" t="n"/>
      <c r="L42" s="2" t="n"/>
      <c r="M42" s="2" t="n"/>
    </row>
    <row r="43">
      <c r="A43" s="12" t="n">
        <v>216</v>
      </c>
      <c r="B43" s="22" t="n">
        <v>0.5254</v>
      </c>
      <c r="C43" s="22" t="n">
        <v>0.09496</v>
      </c>
      <c r="D43" s="22" t="n">
        <v>0.43044</v>
      </c>
      <c r="E43" s="22" t="n">
        <v>3.0953</v>
      </c>
      <c r="F43" s="22" t="n">
        <v>1.56572</v>
      </c>
      <c r="G43" s="22" t="n">
        <v>1.52958</v>
      </c>
      <c r="H43" s="22" t="n">
        <v>0.27657</v>
      </c>
      <c r="I43" s="22" t="n">
        <v>0.44578</v>
      </c>
      <c r="J43" s="2" t="n"/>
      <c r="K43" s="2" t="n"/>
      <c r="L43" s="2" t="n"/>
      <c r="M43" s="2" t="n"/>
    </row>
    <row r="44">
      <c r="A44" s="12" t="n">
        <v>216.5</v>
      </c>
      <c r="B44" s="22" t="n">
        <v>0.5646</v>
      </c>
      <c r="C44" s="22" t="n">
        <v>0.09245</v>
      </c>
      <c r="D44" s="22" t="n">
        <v>0.47215</v>
      </c>
      <c r="E44" s="22" t="n">
        <v>3.36774</v>
      </c>
      <c r="F44" s="22" t="n">
        <v>1.61257</v>
      </c>
      <c r="G44" s="22" t="n">
        <v>1.75517</v>
      </c>
      <c r="H44" s="22" t="n">
        <v>0.32235</v>
      </c>
      <c r="I44" s="22" t="n">
        <v>0.59545</v>
      </c>
      <c r="J44" s="2" t="n"/>
      <c r="K44" s="2" t="n"/>
      <c r="L44" s="2" t="n"/>
      <c r="M44" s="2" t="n"/>
    </row>
    <row r="45">
      <c r="A45" s="12" t="n">
        <v>217</v>
      </c>
      <c r="B45" s="22" t="n">
        <v>0.6082</v>
      </c>
      <c r="C45" s="22" t="n">
        <v>0.08982</v>
      </c>
      <c r="D45" s="22" t="n">
        <v>0.51838</v>
      </c>
      <c r="E45" s="22" t="n">
        <v>3.66087</v>
      </c>
      <c r="F45" s="22" t="n">
        <v>1.65814</v>
      </c>
      <c r="G45" s="22" t="n">
        <v>2.00273</v>
      </c>
      <c r="H45" s="22" t="n">
        <v>0.37285</v>
      </c>
      <c r="I45" s="22" t="n">
        <v>0.76918</v>
      </c>
      <c r="J45" s="2" t="n"/>
      <c r="K45" s="2" t="n"/>
      <c r="L45" s="2" t="n"/>
      <c r="M45" s="2" t="n"/>
    </row>
    <row r="46">
      <c r="A46" s="12" t="n">
        <v>217.5</v>
      </c>
      <c r="B46" s="22" t="n">
        <v>0.6532</v>
      </c>
      <c r="C46" s="22" t="n">
        <v>0.08708</v>
      </c>
      <c r="D46" s="22" t="n">
        <v>0.56612</v>
      </c>
      <c r="E46" s="22" t="n">
        <v>3.97616</v>
      </c>
      <c r="F46" s="22" t="n">
        <v>1.70236</v>
      </c>
      <c r="G46" s="22" t="n">
        <v>2.27379</v>
      </c>
      <c r="H46" s="22" t="n">
        <v>0.42504</v>
      </c>
      <c r="I46" s="22" t="n">
        <v>0.96859</v>
      </c>
      <c r="J46" s="2" t="n"/>
      <c r="K46" s="2" t="n"/>
      <c r="L46" s="2" t="n"/>
      <c r="M46" s="2" t="n"/>
    </row>
    <row r="47">
      <c r="A47" s="12" t="n">
        <v>218</v>
      </c>
      <c r="B47" s="22" t="n">
        <v>0.6989</v>
      </c>
      <c r="C47" s="22" t="n">
        <v>0.08423</v>
      </c>
      <c r="D47" s="22" t="n">
        <v>0.61467</v>
      </c>
      <c r="E47" s="22" t="n">
        <v>4.31412</v>
      </c>
      <c r="F47" s="22" t="n">
        <v>1.74519</v>
      </c>
      <c r="G47" s="22" t="n">
        <v>2.56893</v>
      </c>
      <c r="H47" s="22" t="n">
        <v>0.47819</v>
      </c>
      <c r="I47" s="22" t="n">
        <v>1.19433</v>
      </c>
      <c r="J47" s="2" t="n"/>
      <c r="K47" s="2" t="n"/>
      <c r="L47" s="2" t="n"/>
      <c r="M47" s="2" t="n"/>
    </row>
    <row r="48">
      <c r="A48" s="12" t="n">
        <v>218.5</v>
      </c>
      <c r="B48" s="22" t="n">
        <v>0.7506</v>
      </c>
      <c r="C48" s="22" t="n">
        <v>0.0813</v>
      </c>
      <c r="D48" s="22" t="n">
        <v>0.6693</v>
      </c>
      <c r="E48" s="22" t="n">
        <v>4.67641</v>
      </c>
      <c r="F48" s="22" t="n">
        <v>1.78657</v>
      </c>
      <c r="G48" s="22" t="n">
        <v>2.88984</v>
      </c>
      <c r="H48" s="22" t="n">
        <v>0.53757</v>
      </c>
      <c r="I48" s="22" t="n">
        <v>1.4482</v>
      </c>
      <c r="J48" s="2" t="n"/>
      <c r="K48" s="2" t="n"/>
      <c r="L48" s="2" t="n"/>
      <c r="M48" s="2" t="n"/>
    </row>
    <row r="49">
      <c r="A49" s="12" t="n">
        <v>219</v>
      </c>
      <c r="B49" s="22" t="n">
        <v>0.8031</v>
      </c>
      <c r="C49" s="22" t="n">
        <v>0.07829</v>
      </c>
      <c r="D49" s="22" t="n">
        <v>0.72481</v>
      </c>
      <c r="E49" s="22" t="n">
        <v>5.06477</v>
      </c>
      <c r="F49" s="22" t="n">
        <v>1.82647</v>
      </c>
      <c r="G49" s="22" t="n">
        <v>3.2383</v>
      </c>
      <c r="H49" s="22" t="n">
        <v>0.59796</v>
      </c>
      <c r="I49" s="22" t="n">
        <v>1.73201</v>
      </c>
      <c r="J49" s="2" t="n"/>
      <c r="K49" s="2" t="n"/>
      <c r="L49" s="2" t="n"/>
      <c r="M49" s="2" t="n"/>
    </row>
    <row r="50">
      <c r="A50" s="12" t="n">
        <v>219.5</v>
      </c>
      <c r="B50" s="22" t="n">
        <v>0.8568</v>
      </c>
      <c r="C50" s="22" t="n">
        <v>0.07521</v>
      </c>
      <c r="D50" s="22" t="n">
        <v>0.78159</v>
      </c>
      <c r="E50" s="22" t="n">
        <v>5.47967</v>
      </c>
      <c r="F50" s="22" t="n">
        <v>1.86485</v>
      </c>
      <c r="G50" s="22" t="n">
        <v>3.61482</v>
      </c>
      <c r="H50" s="22" t="n">
        <v>0.65972</v>
      </c>
      <c r="I50" s="22" t="n">
        <v>2.04635</v>
      </c>
      <c r="J50" s="2" t="n"/>
      <c r="K50" s="2" t="n"/>
      <c r="L50" s="2" t="n"/>
      <c r="M50" s="2" t="n"/>
    </row>
    <row r="51">
      <c r="A51" s="12" t="n">
        <v>220</v>
      </c>
      <c r="B51" s="22" t="n">
        <v>0.9146</v>
      </c>
      <c r="C51" s="22" t="n">
        <v>0.07208000000000001</v>
      </c>
      <c r="D51" s="22" t="n">
        <v>0.84252</v>
      </c>
      <c r="E51" s="22" t="n">
        <v>5.92244</v>
      </c>
      <c r="F51" s="22" t="n">
        <v>1.90167</v>
      </c>
      <c r="G51" s="22" t="n">
        <v>4.02077</v>
      </c>
      <c r="H51" s="22" t="n">
        <v>0.72572</v>
      </c>
      <c r="I51" s="22" t="n">
        <v>2.39264</v>
      </c>
      <c r="J51" s="2" t="n"/>
      <c r="K51" s="2" t="n"/>
      <c r="L51" s="2" t="n"/>
      <c r="M51" s="2" t="n"/>
    </row>
    <row r="52">
      <c r="A52" s="12" t="n">
        <v>220.5</v>
      </c>
      <c r="B52" s="22" t="n">
        <v>0.9704</v>
      </c>
      <c r="C52" s="22" t="n">
        <v>0.06891</v>
      </c>
      <c r="D52" s="22" t="n">
        <v>0.90149</v>
      </c>
      <c r="E52" s="22" t="n">
        <v>6.39362</v>
      </c>
      <c r="F52" s="22" t="n">
        <v>1.93692</v>
      </c>
      <c r="G52" s="22" t="n">
        <v>4.4567</v>
      </c>
      <c r="H52" s="22" t="n">
        <v>0.78984</v>
      </c>
      <c r="I52" s="22" t="n">
        <v>2.77146</v>
      </c>
      <c r="J52" s="2" t="n"/>
      <c r="K52" s="2" t="n"/>
      <c r="L52" s="2" t="n"/>
      <c r="M52" s="2" t="n"/>
    </row>
    <row r="53">
      <c r="A53" s="12" t="n">
        <v>221</v>
      </c>
      <c r="B53" s="22" t="n">
        <v>1.0287</v>
      </c>
      <c r="C53" s="22" t="n">
        <v>0.06569999999999999</v>
      </c>
      <c r="D53" s="22" t="n">
        <v>0.963</v>
      </c>
      <c r="E53" s="22" t="n">
        <v>6.89333</v>
      </c>
      <c r="F53" s="22" t="n">
        <v>1.97057</v>
      </c>
      <c r="G53" s="22" t="n">
        <v>4.92276</v>
      </c>
      <c r="H53" s="22" t="n">
        <v>0.85655</v>
      </c>
      <c r="I53" s="22" t="n">
        <v>3.18299</v>
      </c>
      <c r="J53" s="2" t="n"/>
      <c r="K53" s="2" t="n"/>
      <c r="L53" s="2" t="n"/>
      <c r="M53" s="2" t="n"/>
    </row>
    <row r="54">
      <c r="A54" s="12" t="n">
        <v>221.5</v>
      </c>
      <c r="B54" s="22" t="n">
        <v>1.0928</v>
      </c>
      <c r="C54" s="22" t="n">
        <v>0.06247</v>
      </c>
      <c r="D54" s="22" t="n">
        <v>1.03033</v>
      </c>
      <c r="E54" s="22" t="n">
        <v>7.42362</v>
      </c>
      <c r="F54" s="22" t="n">
        <v>2.00261</v>
      </c>
      <c r="G54" s="22" t="n">
        <v>5.42101</v>
      </c>
      <c r="H54" s="22" t="n">
        <v>0.9291199999999999</v>
      </c>
      <c r="I54" s="22" t="n">
        <v>3.62932</v>
      </c>
      <c r="J54" s="2" t="n"/>
      <c r="K54" s="2" t="n"/>
      <c r="L54" s="2" t="n"/>
      <c r="M54" s="2" t="n"/>
    </row>
    <row r="55">
      <c r="A55" s="12" t="n">
        <v>222</v>
      </c>
      <c r="B55" s="22" t="n">
        <v>1.1517</v>
      </c>
      <c r="C55" s="22" t="n">
        <v>0.05923</v>
      </c>
      <c r="D55" s="22" t="n">
        <v>1.09247</v>
      </c>
      <c r="E55" s="22" t="n">
        <v>7.98468</v>
      </c>
      <c r="F55" s="22" t="n">
        <v>2.03304</v>
      </c>
      <c r="G55" s="22" t="n">
        <v>5.95164</v>
      </c>
      <c r="H55" s="22" t="n">
        <v>0.99651</v>
      </c>
      <c r="I55" s="22" t="n">
        <v>4.11067</v>
      </c>
      <c r="J55" s="2" t="n"/>
      <c r="K55" s="2" t="n"/>
      <c r="L55" s="2" t="n"/>
      <c r="M55" s="2" t="n"/>
    </row>
    <row r="56">
      <c r="A56" s="12" t="n">
        <v>222.5</v>
      </c>
      <c r="B56" s="22" t="n">
        <v>1.2173</v>
      </c>
      <c r="C56" s="22" t="n">
        <v>0.05598</v>
      </c>
      <c r="D56" s="22" t="n">
        <v>1.16132</v>
      </c>
      <c r="E56" s="22" t="n">
        <v>8.57685</v>
      </c>
      <c r="F56" s="22" t="n">
        <v>2.06184</v>
      </c>
      <c r="G56" s="22" t="n">
        <v>6.51502</v>
      </c>
      <c r="H56" s="22" t="n">
        <v>1.07061</v>
      </c>
      <c r="I56" s="22" t="n">
        <v>4.62737</v>
      </c>
      <c r="J56" s="2" t="n"/>
      <c r="K56" s="2" t="n"/>
      <c r="L56" s="2" t="n"/>
      <c r="M56" s="2" t="n"/>
    </row>
    <row r="57">
      <c r="A57" s="12" t="n">
        <v>223</v>
      </c>
      <c r="B57" s="22" t="n">
        <v>1.2836</v>
      </c>
      <c r="C57" s="22" t="n">
        <v>0.05275</v>
      </c>
      <c r="D57" s="22" t="n">
        <v>1.23085</v>
      </c>
      <c r="E57" s="22" t="n">
        <v>9.20201</v>
      </c>
      <c r="F57" s="22" t="n">
        <v>2.08902</v>
      </c>
      <c r="G57" s="22" t="n">
        <v>7.11298</v>
      </c>
      <c r="H57" s="22" t="n">
        <v>1.14538</v>
      </c>
      <c r="I57" s="22" t="n">
        <v>5.1813</v>
      </c>
      <c r="J57" s="2" t="n"/>
      <c r="K57" s="2" t="n"/>
      <c r="L57" s="2" t="n"/>
      <c r="M57" s="2" t="n"/>
    </row>
    <row r="58">
      <c r="A58" s="12" t="n">
        <v>223.5</v>
      </c>
      <c r="B58" s="22" t="n">
        <v>1.3474</v>
      </c>
      <c r="C58" s="22" t="n">
        <v>0.04953</v>
      </c>
      <c r="D58" s="22" t="n">
        <v>1.29787</v>
      </c>
      <c r="E58" s="22" t="n">
        <v>9.859690000000001</v>
      </c>
      <c r="F58" s="22" t="n">
        <v>2.11459</v>
      </c>
      <c r="G58" s="22" t="n">
        <v>7.7451</v>
      </c>
      <c r="H58" s="22" t="n">
        <v>1.21761</v>
      </c>
      <c r="I58" s="22" t="n">
        <v>5.77198</v>
      </c>
      <c r="J58" s="2" t="n"/>
      <c r="K58" s="2" t="n"/>
      <c r="L58" s="2" t="n"/>
      <c r="M58" s="2" t="n"/>
    </row>
    <row r="59">
      <c r="A59" s="12" t="n">
        <v>224</v>
      </c>
      <c r="B59" s="22" t="n">
        <v>1.4181</v>
      </c>
      <c r="C59" s="22" t="n">
        <v>0.04635</v>
      </c>
      <c r="D59" s="22" t="n">
        <v>1.37175</v>
      </c>
      <c r="E59" s="22" t="n">
        <v>10.55099</v>
      </c>
      <c r="F59" s="22" t="n">
        <v>2.13856</v>
      </c>
      <c r="G59" s="22" t="n">
        <v>8.412430000000001</v>
      </c>
      <c r="H59" s="22" t="n">
        <v>1.29665</v>
      </c>
      <c r="I59" s="22" t="n">
        <v>6.40047</v>
      </c>
      <c r="J59" s="2" t="n"/>
      <c r="K59" s="2" t="n"/>
      <c r="L59" s="2" t="n"/>
      <c r="M59" s="2" t="n"/>
    </row>
    <row r="60">
      <c r="A60" s="12" t="n">
        <v>224.5</v>
      </c>
      <c r="B60" s="22" t="n">
        <v>1.4902</v>
      </c>
      <c r="C60" s="22" t="n">
        <v>0.0432</v>
      </c>
      <c r="D60" s="22" t="n">
        <v>1.447</v>
      </c>
      <c r="E60" s="22" t="n">
        <v>11.27799</v>
      </c>
      <c r="F60" s="22" t="n">
        <v>2.16095</v>
      </c>
      <c r="G60" s="22" t="n">
        <v>9.117039999999999</v>
      </c>
      <c r="H60" s="22" t="n">
        <v>1.37699</v>
      </c>
      <c r="I60" s="22" t="n">
        <v>7.06881</v>
      </c>
      <c r="J60" s="2" t="n"/>
      <c r="K60" s="2" t="n"/>
      <c r="L60" s="2" t="n"/>
      <c r="M60" s="2" t="n"/>
    </row>
    <row r="61">
      <c r="A61" s="12" t="n">
        <v>225</v>
      </c>
      <c r="B61" s="22" t="n">
        <v>1.5743</v>
      </c>
      <c r="C61" s="22" t="n">
        <v>0.04011</v>
      </c>
      <c r="D61" s="22" t="n">
        <v>1.53419</v>
      </c>
      <c r="E61" s="22" t="n">
        <v>12.04402</v>
      </c>
      <c r="F61" s="22" t="n">
        <v>2.18178</v>
      </c>
      <c r="G61" s="22" t="n">
        <v>9.86224</v>
      </c>
      <c r="H61" s="22" t="n">
        <v>1.46921</v>
      </c>
      <c r="I61" s="22" t="n">
        <v>7.78026</v>
      </c>
      <c r="J61" s="2" t="n"/>
      <c r="K61" s="2" t="n"/>
      <c r="L61" s="2" t="n"/>
      <c r="M61" s="2" t="n"/>
    </row>
    <row r="62">
      <c r="A62" s="12" t="n">
        <v>225.5</v>
      </c>
      <c r="B62" s="22" t="n">
        <v>1.6491</v>
      </c>
      <c r="C62" s="22" t="n">
        <v>0.03707</v>
      </c>
      <c r="D62" s="22" t="n">
        <v>1.61203</v>
      </c>
      <c r="E62" s="22" t="n">
        <v>12.8498</v>
      </c>
      <c r="F62" s="22" t="n">
        <v>2.20107</v>
      </c>
      <c r="G62" s="22" t="n">
        <v>10.64872</v>
      </c>
      <c r="H62" s="22" t="n">
        <v>1.55196</v>
      </c>
      <c r="I62" s="22" t="n">
        <v>8.53548</v>
      </c>
      <c r="J62" s="2" t="n"/>
      <c r="K62" s="2" t="n"/>
      <c r="L62" s="2" t="n"/>
      <c r="M62" s="2" t="n"/>
    </row>
    <row r="63">
      <c r="A63" s="12" t="n">
        <v>226</v>
      </c>
      <c r="B63" s="22" t="n">
        <v>1.7277</v>
      </c>
      <c r="C63" s="22" t="n">
        <v>0.0341</v>
      </c>
      <c r="D63" s="22" t="n">
        <v>1.6936</v>
      </c>
      <c r="E63" s="22" t="n">
        <v>13.69392</v>
      </c>
      <c r="F63" s="22" t="n">
        <v>2.21887</v>
      </c>
      <c r="G63" s="22" t="n">
        <v>11.47505</v>
      </c>
      <c r="H63" s="22" t="n">
        <v>1.63834</v>
      </c>
      <c r="I63" s="22" t="n">
        <v>9.332979999999999</v>
      </c>
      <c r="J63" s="2" t="n"/>
      <c r="K63" s="2" t="n"/>
      <c r="L63" s="2" t="n"/>
      <c r="M63" s="2" t="n"/>
    </row>
    <row r="64">
      <c r="A64" s="12" t="n">
        <v>226.5</v>
      </c>
      <c r="B64" s="22" t="n">
        <v>1.8029</v>
      </c>
      <c r="C64" s="22" t="n">
        <v>0.03121</v>
      </c>
      <c r="D64" s="22" t="n">
        <v>1.77169</v>
      </c>
      <c r="E64" s="22" t="n">
        <v>14.57651</v>
      </c>
      <c r="F64" s="22" t="n">
        <v>2.2352</v>
      </c>
      <c r="G64" s="22" t="n">
        <v>12.34131</v>
      </c>
      <c r="H64" s="22" t="n">
        <v>1.72112</v>
      </c>
      <c r="I64" s="22" t="n">
        <v>10.17278</v>
      </c>
      <c r="J64" s="2" t="n"/>
      <c r="K64" s="2" t="n"/>
      <c r="L64" s="2" t="n"/>
      <c r="M64" s="2" t="n"/>
    </row>
    <row r="65">
      <c r="A65" s="12" t="n">
        <v>227</v>
      </c>
      <c r="B65" s="22" t="n">
        <v>1.8824</v>
      </c>
      <c r="C65" s="22" t="n">
        <v>0.02841</v>
      </c>
      <c r="D65" s="22" t="n">
        <v>1.85399</v>
      </c>
      <c r="E65" s="22" t="n">
        <v>15.49776</v>
      </c>
      <c r="F65" s="22" t="n">
        <v>2.2501</v>
      </c>
      <c r="G65" s="22" t="n">
        <v>13.24766</v>
      </c>
      <c r="H65" s="22" t="n">
        <v>1.80797</v>
      </c>
      <c r="I65" s="22" t="n">
        <v>11.05498</v>
      </c>
      <c r="J65" s="2" t="n"/>
      <c r="K65" s="2" t="n"/>
      <c r="L65" s="2" t="n"/>
      <c r="M65" s="2" t="n"/>
    </row>
    <row r="66">
      <c r="A66" s="12" t="n">
        <v>227.5</v>
      </c>
      <c r="B66" s="22" t="n">
        <v>1.9628</v>
      </c>
      <c r="C66" s="22" t="n">
        <v>0.0257</v>
      </c>
      <c r="D66" s="22" t="n">
        <v>1.9371</v>
      </c>
      <c r="E66" s="22" t="n">
        <v>16.45899</v>
      </c>
      <c r="F66" s="22" t="n">
        <v>2.26363</v>
      </c>
      <c r="G66" s="22" t="n">
        <v>14.19536</v>
      </c>
      <c r="H66" s="22" t="n">
        <v>1.89547</v>
      </c>
      <c r="I66" s="22" t="n">
        <v>11.98077</v>
      </c>
      <c r="J66" s="2" t="n"/>
      <c r="K66" s="2" t="n"/>
      <c r="L66" s="2" t="n"/>
      <c r="M66" s="2" t="n"/>
    </row>
    <row r="67">
      <c r="A67" s="12" t="n">
        <v>228</v>
      </c>
      <c r="B67" s="22" t="n">
        <v>2.0471</v>
      </c>
      <c r="C67" s="22" t="n">
        <v>0.02309</v>
      </c>
      <c r="D67" s="22" t="n">
        <v>2.02401</v>
      </c>
      <c r="E67" s="22" t="n">
        <v>17.46139</v>
      </c>
      <c r="F67" s="22" t="n">
        <v>2.27582</v>
      </c>
      <c r="G67" s="22" t="n">
        <v>15.18557</v>
      </c>
      <c r="H67" s="22" t="n">
        <v>1.98661</v>
      </c>
      <c r="I67" s="22" t="n">
        <v>12.95122</v>
      </c>
      <c r="J67" s="2" t="n"/>
      <c r="K67" s="2" t="n"/>
      <c r="L67" s="2" t="n"/>
      <c r="M67" s="2" t="n"/>
    </row>
    <row r="68">
      <c r="A68" s="12" t="n">
        <v>228.5</v>
      </c>
      <c r="B68" s="22" t="n">
        <v>2.1334</v>
      </c>
      <c r="C68" s="22" t="n">
        <v>0.02059</v>
      </c>
      <c r="D68" s="22" t="n">
        <v>2.11281</v>
      </c>
      <c r="E68" s="22" t="n">
        <v>18.50644</v>
      </c>
      <c r="F68" s="22" t="n">
        <v>2.28674</v>
      </c>
      <c r="G68" s="22" t="n">
        <v>16.2197</v>
      </c>
      <c r="H68" s="22" t="n">
        <v>2.07945</v>
      </c>
      <c r="I68" s="22" t="n">
        <v>13.96766</v>
      </c>
      <c r="J68" s="2" t="n"/>
      <c r="K68" s="2" t="n"/>
      <c r="L68" s="2" t="n"/>
      <c r="M68" s="2" t="n"/>
    </row>
    <row r="69">
      <c r="A69" s="12" t="n">
        <v>229</v>
      </c>
      <c r="B69" s="22" t="n">
        <v>2.221</v>
      </c>
      <c r="C69" s="22" t="n">
        <v>0.01821</v>
      </c>
      <c r="D69" s="22" t="n">
        <v>2.20279</v>
      </c>
      <c r="E69" s="22" t="n">
        <v>19.59497</v>
      </c>
      <c r="F69" s="22" t="n">
        <v>2.29644</v>
      </c>
      <c r="G69" s="22" t="n">
        <v>17.29853</v>
      </c>
      <c r="H69" s="22" t="n">
        <v>2.17329</v>
      </c>
      <c r="I69" s="22" t="n">
        <v>15.03077</v>
      </c>
      <c r="J69" s="2" t="n"/>
      <c r="K69" s="2" t="n"/>
      <c r="L69" s="2" t="n"/>
      <c r="M69" s="2" t="n"/>
    </row>
    <row r="70">
      <c r="A70" s="12" t="n">
        <v>229.5</v>
      </c>
      <c r="B70" s="22" t="n">
        <v>2.298</v>
      </c>
      <c r="C70" s="22" t="n">
        <v>0.01596</v>
      </c>
      <c r="D70" s="22" t="n">
        <v>2.28204</v>
      </c>
      <c r="E70" s="22" t="n">
        <v>20.72466</v>
      </c>
      <c r="F70" s="22" t="n">
        <v>2.30498</v>
      </c>
      <c r="G70" s="22" t="n">
        <v>18.41968</v>
      </c>
      <c r="H70" s="22" t="n">
        <v>2.25619</v>
      </c>
      <c r="I70" s="22" t="n">
        <v>16.13808</v>
      </c>
      <c r="J70" s="2" t="n"/>
      <c r="K70" s="2" t="n"/>
      <c r="L70" s="2" t="n"/>
      <c r="M70" s="2" t="n"/>
    </row>
    <row r="71">
      <c r="A71" s="12" t="n">
        <v>230</v>
      </c>
      <c r="B71" s="22" t="n">
        <v>2.372</v>
      </c>
      <c r="C71" s="22" t="n">
        <v>0.01383</v>
      </c>
      <c r="D71" s="22" t="n">
        <v>2.35817</v>
      </c>
      <c r="E71" s="22" t="n">
        <v>21.89211</v>
      </c>
      <c r="F71" s="22" t="n">
        <v>2.31243</v>
      </c>
      <c r="G71" s="22" t="n">
        <v>19.57969</v>
      </c>
      <c r="H71" s="22" t="n">
        <v>2.33576</v>
      </c>
      <c r="I71" s="22" t="n">
        <v>17.28602</v>
      </c>
      <c r="J71" s="2" t="n"/>
      <c r="K71" s="2" t="n"/>
      <c r="L71" s="2" t="n"/>
      <c r="M71" s="2" t="n"/>
    </row>
    <row r="72">
      <c r="A72" s="12" t="n">
        <v>230.5</v>
      </c>
      <c r="B72" s="22" t="n">
        <v>2.448</v>
      </c>
      <c r="C72" s="22" t="n">
        <v>0.01185</v>
      </c>
      <c r="D72" s="22" t="n">
        <v>2.43615</v>
      </c>
      <c r="E72" s="22" t="n">
        <v>23.09706</v>
      </c>
      <c r="F72" s="22" t="n">
        <v>2.31885</v>
      </c>
      <c r="G72" s="22" t="n">
        <v>20.77822</v>
      </c>
      <c r="H72" s="22" t="n">
        <v>2.41696</v>
      </c>
      <c r="I72" s="22" t="n">
        <v>18.47415</v>
      </c>
      <c r="J72" s="2" t="n"/>
      <c r="K72" s="2" t="n"/>
      <c r="L72" s="2" t="n"/>
      <c r="M72" s="2" t="n"/>
    </row>
    <row r="73">
      <c r="A73" s="12" t="n">
        <v>231</v>
      </c>
      <c r="B73" s="22" t="n">
        <v>2.5213</v>
      </c>
      <c r="C73" s="22" t="n">
        <v>0.01001</v>
      </c>
      <c r="D73" s="22" t="n">
        <v>2.51129</v>
      </c>
      <c r="E73" s="22" t="n">
        <v>24.33934</v>
      </c>
      <c r="F73" s="22" t="n">
        <v>2.32431</v>
      </c>
      <c r="G73" s="22" t="n">
        <v>22.01503</v>
      </c>
      <c r="H73" s="22" t="n">
        <v>2.49508</v>
      </c>
      <c r="I73" s="22" t="n">
        <v>19.70212</v>
      </c>
      <c r="J73" s="2" t="n"/>
      <c r="K73" s="2" t="n"/>
      <c r="L73" s="2" t="n"/>
      <c r="M73" s="2" t="n"/>
    </row>
    <row r="74">
      <c r="A74" s="12" t="n">
        <v>231.5</v>
      </c>
      <c r="B74" s="22" t="n">
        <v>2.599</v>
      </c>
      <c r="C74" s="22" t="n">
        <v>0.00831</v>
      </c>
      <c r="D74" s="22" t="n">
        <v>2.59069</v>
      </c>
      <c r="E74" s="22" t="n">
        <v>25.61937</v>
      </c>
      <c r="F74" s="22" t="n">
        <v>2.32889</v>
      </c>
      <c r="G74" s="22" t="n">
        <v>23.29048</v>
      </c>
      <c r="H74" s="22" t="n">
        <v>2.57722</v>
      </c>
      <c r="I74" s="22" t="n">
        <v>20.97014</v>
      </c>
      <c r="J74" s="2" t="n"/>
      <c r="K74" s="2" t="n"/>
      <c r="L74" s="2" t="n"/>
      <c r="M74" s="2" t="n"/>
    </row>
    <row r="75">
      <c r="A75" s="12" t="n">
        <v>232</v>
      </c>
      <c r="B75" s="22" t="n">
        <v>2.6797</v>
      </c>
      <c r="C75" s="22" t="n">
        <v>0.00677</v>
      </c>
      <c r="D75" s="22" t="n">
        <v>2.67293</v>
      </c>
      <c r="E75" s="22" t="n">
        <v>26.93899</v>
      </c>
      <c r="F75" s="22" t="n">
        <v>2.33266</v>
      </c>
      <c r="G75" s="22" t="n">
        <v>24.60633</v>
      </c>
      <c r="H75" s="22" t="n">
        <v>2.66195</v>
      </c>
      <c r="I75" s="22" t="n">
        <v>22.27988</v>
      </c>
      <c r="J75" s="2" t="n"/>
      <c r="K75" s="2" t="n"/>
      <c r="L75" s="2" t="n"/>
      <c r="M75" s="2" t="n"/>
    </row>
    <row r="76">
      <c r="A76" s="12" t="n">
        <v>232.5</v>
      </c>
      <c r="B76" s="22" t="n">
        <v>2.7672</v>
      </c>
      <c r="C76" s="22" t="n">
        <v>0.00539</v>
      </c>
      <c r="D76" s="22" t="n">
        <v>2.76181</v>
      </c>
      <c r="E76" s="22" t="n">
        <v>28.30066</v>
      </c>
      <c r="F76" s="22" t="n">
        <v>2.3357</v>
      </c>
      <c r="G76" s="22" t="n">
        <v>25.96495</v>
      </c>
      <c r="H76" s="22" t="n">
        <v>2.75307</v>
      </c>
      <c r="I76" s="22" t="n">
        <v>23.63358</v>
      </c>
      <c r="J76" s="2" t="n"/>
      <c r="K76" s="2" t="n"/>
      <c r="L76" s="2" t="n"/>
      <c r="M76" s="2" t="n"/>
    </row>
    <row r="77">
      <c r="A77" s="12" t="n">
        <v>233</v>
      </c>
      <c r="B77" s="22" t="n">
        <v>2.8567</v>
      </c>
      <c r="C77" s="22" t="n">
        <v>0.00417</v>
      </c>
      <c r="D77" s="22" t="n">
        <v>2.85253</v>
      </c>
      <c r="E77" s="22" t="n">
        <v>29.70658</v>
      </c>
      <c r="F77" s="22" t="n">
        <v>2.33809</v>
      </c>
      <c r="G77" s="22" t="n">
        <v>27.36848</v>
      </c>
      <c r="H77" s="22" t="n">
        <v>2.84578</v>
      </c>
      <c r="I77" s="22" t="n">
        <v>25.03323</v>
      </c>
      <c r="J77" s="2" t="n"/>
      <c r="K77" s="2" t="n"/>
      <c r="L77" s="2" t="n"/>
      <c r="M77" s="2" t="n"/>
    </row>
    <row r="78">
      <c r="A78" s="12" t="n">
        <v>233.5</v>
      </c>
      <c r="B78" s="22" t="n">
        <v>2.9533</v>
      </c>
      <c r="C78" s="22" t="n">
        <v>0.00311</v>
      </c>
      <c r="D78" s="22" t="n">
        <v>2.95019</v>
      </c>
      <c r="E78" s="22" t="n">
        <v>31.15901</v>
      </c>
      <c r="F78" s="22" t="n">
        <v>2.33991</v>
      </c>
      <c r="G78" s="22" t="n">
        <v>28.8191</v>
      </c>
      <c r="H78" s="22" t="n">
        <v>2.94516</v>
      </c>
      <c r="I78" s="22" t="n">
        <v>26.4809</v>
      </c>
      <c r="J78" s="2" t="n"/>
      <c r="K78" s="2" t="n"/>
      <c r="L78" s="2" t="n"/>
      <c r="M78" s="2" t="n"/>
    </row>
    <row r="79">
      <c r="A79" s="12" t="n">
        <v>234</v>
      </c>
      <c r="B79" s="22" t="n">
        <v>3.048</v>
      </c>
      <c r="C79" s="22" t="n">
        <v>0.00221</v>
      </c>
      <c r="D79" s="22" t="n">
        <v>3.04579</v>
      </c>
      <c r="E79" s="22" t="n">
        <v>32.65927</v>
      </c>
      <c r="F79" s="22" t="n">
        <v>2.34124</v>
      </c>
      <c r="G79" s="22" t="n">
        <v>30.31803</v>
      </c>
      <c r="H79" s="22" t="n">
        <v>3.04222</v>
      </c>
      <c r="I79" s="22" t="n">
        <v>27.97769</v>
      </c>
      <c r="J79" s="2" t="n"/>
      <c r="K79" s="2" t="n"/>
      <c r="L79" s="2" t="n"/>
      <c r="M79" s="2" t="n"/>
    </row>
    <row r="80">
      <c r="A80" s="12" t="n">
        <v>234.5</v>
      </c>
      <c r="B80" s="22" t="n">
        <v>3.1443</v>
      </c>
      <c r="C80" s="22" t="n">
        <v>0.00147</v>
      </c>
      <c r="D80" s="22" t="n">
        <v>3.14283</v>
      </c>
      <c r="E80" s="22" t="n">
        <v>34.20728</v>
      </c>
      <c r="F80" s="22" t="n">
        <v>2.34216</v>
      </c>
      <c r="G80" s="22" t="n">
        <v>31.86513</v>
      </c>
      <c r="H80" s="22" t="n">
        <v>3.14046</v>
      </c>
      <c r="I80" s="22" t="n">
        <v>29.52329</v>
      </c>
      <c r="J80" s="2" t="n"/>
      <c r="K80" s="2" t="n"/>
      <c r="L80" s="2" t="n"/>
      <c r="M80" s="2" t="n"/>
    </row>
    <row r="81">
      <c r="A81" s="12" t="n">
        <v>235</v>
      </c>
      <c r="B81" s="22" t="n">
        <v>3.2478</v>
      </c>
      <c r="C81" s="22" t="n">
        <v>0.0008899999999999999</v>
      </c>
      <c r="D81" s="22" t="n">
        <v>3.24691</v>
      </c>
      <c r="E81" s="22" t="n">
        <v>35.80524</v>
      </c>
      <c r="F81" s="22" t="n">
        <v>2.34275</v>
      </c>
      <c r="G81" s="22" t="n">
        <v>33.46249</v>
      </c>
      <c r="H81" s="22" t="n">
        <v>3.24547</v>
      </c>
      <c r="I81" s="22" t="n">
        <v>31.1197</v>
      </c>
      <c r="J81" s="2" t="n"/>
      <c r="K81" s="2" t="n"/>
      <c r="L81" s="2" t="n"/>
      <c r="M81" s="2" t="n"/>
    </row>
    <row r="82">
      <c r="A82" s="12" t="n">
        <v>235.5</v>
      </c>
      <c r="B82" s="22" t="n">
        <v>3.3504</v>
      </c>
      <c r="C82" s="22" t="n">
        <v>0.00046</v>
      </c>
      <c r="D82" s="22" t="n">
        <v>3.34994</v>
      </c>
      <c r="E82" s="22" t="n">
        <v>37.45472</v>
      </c>
      <c r="F82" s="22" t="n">
        <v>2.34308</v>
      </c>
      <c r="G82" s="22" t="n">
        <v>35.11164</v>
      </c>
      <c r="H82" s="22" t="n">
        <v>3.34919</v>
      </c>
      <c r="I82" s="22" t="n">
        <v>32.7683</v>
      </c>
      <c r="J82" s="2" t="n"/>
      <c r="K82" s="2" t="n"/>
      <c r="L82" s="2" t="n"/>
      <c r="M82" s="2" t="n"/>
    </row>
    <row r="83">
      <c r="A83" s="12" t="n">
        <v>236</v>
      </c>
      <c r="B83" s="22" t="n">
        <v>3.4515</v>
      </c>
      <c r="C83" s="22" t="n">
        <v>0.00018</v>
      </c>
      <c r="D83" s="22" t="n">
        <v>3.45132</v>
      </c>
      <c r="E83" s="22" t="n">
        <v>39.15513</v>
      </c>
      <c r="F83" s="22" t="n">
        <v>2.34325</v>
      </c>
      <c r="G83" s="22" t="n">
        <v>36.81189</v>
      </c>
      <c r="H83" s="22" t="n">
        <v>3.45102</v>
      </c>
      <c r="I83" s="22" t="n">
        <v>34.46829</v>
      </c>
      <c r="J83" s="2" t="n"/>
      <c r="K83" s="2" t="n"/>
      <c r="L83" s="2" t="n"/>
      <c r="M83" s="2" t="n"/>
    </row>
    <row r="84">
      <c r="A84" s="12" t="n">
        <v>236.5</v>
      </c>
      <c r="B84" s="22" t="n">
        <v>3.5473</v>
      </c>
      <c r="C84" s="22" t="n">
        <v>4e-05</v>
      </c>
      <c r="D84" s="22" t="n">
        <v>3.54726</v>
      </c>
      <c r="E84" s="22" t="n">
        <v>40.90478</v>
      </c>
      <c r="F84" s="22" t="n">
        <v>2.3433</v>
      </c>
      <c r="G84" s="22" t="n">
        <v>38.56148</v>
      </c>
      <c r="H84" s="22" t="n">
        <v>3.5472</v>
      </c>
      <c r="I84" s="22" t="n">
        <v>36.2178</v>
      </c>
      <c r="J84" s="2" t="n"/>
      <c r="K84" s="2" t="n"/>
      <c r="L84" s="2" t="n"/>
      <c r="M84" s="2" t="n"/>
    </row>
    <row r="85">
      <c r="A85" s="12" t="n">
        <v>237</v>
      </c>
      <c r="B85" s="22" t="n">
        <v>3.6392</v>
      </c>
      <c r="C85" s="22" t="n">
        <v>0</v>
      </c>
      <c r="D85" s="22" t="n">
        <v>3.6392</v>
      </c>
      <c r="E85" s="22" t="n">
        <v>42.70136</v>
      </c>
      <c r="F85" s="22" t="n">
        <v>2.34331</v>
      </c>
      <c r="G85" s="22" t="n">
        <v>40.35805</v>
      </c>
      <c r="H85" s="22" t="n">
        <v>3.6392</v>
      </c>
      <c r="I85" s="22" t="n">
        <v>38.01435</v>
      </c>
      <c r="J85" s="2" t="n"/>
      <c r="K85" s="2" t="n"/>
      <c r="L85" s="2" t="n"/>
      <c r="M85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Sarami 05 -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184</v>
      </c>
      <c r="M3" s="2" t="n"/>
    </row>
    <row r="4">
      <c r="A4" s="12" t="n">
        <v>163</v>
      </c>
      <c r="B4" s="22" t="n">
        <v>0.0005999999999999999</v>
      </c>
      <c r="C4" s="22" t="n">
        <v>0.0005999999999999999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163.5</v>
      </c>
      <c r="B5" s="22" t="n">
        <v>0.0035</v>
      </c>
      <c r="C5" s="22" t="n">
        <v>0.0035</v>
      </c>
      <c r="D5" s="22" t="n">
        <v>0</v>
      </c>
      <c r="E5" s="22" t="n">
        <v>0.00092</v>
      </c>
      <c r="F5" s="22" t="n">
        <v>0.00092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MAX(E4:E46)*1.02</f>
        <v/>
      </c>
      <c r="M5" s="2">
        <f>L3</f>
        <v/>
      </c>
    </row>
    <row r="6">
      <c r="A6" s="12" t="n">
        <v>164</v>
      </c>
      <c r="B6" s="22" t="n">
        <v>0.0089</v>
      </c>
      <c r="C6" s="22" t="n">
        <v>0.00561</v>
      </c>
      <c r="D6" s="22" t="n">
        <v>0.00329</v>
      </c>
      <c r="E6" s="22" t="n">
        <v>0.00392</v>
      </c>
      <c r="F6" s="22" t="n">
        <v>0.00338</v>
      </c>
      <c r="G6" s="22" t="n">
        <v>0.00054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164.5</v>
      </c>
      <c r="B7" s="22" t="n">
        <v>0.0169</v>
      </c>
      <c r="C7" s="22" t="n">
        <v>0.007</v>
      </c>
      <c r="D7" s="22" t="n">
        <v>0.009900000000000001</v>
      </c>
      <c r="E7" s="22" t="n">
        <v>0.01027</v>
      </c>
      <c r="F7" s="22" t="n">
        <v>0.00653</v>
      </c>
      <c r="G7" s="22" t="n">
        <v>0.00373</v>
      </c>
      <c r="H7" s="22" t="n">
        <v>0.00284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165</v>
      </c>
      <c r="B8" s="22" t="n">
        <v>0.0362</v>
      </c>
      <c r="C8" s="22" t="n">
        <v>0.008160000000000001</v>
      </c>
      <c r="D8" s="22" t="n">
        <v>0.02804</v>
      </c>
      <c r="E8" s="22" t="n">
        <v>0.02324</v>
      </c>
      <c r="F8" s="22" t="n">
        <v>0.01032</v>
      </c>
      <c r="G8" s="22" t="n">
        <v>0.01292</v>
      </c>
      <c r="H8" s="22" t="n">
        <v>0.01981</v>
      </c>
      <c r="I8" s="22" t="n">
        <v>0.00519</v>
      </c>
      <c r="J8" s="2" t="n"/>
      <c r="K8" s="2">
        <f>"After 50 years"</f>
        <v/>
      </c>
      <c r="L8" s="2" t="n"/>
      <c r="M8" s="2" t="n"/>
    </row>
    <row r="9">
      <c r="A9" s="12" t="n">
        <v>165.5</v>
      </c>
      <c r="B9" s="22" t="n">
        <v>0.0602</v>
      </c>
      <c r="C9" s="22" t="n">
        <v>0.00916</v>
      </c>
      <c r="D9" s="22" t="n">
        <v>0.05104</v>
      </c>
      <c r="E9" s="22" t="n">
        <v>0.04709</v>
      </c>
      <c r="F9" s="22" t="n">
        <v>0.01465</v>
      </c>
      <c r="G9" s="22" t="n">
        <v>0.03243</v>
      </c>
      <c r="H9" s="22" t="n">
        <v>0.04179</v>
      </c>
      <c r="I9" s="22" t="n">
        <v>0.02033</v>
      </c>
      <c r="J9" s="2" t="n"/>
      <c r="K9" s="2">
        <f>"After 100 years"</f>
        <v/>
      </c>
      <c r="L9" s="2" t="n"/>
      <c r="M9" s="2" t="n"/>
    </row>
    <row r="10">
      <c r="A10" s="12" t="n">
        <v>166</v>
      </c>
      <c r="B10" s="22" t="n">
        <v>0.08210000000000001</v>
      </c>
      <c r="C10" s="22" t="n">
        <v>0.01005</v>
      </c>
      <c r="D10" s="22" t="n">
        <v>0.07205</v>
      </c>
      <c r="E10" s="22" t="n">
        <v>0.08252</v>
      </c>
      <c r="F10" s="22" t="n">
        <v>0.01946</v>
      </c>
      <c r="G10" s="22" t="n">
        <v>0.06306</v>
      </c>
      <c r="H10" s="22" t="n">
        <v>0.0619</v>
      </c>
      <c r="I10" s="22" t="n">
        <v>0.04611</v>
      </c>
      <c r="J10" s="2" t="n"/>
      <c r="K10" s="2">
        <f>"FSL "&amp;TEXT(L3,"0.0")&amp;" m"</f>
        <v/>
      </c>
      <c r="L10" s="2" t="n"/>
      <c r="M10" s="2" t="n"/>
    </row>
    <row r="11">
      <c r="A11" s="12" t="n">
        <v>166.5</v>
      </c>
      <c r="B11" s="22" t="n">
        <v>0.1046</v>
      </c>
      <c r="C11" s="22" t="n">
        <v>0.01085</v>
      </c>
      <c r="D11" s="22" t="n">
        <v>0.09375</v>
      </c>
      <c r="E11" s="22" t="n">
        <v>0.12908</v>
      </c>
      <c r="F11" s="22" t="n">
        <v>0.02468</v>
      </c>
      <c r="G11" s="22" t="n">
        <v>0.1044</v>
      </c>
      <c r="H11" s="22" t="n">
        <v>0.0828</v>
      </c>
      <c r="I11" s="22" t="n">
        <v>0.08217000000000001</v>
      </c>
      <c r="J11" s="2" t="n"/>
      <c r="K11" s="2" t="n"/>
      <c r="L11" s="2" t="n"/>
      <c r="M11" s="2" t="n"/>
    </row>
    <row r="12">
      <c r="A12" s="12" t="n">
        <v>167</v>
      </c>
      <c r="B12" s="22" t="n">
        <v>0.1265</v>
      </c>
      <c r="C12" s="22" t="n">
        <v>0.01157</v>
      </c>
      <c r="D12" s="22" t="n">
        <v>0.11493</v>
      </c>
      <c r="E12" s="22" t="n">
        <v>0.18677</v>
      </c>
      <c r="F12" s="22" t="n">
        <v>0.03028</v>
      </c>
      <c r="G12" s="22" t="n">
        <v>0.15648</v>
      </c>
      <c r="H12" s="22" t="n">
        <v>0.10325</v>
      </c>
      <c r="I12" s="22" t="n">
        <v>0.1286</v>
      </c>
      <c r="J12" s="2" t="n"/>
      <c r="K12" s="2" t="n"/>
      <c r="L12" s="2" t="n"/>
      <c r="M12" s="2" t="n"/>
    </row>
    <row r="13">
      <c r="A13" s="12" t="n">
        <v>167.5</v>
      </c>
      <c r="B13" s="22" t="n">
        <v>0.1486</v>
      </c>
      <c r="C13" s="22" t="n">
        <v>0.01222</v>
      </c>
      <c r="D13" s="22" t="n">
        <v>0.13638</v>
      </c>
      <c r="E13" s="22" t="n">
        <v>0.25547</v>
      </c>
      <c r="F13" s="22" t="n">
        <v>0.03623</v>
      </c>
      <c r="G13" s="22" t="n">
        <v>0.21924</v>
      </c>
      <c r="H13" s="22" t="n">
        <v>0.12404</v>
      </c>
      <c r="I13" s="22" t="n">
        <v>0.18534</v>
      </c>
      <c r="J13" s="2" t="n"/>
      <c r="K13" s="2" t="n"/>
      <c r="L13" s="2" t="n"/>
      <c r="M13" s="2" t="n"/>
    </row>
    <row r="14">
      <c r="A14" s="12" t="n">
        <v>168</v>
      </c>
      <c r="B14" s="22" t="n">
        <v>0.1724</v>
      </c>
      <c r="C14" s="22" t="n">
        <v>0.01282</v>
      </c>
      <c r="D14" s="22" t="n">
        <v>0.15958</v>
      </c>
      <c r="E14" s="22" t="n">
        <v>0.33565</v>
      </c>
      <c r="F14" s="22" t="n">
        <v>0.04249</v>
      </c>
      <c r="G14" s="22" t="n">
        <v>0.29315</v>
      </c>
      <c r="H14" s="22" t="n">
        <v>0.14664</v>
      </c>
      <c r="I14" s="22" t="n">
        <v>0.25294</v>
      </c>
      <c r="J14" s="2" t="n"/>
      <c r="K14" s="2" t="n"/>
      <c r="L14" s="2" t="n"/>
      <c r="M14" s="2" t="n"/>
    </row>
    <row r="15">
      <c r="A15" s="12" t="n">
        <v>168.5</v>
      </c>
      <c r="B15" s="22" t="n">
        <v>0.1961</v>
      </c>
      <c r="C15" s="22" t="n">
        <v>0.01336</v>
      </c>
      <c r="D15" s="22" t="n">
        <v>0.18274</v>
      </c>
      <c r="E15" s="22" t="n">
        <v>0.42771</v>
      </c>
      <c r="F15" s="22" t="n">
        <v>0.04903</v>
      </c>
      <c r="G15" s="22" t="n">
        <v>0.37867</v>
      </c>
      <c r="H15" s="22" t="n">
        <v>0.16926</v>
      </c>
      <c r="I15" s="22" t="n">
        <v>0.33185</v>
      </c>
      <c r="J15" s="2" t="n"/>
      <c r="K15" s="2" t="n"/>
      <c r="L15" s="2" t="n"/>
      <c r="M15" s="2" t="n"/>
    </row>
    <row r="16">
      <c r="A16" s="12" t="n">
        <v>169</v>
      </c>
      <c r="B16" s="22" t="n">
        <v>0.2269</v>
      </c>
      <c r="C16" s="22" t="n">
        <v>0.01385</v>
      </c>
      <c r="D16" s="22" t="n">
        <v>0.21305</v>
      </c>
      <c r="E16" s="22" t="n">
        <v>0.5333599999999999</v>
      </c>
      <c r="F16" s="22" t="n">
        <v>0.05583</v>
      </c>
      <c r="G16" s="22" t="n">
        <v>0.47753</v>
      </c>
      <c r="H16" s="22" t="n">
        <v>0.19907</v>
      </c>
      <c r="I16" s="22" t="n">
        <v>0.42384</v>
      </c>
      <c r="J16" s="2" t="n"/>
      <c r="K16" s="2" t="n"/>
      <c r="L16" s="2" t="n"/>
      <c r="M16" s="2" t="n"/>
    </row>
    <row r="17">
      <c r="A17" s="12" t="n">
        <v>169.5</v>
      </c>
      <c r="B17" s="22" t="n">
        <v>0.2646</v>
      </c>
      <c r="C17" s="22" t="n">
        <v>0.01429</v>
      </c>
      <c r="D17" s="22" t="n">
        <v>0.25031</v>
      </c>
      <c r="E17" s="22" t="n">
        <v>0.65612</v>
      </c>
      <c r="F17" s="22" t="n">
        <v>0.06287</v>
      </c>
      <c r="G17" s="22" t="n">
        <v>0.5932500000000001</v>
      </c>
      <c r="H17" s="22" t="n">
        <v>0.23587</v>
      </c>
      <c r="I17" s="22" t="n">
        <v>0.53246</v>
      </c>
      <c r="J17" s="2" t="n"/>
      <c r="K17" s="2" t="n"/>
      <c r="L17" s="2" t="n"/>
      <c r="M17" s="2" t="n"/>
    </row>
    <row r="18">
      <c r="A18" s="12" t="n">
        <v>170</v>
      </c>
      <c r="B18" s="22" t="n">
        <v>0.3044</v>
      </c>
      <c r="C18" s="22" t="n">
        <v>0.0147</v>
      </c>
      <c r="D18" s="22" t="n">
        <v>0.2897</v>
      </c>
      <c r="E18" s="22" t="n">
        <v>0.79825</v>
      </c>
      <c r="F18" s="22" t="n">
        <v>0.07012</v>
      </c>
      <c r="G18" s="22" t="n">
        <v>0.7281300000000001</v>
      </c>
      <c r="H18" s="22" t="n">
        <v>0.27486</v>
      </c>
      <c r="I18" s="22" t="n">
        <v>0.6600200000000001</v>
      </c>
      <c r="J18" s="2" t="n"/>
      <c r="K18" s="2" t="n"/>
      <c r="L18" s="2" t="n"/>
      <c r="M18" s="2" t="n"/>
    </row>
    <row r="19">
      <c r="A19" s="12" t="n">
        <v>170.5</v>
      </c>
      <c r="B19" s="22" t="n">
        <v>0.3454</v>
      </c>
      <c r="C19" s="22" t="n">
        <v>0.01506</v>
      </c>
      <c r="D19" s="22" t="n">
        <v>0.33034</v>
      </c>
      <c r="E19" s="22" t="n">
        <v>0.9605900000000001</v>
      </c>
      <c r="F19" s="22" t="n">
        <v>0.07756</v>
      </c>
      <c r="G19" s="22" t="n">
        <v>0.88304</v>
      </c>
      <c r="H19" s="22" t="n">
        <v>0.31513</v>
      </c>
      <c r="I19" s="22" t="n">
        <v>0.80741</v>
      </c>
      <c r="J19" s="2" t="n"/>
      <c r="K19" s="2" t="n"/>
      <c r="L19" s="2" t="n"/>
      <c r="M19" s="2" t="n"/>
    </row>
    <row r="20">
      <c r="A20" s="12" t="n">
        <v>171</v>
      </c>
      <c r="B20" s="22" t="n">
        <v>0.3892</v>
      </c>
      <c r="C20" s="22" t="n">
        <v>0.01539</v>
      </c>
      <c r="D20" s="22" t="n">
        <v>0.37381</v>
      </c>
      <c r="E20" s="22" t="n">
        <v>1.14414</v>
      </c>
      <c r="F20" s="22" t="n">
        <v>0.08517</v>
      </c>
      <c r="G20" s="22" t="n">
        <v>1.05897</v>
      </c>
      <c r="H20" s="22" t="n">
        <v>0.35828</v>
      </c>
      <c r="I20" s="22" t="n">
        <v>0.97566</v>
      </c>
      <c r="J20" s="2" t="n"/>
      <c r="K20" s="2" t="n"/>
      <c r="L20" s="2" t="n"/>
      <c r="M20" s="2" t="n"/>
    </row>
    <row r="21">
      <c r="A21" s="12" t="n">
        <v>171.5</v>
      </c>
      <c r="B21" s="22" t="n">
        <v>0.4334</v>
      </c>
      <c r="C21" s="22" t="n">
        <v>0.01567</v>
      </c>
      <c r="D21" s="22" t="n">
        <v>0.41773</v>
      </c>
      <c r="E21" s="22" t="n">
        <v>1.34969</v>
      </c>
      <c r="F21" s="22" t="n">
        <v>0.09293</v>
      </c>
      <c r="G21" s="22" t="n">
        <v>1.25675</v>
      </c>
      <c r="H21" s="22" t="n">
        <v>0.4019</v>
      </c>
      <c r="I21" s="22" t="n">
        <v>1.1656</v>
      </c>
      <c r="J21" s="2" t="n"/>
      <c r="K21" s="2" t="n"/>
      <c r="L21" s="2" t="n"/>
      <c r="M21" s="2" t="n"/>
    </row>
    <row r="22">
      <c r="A22" s="12" t="n">
        <v>172</v>
      </c>
      <c r="B22" s="22" t="n">
        <v>0.4767</v>
      </c>
      <c r="C22" s="22" t="n">
        <v>0.01592</v>
      </c>
      <c r="D22" s="22" t="n">
        <v>0.46078</v>
      </c>
      <c r="E22" s="22" t="n">
        <v>1.57713</v>
      </c>
      <c r="F22" s="22" t="n">
        <v>0.10083</v>
      </c>
      <c r="G22" s="22" t="n">
        <v>1.47629</v>
      </c>
      <c r="H22" s="22" t="n">
        <v>0.4447</v>
      </c>
      <c r="I22" s="22" t="n">
        <v>1.37717</v>
      </c>
      <c r="J22" s="2" t="n"/>
      <c r="K22" s="2" t="n"/>
      <c r="L22" s="2" t="n"/>
      <c r="M22" s="2" t="n"/>
    </row>
    <row r="23">
      <c r="A23" s="12" t="n">
        <v>172.5</v>
      </c>
      <c r="B23" s="22" t="n">
        <v>0.5269</v>
      </c>
      <c r="C23" s="22" t="n">
        <v>0.01614</v>
      </c>
      <c r="D23" s="22" t="n">
        <v>0.51076</v>
      </c>
      <c r="E23" s="22" t="n">
        <v>1.82792</v>
      </c>
      <c r="F23" s="22" t="n">
        <v>0.10885</v>
      </c>
      <c r="G23" s="22" t="n">
        <v>1.71907</v>
      </c>
      <c r="H23" s="22" t="n">
        <v>0.49447</v>
      </c>
      <c r="I23" s="22" t="n">
        <v>1.61185</v>
      </c>
      <c r="J23" s="2" t="n"/>
      <c r="K23" s="2" t="n"/>
      <c r="L23" s="2" t="n"/>
      <c r="M23" s="2" t="n"/>
    </row>
    <row r="24">
      <c r="A24" s="12" t="n">
        <v>173</v>
      </c>
      <c r="B24" s="22" t="n">
        <v>0.5803</v>
      </c>
      <c r="C24" s="22" t="n">
        <v>0.01632</v>
      </c>
      <c r="D24" s="22" t="n">
        <v>0.56398</v>
      </c>
      <c r="E24" s="22" t="n">
        <v>2.10461</v>
      </c>
      <c r="F24" s="22" t="n">
        <v>0.11696</v>
      </c>
      <c r="G24" s="22" t="n">
        <v>1.98765</v>
      </c>
      <c r="H24" s="22" t="n">
        <v>0.5475100000000001</v>
      </c>
      <c r="I24" s="22" t="n">
        <v>1.87224</v>
      </c>
      <c r="J24" s="2" t="n"/>
      <c r="K24" s="2" t="n"/>
      <c r="L24" s="2" t="n"/>
      <c r="M24" s="2" t="n"/>
    </row>
    <row r="25">
      <c r="A25" s="12" t="n">
        <v>173.5</v>
      </c>
      <c r="B25" s="22" t="n">
        <v>0.6328</v>
      </c>
      <c r="C25" s="22" t="n">
        <v>0.01646</v>
      </c>
      <c r="D25" s="22" t="n">
        <v>0.61634</v>
      </c>
      <c r="E25" s="22" t="n">
        <v>2.40779</v>
      </c>
      <c r="F25" s="22" t="n">
        <v>0.12515</v>
      </c>
      <c r="G25" s="22" t="n">
        <v>2.28264</v>
      </c>
      <c r="H25" s="22" t="n">
        <v>0.59972</v>
      </c>
      <c r="I25" s="22" t="n">
        <v>2.15895</v>
      </c>
      <c r="J25" s="2" t="n"/>
      <c r="K25" s="2" t="n"/>
      <c r="L25" s="2" t="n"/>
      <c r="M25" s="2" t="n"/>
    </row>
    <row r="26">
      <c r="A26" s="12" t="n">
        <v>174</v>
      </c>
      <c r="B26" s="22" t="n">
        <v>0.6838</v>
      </c>
      <c r="C26" s="22" t="n">
        <v>0.01657</v>
      </c>
      <c r="D26" s="22" t="n">
        <v>0.66723</v>
      </c>
      <c r="E26" s="22" t="n">
        <v>2.73686</v>
      </c>
      <c r="F26" s="22" t="n">
        <v>0.13341</v>
      </c>
      <c r="G26" s="22" t="n">
        <v>2.60345</v>
      </c>
      <c r="H26" s="22" t="n">
        <v>0.65051</v>
      </c>
      <c r="I26" s="22" t="n">
        <v>2.47143</v>
      </c>
      <c r="J26" s="2" t="n"/>
      <c r="K26" s="2" t="n"/>
      <c r="L26" s="2" t="n"/>
      <c r="M26" s="2" t="n"/>
    </row>
    <row r="27">
      <c r="A27" s="12" t="n">
        <v>174.5</v>
      </c>
      <c r="B27" s="22" t="n">
        <v>0.7302999999999999</v>
      </c>
      <c r="C27" s="22" t="n">
        <v>0.01664</v>
      </c>
      <c r="D27" s="22" t="n">
        <v>0.71366</v>
      </c>
      <c r="E27" s="22" t="n">
        <v>3.09032</v>
      </c>
      <c r="F27" s="22" t="n">
        <v>0.14171</v>
      </c>
      <c r="G27" s="22" t="n">
        <v>2.94861</v>
      </c>
      <c r="H27" s="22" t="n">
        <v>0.69686</v>
      </c>
      <c r="I27" s="22" t="n">
        <v>2.80821</v>
      </c>
      <c r="J27" s="2" t="n"/>
      <c r="K27" s="2" t="n"/>
      <c r="L27" s="2" t="n"/>
      <c r="M27" s="2" t="n"/>
    </row>
    <row r="28">
      <c r="A28" s="12" t="n">
        <v>175</v>
      </c>
      <c r="B28" s="22" t="n">
        <v>0.7756</v>
      </c>
      <c r="C28" s="22" t="n">
        <v>0.01667</v>
      </c>
      <c r="D28" s="22" t="n">
        <v>0.75893</v>
      </c>
      <c r="E28" s="22" t="n">
        <v>3.46674</v>
      </c>
      <c r="F28" s="22" t="n">
        <v>0.15004</v>
      </c>
      <c r="G28" s="22" t="n">
        <v>3.3167</v>
      </c>
      <c r="H28" s="22" t="n">
        <v>0.74209</v>
      </c>
      <c r="I28" s="22" t="n">
        <v>3.16789</v>
      </c>
      <c r="J28" s="2" t="n"/>
      <c r="K28" s="2" t="n"/>
      <c r="L28" s="2" t="n"/>
      <c r="M28" s="2" t="n"/>
    </row>
    <row r="29">
      <c r="A29" s="12" t="n">
        <v>175.5</v>
      </c>
      <c r="B29" s="22" t="n">
        <v>0.8198</v>
      </c>
      <c r="C29" s="22" t="n">
        <v>0.01667</v>
      </c>
      <c r="D29" s="22" t="n">
        <v>0.80313</v>
      </c>
      <c r="E29" s="22" t="n">
        <v>3.86554</v>
      </c>
      <c r="F29" s="22" t="n">
        <v>0.15837</v>
      </c>
      <c r="G29" s="22" t="n">
        <v>3.70717</v>
      </c>
      <c r="H29" s="22" t="n">
        <v>0.7863</v>
      </c>
      <c r="I29" s="22" t="n">
        <v>3.54994</v>
      </c>
      <c r="J29" s="2" t="n"/>
      <c r="K29" s="2" t="n"/>
      <c r="L29" s="2" t="n"/>
      <c r="M29" s="2" t="n"/>
    </row>
    <row r="30">
      <c r="A30" s="12" t="n">
        <v>176</v>
      </c>
      <c r="B30" s="22" t="n">
        <v>0.8613</v>
      </c>
      <c r="C30" s="22" t="n">
        <v>0.01663</v>
      </c>
      <c r="D30" s="22" t="n">
        <v>0.84467</v>
      </c>
      <c r="E30" s="22" t="n">
        <v>4.28577</v>
      </c>
      <c r="F30" s="22" t="n">
        <v>0.1667</v>
      </c>
      <c r="G30" s="22" t="n">
        <v>4.11908</v>
      </c>
      <c r="H30" s="22" t="n">
        <v>0.8278799999999999</v>
      </c>
      <c r="I30" s="22" t="n">
        <v>3.95344</v>
      </c>
      <c r="J30" s="2" t="n"/>
      <c r="K30" s="2" t="n"/>
      <c r="L30" s="2" t="n"/>
      <c r="M30" s="2" t="n"/>
    </row>
    <row r="31">
      <c r="A31" s="12" t="n">
        <v>176.5</v>
      </c>
      <c r="B31" s="22" t="n">
        <v>0.9055</v>
      </c>
      <c r="C31" s="22" t="n">
        <v>0.01655</v>
      </c>
      <c r="D31" s="22" t="n">
        <v>0.88895</v>
      </c>
      <c r="E31" s="22" t="n">
        <v>4.72743</v>
      </c>
      <c r="F31" s="22" t="n">
        <v>0.17499</v>
      </c>
      <c r="G31" s="22" t="n">
        <v>4.55244</v>
      </c>
      <c r="H31" s="22" t="n">
        <v>0.87225</v>
      </c>
      <c r="I31" s="22" t="n">
        <v>4.37842</v>
      </c>
      <c r="J31" s="2" t="n"/>
      <c r="K31" s="2" t="n"/>
      <c r="L31" s="2" t="n"/>
      <c r="M31" s="2" t="n"/>
    </row>
    <row r="32">
      <c r="A32" s="12" t="n">
        <v>177</v>
      </c>
      <c r="B32" s="22" t="n">
        <v>0.9475</v>
      </c>
      <c r="C32" s="22" t="n">
        <v>0.01642</v>
      </c>
      <c r="D32" s="22" t="n">
        <v>0.93108</v>
      </c>
      <c r="E32" s="22" t="n">
        <v>5.19064</v>
      </c>
      <c r="F32" s="22" t="n">
        <v>0.18323</v>
      </c>
      <c r="G32" s="22" t="n">
        <v>5.00741</v>
      </c>
      <c r="H32" s="22" t="n">
        <v>0.9145</v>
      </c>
      <c r="I32" s="22" t="n">
        <v>4.82507</v>
      </c>
      <c r="J32" s="2" t="n"/>
      <c r="K32" s="2" t="n"/>
      <c r="L32" s="2" t="n"/>
      <c r="M32" s="2" t="n"/>
    </row>
    <row r="33">
      <c r="A33" s="12" t="n">
        <v>177.5</v>
      </c>
      <c r="B33" s="22" t="n">
        <v>0.9953</v>
      </c>
      <c r="C33" s="22" t="n">
        <v>0.01625</v>
      </c>
      <c r="D33" s="22" t="n">
        <v>0.97905</v>
      </c>
      <c r="E33" s="22" t="n">
        <v>5.67629</v>
      </c>
      <c r="F33" s="22" t="n">
        <v>0.1914</v>
      </c>
      <c r="G33" s="22" t="n">
        <v>5.48489</v>
      </c>
      <c r="H33" s="22" t="n">
        <v>0.9626400000000001</v>
      </c>
      <c r="I33" s="22" t="n">
        <v>5.2943</v>
      </c>
      <c r="J33" s="2" t="n"/>
      <c r="K33" s="2" t="n"/>
      <c r="L33" s="2" t="n"/>
      <c r="M33" s="2" t="n"/>
    </row>
    <row r="34">
      <c r="A34" s="12" t="n">
        <v>178</v>
      </c>
      <c r="B34" s="22" t="n">
        <v>1.0444</v>
      </c>
      <c r="C34" s="22" t="n">
        <v>0.01603</v>
      </c>
      <c r="D34" s="22" t="n">
        <v>1.02837</v>
      </c>
      <c r="E34" s="22" t="n">
        <v>6.18616</v>
      </c>
      <c r="F34" s="22" t="n">
        <v>0.19947</v>
      </c>
      <c r="G34" s="22" t="n">
        <v>5.98669</v>
      </c>
      <c r="H34" s="22" t="n">
        <v>1.01218</v>
      </c>
      <c r="I34" s="22" t="n">
        <v>5.78796</v>
      </c>
      <c r="J34" s="2" t="n"/>
      <c r="K34" s="2" t="n"/>
      <c r="L34" s="2" t="n"/>
      <c r="M34" s="2" t="n"/>
    </row>
    <row r="35">
      <c r="A35" s="12" t="n">
        <v>178.5</v>
      </c>
      <c r="B35" s="22" t="n">
        <v>1.1002</v>
      </c>
      <c r="C35" s="22" t="n">
        <v>0.01576</v>
      </c>
      <c r="D35" s="22" t="n">
        <v>1.08444</v>
      </c>
      <c r="E35" s="22" t="n">
        <v>6.72225</v>
      </c>
      <c r="F35" s="22" t="n">
        <v>0.20742</v>
      </c>
      <c r="G35" s="22" t="n">
        <v>6.51483</v>
      </c>
      <c r="H35" s="22" t="n">
        <v>1.06852</v>
      </c>
      <c r="I35" s="22" t="n">
        <v>6.30807</v>
      </c>
      <c r="J35" s="2" t="n"/>
      <c r="K35" s="2" t="n"/>
      <c r="L35" s="2" t="n"/>
      <c r="M35" s="2" t="n"/>
    </row>
    <row r="36">
      <c r="A36" s="12" t="n">
        <v>179</v>
      </c>
      <c r="B36" s="22" t="n">
        <v>1.1595</v>
      </c>
      <c r="C36" s="22" t="n">
        <v>0.01544</v>
      </c>
      <c r="D36" s="22" t="n">
        <v>1.14406</v>
      </c>
      <c r="E36" s="22" t="n">
        <v>7.28711</v>
      </c>
      <c r="F36" s="22" t="n">
        <v>0.21522</v>
      </c>
      <c r="G36" s="22" t="n">
        <v>7.07189</v>
      </c>
      <c r="H36" s="22" t="n">
        <v>1.12848</v>
      </c>
      <c r="I36" s="22" t="n">
        <v>6.85725</v>
      </c>
      <c r="J36" s="2" t="n"/>
      <c r="K36" s="2" t="n"/>
      <c r="L36" s="2" t="n"/>
      <c r="M36" s="2" t="n"/>
    </row>
    <row r="37">
      <c r="A37" s="12" t="n">
        <v>179.5</v>
      </c>
      <c r="B37" s="22" t="n">
        <v>1.2182</v>
      </c>
      <c r="C37" s="22" t="n">
        <v>0.01505</v>
      </c>
      <c r="D37" s="22" t="n">
        <v>1.20315</v>
      </c>
      <c r="E37" s="22" t="n">
        <v>7.88148</v>
      </c>
      <c r="F37" s="22" t="n">
        <v>0.22284</v>
      </c>
      <c r="G37" s="22" t="n">
        <v>7.65864</v>
      </c>
      <c r="H37" s="22" t="n">
        <v>1.18796</v>
      </c>
      <c r="I37" s="22" t="n">
        <v>7.4363</v>
      </c>
      <c r="J37" s="2" t="n"/>
      <c r="K37" s="2" t="n"/>
      <c r="L37" s="2" t="n"/>
      <c r="M37" s="2" t="n"/>
    </row>
    <row r="38">
      <c r="A38" s="12" t="n">
        <v>180</v>
      </c>
      <c r="B38" s="22" t="n">
        <v>1.2758</v>
      </c>
      <c r="C38" s="22" t="n">
        <v>0.01458</v>
      </c>
      <c r="D38" s="22" t="n">
        <v>1.26122</v>
      </c>
      <c r="E38" s="22" t="n">
        <v>8.50492</v>
      </c>
      <c r="F38" s="22" t="n">
        <v>0.23025</v>
      </c>
      <c r="G38" s="22" t="n">
        <v>8.27467</v>
      </c>
      <c r="H38" s="22" t="n">
        <v>1.24649</v>
      </c>
      <c r="I38" s="22" t="n">
        <v>8.04486</v>
      </c>
      <c r="J38" s="2" t="n"/>
      <c r="K38" s="2" t="n"/>
      <c r="L38" s="2" t="n"/>
      <c r="M38" s="2" t="n"/>
    </row>
    <row r="39">
      <c r="A39" s="12" t="n">
        <v>180.5</v>
      </c>
      <c r="B39" s="22" t="n">
        <v>1.3323</v>
      </c>
      <c r="C39" s="22" t="n">
        <v>0.01404</v>
      </c>
      <c r="D39" s="22" t="n">
        <v>1.31826</v>
      </c>
      <c r="E39" s="22" t="n">
        <v>9.1569</v>
      </c>
      <c r="F39" s="22" t="n">
        <v>0.2374</v>
      </c>
      <c r="G39" s="22" t="n">
        <v>8.91949</v>
      </c>
      <c r="H39" s="22" t="n">
        <v>1.30409</v>
      </c>
      <c r="I39" s="22" t="n">
        <v>8.682460000000001</v>
      </c>
      <c r="J39" s="2" t="n"/>
      <c r="K39" s="2" t="n"/>
      <c r="L39" s="2" t="n"/>
      <c r="M39" s="2" t="n"/>
    </row>
    <row r="40">
      <c r="A40" s="12" t="n">
        <v>181</v>
      </c>
      <c r="B40" s="22" t="n">
        <v>1.3922</v>
      </c>
      <c r="C40" s="22" t="n">
        <v>0.01339</v>
      </c>
      <c r="D40" s="22" t="n">
        <v>1.37881</v>
      </c>
      <c r="E40" s="22" t="n">
        <v>9.83797</v>
      </c>
      <c r="F40" s="22" t="n">
        <v>0.24426</v>
      </c>
      <c r="G40" s="22" t="n">
        <v>9.59371</v>
      </c>
      <c r="H40" s="22" t="n">
        <v>1.36529</v>
      </c>
      <c r="I40" s="22" t="n">
        <v>9.34975</v>
      </c>
      <c r="J40" s="2" t="n"/>
      <c r="K40" s="2" t="n"/>
      <c r="L40" s="2" t="n"/>
      <c r="M40" s="2" t="n"/>
    </row>
    <row r="41">
      <c r="A41" s="12" t="n">
        <v>181.5</v>
      </c>
      <c r="B41" s="22" t="n">
        <v>1.4484</v>
      </c>
      <c r="C41" s="22" t="n">
        <v>0.01262</v>
      </c>
      <c r="D41" s="22" t="n">
        <v>1.43578</v>
      </c>
      <c r="E41" s="22" t="n">
        <v>10.54807</v>
      </c>
      <c r="F41" s="22" t="n">
        <v>0.25076</v>
      </c>
      <c r="G41" s="22" t="n">
        <v>10.29731</v>
      </c>
      <c r="H41" s="22" t="n">
        <v>1.42304</v>
      </c>
      <c r="I41" s="22" t="n">
        <v>10.04678</v>
      </c>
      <c r="J41" s="2" t="n"/>
      <c r="K41" s="2" t="n"/>
      <c r="L41" s="2" t="n"/>
      <c r="M41" s="2" t="n"/>
    </row>
    <row r="42">
      <c r="A42" s="12" t="n">
        <v>182</v>
      </c>
      <c r="B42" s="22" t="n">
        <v>1.5108</v>
      </c>
      <c r="C42" s="22" t="n">
        <v>0.01169</v>
      </c>
      <c r="D42" s="22" t="n">
        <v>1.49911</v>
      </c>
      <c r="E42" s="22" t="n">
        <v>11.28781</v>
      </c>
      <c r="F42" s="22" t="n">
        <v>0.25684</v>
      </c>
      <c r="G42" s="22" t="n">
        <v>11.03098</v>
      </c>
      <c r="H42" s="22" t="n">
        <v>1.4873</v>
      </c>
      <c r="I42" s="22" t="n">
        <v>10.77431</v>
      </c>
      <c r="J42" s="2" t="n"/>
      <c r="K42" s="2" t="n"/>
      <c r="L42" s="2" t="n"/>
      <c r="M42" s="2" t="n"/>
    </row>
    <row r="43">
      <c r="A43" s="12" t="n">
        <v>182.5</v>
      </c>
      <c r="B43" s="22" t="n">
        <v>1.5652</v>
      </c>
      <c r="C43" s="22" t="n">
        <v>0.01055</v>
      </c>
      <c r="D43" s="22" t="n">
        <v>1.55465</v>
      </c>
      <c r="E43" s="22" t="n">
        <v>12.05677</v>
      </c>
      <c r="F43" s="22" t="n">
        <v>0.2624</v>
      </c>
      <c r="G43" s="22" t="n">
        <v>11.79438</v>
      </c>
      <c r="H43" s="22" t="n">
        <v>1.544</v>
      </c>
      <c r="I43" s="22" t="n">
        <v>11.5321</v>
      </c>
      <c r="J43" s="2" t="n"/>
      <c r="K43" s="2" t="n"/>
      <c r="L43" s="2" t="n"/>
      <c r="M43" s="2" t="n"/>
    </row>
    <row r="44">
      <c r="A44" s="12" t="n">
        <v>183</v>
      </c>
      <c r="B44" s="22" t="n">
        <v>1.6188</v>
      </c>
      <c r="C44" s="22" t="n">
        <v>0.00906</v>
      </c>
      <c r="D44" s="22" t="n">
        <v>1.60974</v>
      </c>
      <c r="E44" s="22" t="n">
        <v>12.85274</v>
      </c>
      <c r="F44" s="22" t="n">
        <v>0.2673</v>
      </c>
      <c r="G44" s="22" t="n">
        <v>12.58544</v>
      </c>
      <c r="H44" s="22" t="n">
        <v>1.60059</v>
      </c>
      <c r="I44" s="22" t="n">
        <v>12.31821</v>
      </c>
      <c r="J44" s="2" t="n"/>
      <c r="K44" s="2" t="n"/>
      <c r="L44" s="2" t="n"/>
      <c r="M44" s="2" t="n"/>
    </row>
    <row r="45">
      <c r="A45" s="12" t="n">
        <v>183.5</v>
      </c>
      <c r="B45" s="22" t="n">
        <v>1.6706</v>
      </c>
      <c r="C45" s="22" t="n">
        <v>0.00692</v>
      </c>
      <c r="D45" s="22" t="n">
        <v>1.66368</v>
      </c>
      <c r="E45" s="22" t="n">
        <v>13.67505</v>
      </c>
      <c r="F45" s="22" t="n">
        <v>0.2713</v>
      </c>
      <c r="G45" s="22" t="n">
        <v>13.40376</v>
      </c>
      <c r="H45" s="22" t="n">
        <v>1.6567</v>
      </c>
      <c r="I45" s="22" t="n">
        <v>13.13249</v>
      </c>
      <c r="J45" s="2" t="n"/>
      <c r="K45" s="2" t="n"/>
      <c r="L45" s="2" t="n"/>
      <c r="M45" s="2" t="n"/>
    </row>
    <row r="46">
      <c r="A46" s="12" t="n">
        <v>184</v>
      </c>
      <c r="B46" s="22" t="n">
        <v>1.722</v>
      </c>
      <c r="C46" s="22" t="n">
        <v>0</v>
      </c>
      <c r="D46" s="22" t="n">
        <v>1.722</v>
      </c>
      <c r="E46" s="22" t="n">
        <v>14.52317</v>
      </c>
      <c r="F46" s="22" t="n">
        <v>0.27302</v>
      </c>
      <c r="G46" s="22" t="n">
        <v>14.25015</v>
      </c>
      <c r="H46" s="22" t="n">
        <v>1.722</v>
      </c>
      <c r="I46" s="22" t="n">
        <v>13.97714</v>
      </c>
      <c r="J46" s="2" t="n"/>
      <c r="K46" s="2" t="n"/>
      <c r="L46" s="2" t="n"/>
      <c r="M46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Sakhin 04 -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122</v>
      </c>
      <c r="M3" s="2" t="n"/>
    </row>
    <row r="4">
      <c r="A4" s="12" t="n">
        <v>102</v>
      </c>
      <c r="B4" s="22" t="n">
        <v>0.0059</v>
      </c>
      <c r="C4" s="22" t="n">
        <v>0.0059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102.5</v>
      </c>
      <c r="B5" s="22" t="n">
        <v>0.0182</v>
      </c>
      <c r="C5" s="22" t="n">
        <v>0.00648</v>
      </c>
      <c r="D5" s="22" t="n">
        <v>0.01172</v>
      </c>
      <c r="E5" s="22" t="n">
        <v>0.00574</v>
      </c>
      <c r="F5" s="22" t="n">
        <v>0.00162</v>
      </c>
      <c r="G5" s="22" t="n">
        <v>0.00412</v>
      </c>
      <c r="H5" s="22" t="n">
        <v>0.00525</v>
      </c>
      <c r="I5" s="22" t="n">
        <v>0.00251</v>
      </c>
      <c r="J5" s="2" t="n"/>
      <c r="K5" s="2" t="n"/>
      <c r="L5" s="2">
        <f>MAX(E4:E44)*1.02</f>
        <v/>
      </c>
      <c r="M5" s="2">
        <f>L3</f>
        <v/>
      </c>
    </row>
    <row r="6">
      <c r="A6" s="12" t="n">
        <v>103</v>
      </c>
      <c r="B6" s="22" t="n">
        <v>0.0391</v>
      </c>
      <c r="C6" s="22" t="n">
        <v>0.01353</v>
      </c>
      <c r="D6" s="22" t="n">
        <v>0.02557</v>
      </c>
      <c r="E6" s="22" t="n">
        <v>0.01974</v>
      </c>
      <c r="F6" s="22" t="n">
        <v>0.00662</v>
      </c>
      <c r="G6" s="22" t="n">
        <v>0.01312</v>
      </c>
      <c r="H6" s="22" t="n">
        <v>0.01204</v>
      </c>
      <c r="I6" s="22" t="n">
        <v>0.0065</v>
      </c>
      <c r="J6" s="2" t="n"/>
      <c r="K6" s="2" t="n"/>
      <c r="L6" s="2" t="n"/>
      <c r="M6" s="2" t="n"/>
    </row>
    <row r="7">
      <c r="A7" s="12" t="n">
        <v>103.5</v>
      </c>
      <c r="B7" s="22" t="n">
        <v>0.067</v>
      </c>
      <c r="C7" s="22" t="n">
        <v>0.02027</v>
      </c>
      <c r="D7" s="22" t="n">
        <v>0.04673</v>
      </c>
      <c r="E7" s="22" t="n">
        <v>0.04595</v>
      </c>
      <c r="F7" s="22" t="n">
        <v>0.01507</v>
      </c>
      <c r="G7" s="22" t="n">
        <v>0.03088</v>
      </c>
      <c r="H7" s="22" t="n">
        <v>0.02645</v>
      </c>
      <c r="I7" s="22" t="n">
        <v>0.01581</v>
      </c>
      <c r="J7" s="2" t="n"/>
      <c r="K7" s="2">
        <f>"Original"</f>
        <v/>
      </c>
      <c r="L7" s="2" t="n"/>
      <c r="M7" s="2" t="n"/>
    </row>
    <row r="8">
      <c r="A8" s="12" t="n">
        <v>104</v>
      </c>
      <c r="B8" s="22" t="n">
        <v>0.1001</v>
      </c>
      <c r="C8" s="22" t="n">
        <v>0.02649</v>
      </c>
      <c r="D8" s="22" t="n">
        <v>0.07360999999999999</v>
      </c>
      <c r="E8" s="22" t="n">
        <v>0.08745</v>
      </c>
      <c r="F8" s="22" t="n">
        <v>0.02676</v>
      </c>
      <c r="G8" s="22" t="n">
        <v>0.06069</v>
      </c>
      <c r="H8" s="22" t="n">
        <v>0.04713</v>
      </c>
      <c r="I8" s="22" t="n">
        <v>0.03393</v>
      </c>
      <c r="J8" s="2" t="n"/>
      <c r="K8" s="2">
        <f>"After 50 years"</f>
        <v/>
      </c>
      <c r="L8" s="2" t="n"/>
      <c r="M8" s="2" t="n"/>
    </row>
    <row r="9">
      <c r="A9" s="12" t="n">
        <v>104.5</v>
      </c>
      <c r="B9" s="22" t="n">
        <v>0.137</v>
      </c>
      <c r="C9" s="22" t="n">
        <v>0.03207</v>
      </c>
      <c r="D9" s="22" t="n">
        <v>0.10493</v>
      </c>
      <c r="E9" s="22" t="n">
        <v>0.14649</v>
      </c>
      <c r="F9" s="22" t="n">
        <v>0.0414</v>
      </c>
      <c r="G9" s="22" t="n">
        <v>0.10509</v>
      </c>
      <c r="H9" s="22" t="n">
        <v>0.07285999999999999</v>
      </c>
      <c r="I9" s="22" t="n">
        <v>0.06369</v>
      </c>
      <c r="J9" s="2" t="n"/>
      <c r="K9" s="2">
        <f>"After 100 years"</f>
        <v/>
      </c>
      <c r="L9" s="2" t="n"/>
      <c r="M9" s="2" t="n"/>
    </row>
    <row r="10">
      <c r="A10" s="12" t="n">
        <v>105</v>
      </c>
      <c r="B10" s="22" t="n">
        <v>0.1839</v>
      </c>
      <c r="C10" s="22" t="n">
        <v>0.03698</v>
      </c>
      <c r="D10" s="22" t="n">
        <v>0.14692</v>
      </c>
      <c r="E10" s="22" t="n">
        <v>0.22642</v>
      </c>
      <c r="F10" s="22" t="n">
        <v>0.05866</v>
      </c>
      <c r="G10" s="22" t="n">
        <v>0.16776</v>
      </c>
      <c r="H10" s="22" t="n">
        <v>0.10995</v>
      </c>
      <c r="I10" s="22" t="n">
        <v>0.1091</v>
      </c>
      <c r="J10" s="2" t="n"/>
      <c r="K10" s="2">
        <f>"FSL "&amp;TEXT(L3,"0.0")&amp;" m"</f>
        <v/>
      </c>
      <c r="L10" s="2" t="n"/>
      <c r="M10" s="2" t="n"/>
    </row>
    <row r="11">
      <c r="A11" s="12" t="n">
        <v>105.5</v>
      </c>
      <c r="B11" s="22" t="n">
        <v>0.2234</v>
      </c>
      <c r="C11" s="22" t="n">
        <v>0.04119</v>
      </c>
      <c r="D11" s="22" t="n">
        <v>0.18221</v>
      </c>
      <c r="E11" s="22" t="n">
        <v>0.32809</v>
      </c>
      <c r="F11" s="22" t="n">
        <v>0.07820000000000001</v>
      </c>
      <c r="G11" s="22" t="n">
        <v>0.24989</v>
      </c>
      <c r="H11" s="22" t="n">
        <v>0.14101</v>
      </c>
      <c r="I11" s="22" t="n">
        <v>0.17168</v>
      </c>
      <c r="J11" s="2" t="n"/>
      <c r="K11" s="2" t="n"/>
      <c r="L11" s="2" t="n"/>
      <c r="M11" s="2" t="n"/>
    </row>
    <row r="12">
      <c r="A12" s="12" t="n">
        <v>106</v>
      </c>
      <c r="B12" s="22" t="n">
        <v>0.2659</v>
      </c>
      <c r="C12" s="22" t="n">
        <v>0.04472</v>
      </c>
      <c r="D12" s="22" t="n">
        <v>0.22118</v>
      </c>
      <c r="E12" s="22" t="n">
        <v>0.45026</v>
      </c>
      <c r="F12" s="22" t="n">
        <v>0.09968</v>
      </c>
      <c r="G12" s="22" t="n">
        <v>0.35058</v>
      </c>
      <c r="H12" s="22" t="n">
        <v>0.17646</v>
      </c>
      <c r="I12" s="22" t="n">
        <v>0.2509</v>
      </c>
      <c r="J12" s="2" t="n"/>
      <c r="K12" s="2" t="n"/>
      <c r="L12" s="2" t="n"/>
      <c r="M12" s="2" t="n"/>
    </row>
    <row r="13">
      <c r="A13" s="12" t="n">
        <v>106.5</v>
      </c>
      <c r="B13" s="22" t="n">
        <v>0.3198</v>
      </c>
      <c r="C13" s="22" t="n">
        <v>0.04757</v>
      </c>
      <c r="D13" s="22" t="n">
        <v>0.27223</v>
      </c>
      <c r="E13" s="22" t="n">
        <v>0.59648</v>
      </c>
      <c r="F13" s="22" t="n">
        <v>0.12276</v>
      </c>
      <c r="G13" s="22" t="n">
        <v>0.47372</v>
      </c>
      <c r="H13" s="22" t="n">
        <v>0.22466</v>
      </c>
      <c r="I13" s="22" t="n">
        <v>0.35097</v>
      </c>
      <c r="J13" s="2" t="n"/>
      <c r="K13" s="2" t="n"/>
      <c r="L13" s="2" t="n"/>
      <c r="M13" s="2" t="n"/>
    </row>
    <row r="14">
      <c r="A14" s="12" t="n">
        <v>107</v>
      </c>
      <c r="B14" s="22" t="n">
        <v>0.3632</v>
      </c>
      <c r="C14" s="22" t="n">
        <v>0.04977</v>
      </c>
      <c r="D14" s="22" t="n">
        <v>0.31343</v>
      </c>
      <c r="E14" s="22" t="n">
        <v>0.76711</v>
      </c>
      <c r="F14" s="22" t="n">
        <v>0.14709</v>
      </c>
      <c r="G14" s="22" t="n">
        <v>0.62002</v>
      </c>
      <c r="H14" s="22" t="n">
        <v>0.26367</v>
      </c>
      <c r="I14" s="22" t="n">
        <v>0.47293</v>
      </c>
      <c r="J14" s="2" t="n"/>
      <c r="K14" s="2" t="n"/>
      <c r="L14" s="2" t="n"/>
      <c r="M14" s="2" t="n"/>
    </row>
    <row r="15">
      <c r="A15" s="12" t="n">
        <v>107.5</v>
      </c>
      <c r="B15" s="22" t="n">
        <v>0.4059</v>
      </c>
      <c r="C15" s="22" t="n">
        <v>0.05133</v>
      </c>
      <c r="D15" s="22" t="n">
        <v>0.35457</v>
      </c>
      <c r="E15" s="22" t="n">
        <v>0.95929</v>
      </c>
      <c r="F15" s="22" t="n">
        <v>0.17236</v>
      </c>
      <c r="G15" s="22" t="n">
        <v>0.78692</v>
      </c>
      <c r="H15" s="22" t="n">
        <v>0.30324</v>
      </c>
      <c r="I15" s="22" t="n">
        <v>0.61456</v>
      </c>
      <c r="J15" s="2" t="n"/>
      <c r="K15" s="2" t="n"/>
      <c r="L15" s="2" t="n"/>
      <c r="M15" s="2" t="n"/>
    </row>
    <row r="16">
      <c r="A16" s="12" t="n">
        <v>108</v>
      </c>
      <c r="B16" s="22" t="n">
        <v>0.4533</v>
      </c>
      <c r="C16" s="22" t="n">
        <v>0.0523</v>
      </c>
      <c r="D16" s="22" t="n">
        <v>0.401</v>
      </c>
      <c r="E16" s="22" t="n">
        <v>1.17398</v>
      </c>
      <c r="F16" s="22" t="n">
        <v>0.19827</v>
      </c>
      <c r="G16" s="22" t="n">
        <v>0.97571</v>
      </c>
      <c r="H16" s="22" t="n">
        <v>0.3487</v>
      </c>
      <c r="I16" s="22" t="n">
        <v>0.77744</v>
      </c>
      <c r="J16" s="2" t="n"/>
      <c r="K16" s="2" t="n"/>
      <c r="L16" s="2" t="n"/>
      <c r="M16" s="2" t="n"/>
    </row>
    <row r="17">
      <c r="A17" s="12" t="n">
        <v>108.5</v>
      </c>
      <c r="B17" s="22" t="n">
        <v>0.5014999999999999</v>
      </c>
      <c r="C17" s="22" t="n">
        <v>0.0527</v>
      </c>
      <c r="D17" s="22" t="n">
        <v>0.4488</v>
      </c>
      <c r="E17" s="22" t="n">
        <v>1.41258</v>
      </c>
      <c r="F17" s="22" t="n">
        <v>0.22452</v>
      </c>
      <c r="G17" s="22" t="n">
        <v>1.18806</v>
      </c>
      <c r="H17" s="22" t="n">
        <v>0.3961</v>
      </c>
      <c r="I17" s="22" t="n">
        <v>0.96354</v>
      </c>
      <c r="J17" s="2" t="n"/>
      <c r="K17" s="2" t="n"/>
      <c r="L17" s="2" t="n"/>
      <c r="M17" s="2" t="n"/>
    </row>
    <row r="18">
      <c r="A18" s="12" t="n">
        <v>109</v>
      </c>
      <c r="B18" s="22" t="n">
        <v>0.5566</v>
      </c>
      <c r="C18" s="22" t="n">
        <v>0.05258</v>
      </c>
      <c r="D18" s="22" t="n">
        <v>0.50402</v>
      </c>
      <c r="E18" s="22" t="n">
        <v>1.67698</v>
      </c>
      <c r="F18" s="22" t="n">
        <v>0.25084</v>
      </c>
      <c r="G18" s="22" t="n">
        <v>1.42614</v>
      </c>
      <c r="H18" s="22" t="n">
        <v>0.45144</v>
      </c>
      <c r="I18" s="22" t="n">
        <v>1.1753</v>
      </c>
      <c r="J18" s="2" t="n"/>
      <c r="K18" s="2" t="n"/>
      <c r="L18" s="2" t="n"/>
      <c r="M18" s="2" t="n"/>
    </row>
    <row r="19">
      <c r="A19" s="12" t="n">
        <v>109.5</v>
      </c>
      <c r="B19" s="22" t="n">
        <v>0.6104000000000001</v>
      </c>
      <c r="C19" s="22" t="n">
        <v>0.05197</v>
      </c>
      <c r="D19" s="22" t="n">
        <v>0.55843</v>
      </c>
      <c r="E19" s="22" t="n">
        <v>1.96863</v>
      </c>
      <c r="F19" s="22" t="n">
        <v>0.27698</v>
      </c>
      <c r="G19" s="22" t="n">
        <v>1.69165</v>
      </c>
      <c r="H19" s="22" t="n">
        <v>0.50646</v>
      </c>
      <c r="I19" s="22" t="n">
        <v>1.41468</v>
      </c>
      <c r="J19" s="2" t="n"/>
      <c r="K19" s="2" t="n"/>
      <c r="L19" s="2" t="n"/>
      <c r="M19" s="2" t="n"/>
    </row>
    <row r="20">
      <c r="A20" s="12" t="n">
        <v>110</v>
      </c>
      <c r="B20" s="22" t="n">
        <v>0.6728</v>
      </c>
      <c r="C20" s="22" t="n">
        <v>0.05091</v>
      </c>
      <c r="D20" s="22" t="n">
        <v>0.6218900000000001</v>
      </c>
      <c r="E20" s="22" t="n">
        <v>2.2893</v>
      </c>
      <c r="F20" s="22" t="n">
        <v>0.3027</v>
      </c>
      <c r="G20" s="22" t="n">
        <v>1.98661</v>
      </c>
      <c r="H20" s="22" t="n">
        <v>0.57097</v>
      </c>
      <c r="I20" s="22" t="n">
        <v>1.68391</v>
      </c>
      <c r="J20" s="2" t="n"/>
      <c r="K20" s="2" t="n"/>
      <c r="L20" s="2" t="n"/>
      <c r="M20" s="2" t="n"/>
    </row>
    <row r="21">
      <c r="A21" s="12" t="n">
        <v>110.5</v>
      </c>
      <c r="B21" s="22" t="n">
        <v>0.7347</v>
      </c>
      <c r="C21" s="22" t="n">
        <v>0.04946</v>
      </c>
      <c r="D21" s="22" t="n">
        <v>0.68524</v>
      </c>
      <c r="E21" s="22" t="n">
        <v>2.64107</v>
      </c>
      <c r="F21" s="22" t="n">
        <v>0.32779</v>
      </c>
      <c r="G21" s="22" t="n">
        <v>2.31327</v>
      </c>
      <c r="H21" s="22" t="n">
        <v>0.63578</v>
      </c>
      <c r="I21" s="22" t="n">
        <v>1.98548</v>
      </c>
      <c r="J21" s="2" t="n"/>
      <c r="K21" s="2" t="n"/>
      <c r="L21" s="2" t="n"/>
      <c r="M21" s="2" t="n"/>
    </row>
    <row r="22">
      <c r="A22" s="12" t="n">
        <v>111</v>
      </c>
      <c r="B22" s="22" t="n">
        <v>0.791</v>
      </c>
      <c r="C22" s="22" t="n">
        <v>0.04764</v>
      </c>
      <c r="D22" s="22" t="n">
        <v>0.74336</v>
      </c>
      <c r="E22" s="22" t="n">
        <v>3.0224</v>
      </c>
      <c r="F22" s="22" t="n">
        <v>0.35207</v>
      </c>
      <c r="G22" s="22" t="n">
        <v>2.67034</v>
      </c>
      <c r="H22" s="22" t="n">
        <v>0.6957100000000001</v>
      </c>
      <c r="I22" s="22" t="n">
        <v>2.31827</v>
      </c>
      <c r="J22" s="2" t="n"/>
      <c r="K22" s="2" t="n"/>
      <c r="L22" s="2" t="n"/>
      <c r="M22" s="2" t="n"/>
    </row>
    <row r="23">
      <c r="A23" s="12" t="n">
        <v>111.5</v>
      </c>
      <c r="B23" s="22" t="n">
        <v>0.856</v>
      </c>
      <c r="C23" s="22" t="n">
        <v>0.04551</v>
      </c>
      <c r="D23" s="22" t="n">
        <v>0.81049</v>
      </c>
      <c r="E23" s="22" t="n">
        <v>3.43405</v>
      </c>
      <c r="F23" s="22" t="n">
        <v>0.37536</v>
      </c>
      <c r="G23" s="22" t="n">
        <v>3.05869</v>
      </c>
      <c r="H23" s="22" t="n">
        <v>0.76497</v>
      </c>
      <c r="I23" s="22" t="n">
        <v>2.68334</v>
      </c>
      <c r="J23" s="2" t="n"/>
      <c r="K23" s="2" t="n"/>
      <c r="L23" s="2" t="n"/>
      <c r="M23" s="2" t="n"/>
    </row>
    <row r="24">
      <c r="A24" s="12" t="n">
        <v>112</v>
      </c>
      <c r="B24" s="22" t="n">
        <v>0.9329</v>
      </c>
      <c r="C24" s="22" t="n">
        <v>0.04311</v>
      </c>
      <c r="D24" s="22" t="n">
        <v>0.88979</v>
      </c>
      <c r="E24" s="22" t="n">
        <v>3.88113</v>
      </c>
      <c r="F24" s="22" t="n">
        <v>0.39751</v>
      </c>
      <c r="G24" s="22" t="n">
        <v>3.48362</v>
      </c>
      <c r="H24" s="22" t="n">
        <v>0.84668</v>
      </c>
      <c r="I24" s="22" t="n">
        <v>3.08611</v>
      </c>
      <c r="J24" s="2" t="n"/>
      <c r="K24" s="2" t="n"/>
      <c r="L24" s="2" t="n"/>
      <c r="M24" s="2" t="n"/>
    </row>
    <row r="25">
      <c r="A25" s="12" t="n">
        <v>112.5</v>
      </c>
      <c r="B25" s="22" t="n">
        <v>1.0162</v>
      </c>
      <c r="C25" s="22" t="n">
        <v>0.04048</v>
      </c>
      <c r="D25" s="22" t="n">
        <v>0.97572</v>
      </c>
      <c r="E25" s="22" t="n">
        <v>4.36826</v>
      </c>
      <c r="F25" s="22" t="n">
        <v>0.41841</v>
      </c>
      <c r="G25" s="22" t="n">
        <v>3.94985</v>
      </c>
      <c r="H25" s="22" t="n">
        <v>0.93523</v>
      </c>
      <c r="I25" s="22" t="n">
        <v>3.53144</v>
      </c>
      <c r="J25" s="2" t="n"/>
      <c r="K25" s="2" t="n"/>
      <c r="L25" s="2" t="n"/>
      <c r="M25" s="2" t="n"/>
    </row>
    <row r="26">
      <c r="A26" s="12" t="n">
        <v>113</v>
      </c>
      <c r="B26" s="22" t="n">
        <v>1.1035</v>
      </c>
      <c r="C26" s="22" t="n">
        <v>0.03767</v>
      </c>
      <c r="D26" s="22" t="n">
        <v>1.06583</v>
      </c>
      <c r="E26" s="22" t="n">
        <v>4.89804</v>
      </c>
      <c r="F26" s="22" t="n">
        <v>0.43795</v>
      </c>
      <c r="G26" s="22" t="n">
        <v>4.46009</v>
      </c>
      <c r="H26" s="22" t="n">
        <v>1.02815</v>
      </c>
      <c r="I26" s="22" t="n">
        <v>4.02214</v>
      </c>
      <c r="J26" s="2" t="n"/>
      <c r="K26" s="2" t="n"/>
      <c r="L26" s="2" t="n"/>
      <c r="M26" s="2" t="n"/>
    </row>
    <row r="27">
      <c r="A27" s="12" t="n">
        <v>113.5</v>
      </c>
      <c r="B27" s="22" t="n">
        <v>1.1985</v>
      </c>
      <c r="C27" s="22" t="n">
        <v>0.03473</v>
      </c>
      <c r="D27" s="22" t="n">
        <v>1.16377</v>
      </c>
      <c r="E27" s="22" t="n">
        <v>5.47337</v>
      </c>
      <c r="F27" s="22" t="n">
        <v>0.45605</v>
      </c>
      <c r="G27" s="22" t="n">
        <v>5.01732</v>
      </c>
      <c r="H27" s="22" t="n">
        <v>1.12905</v>
      </c>
      <c r="I27" s="22" t="n">
        <v>4.56127</v>
      </c>
      <c r="J27" s="2" t="n"/>
      <c r="K27" s="2" t="n"/>
      <c r="L27" s="2" t="n"/>
      <c r="M27" s="2" t="n"/>
    </row>
    <row r="28">
      <c r="A28" s="12" t="n">
        <v>114</v>
      </c>
      <c r="B28" s="22" t="n">
        <v>1.2991</v>
      </c>
      <c r="C28" s="22" t="n">
        <v>0.03168</v>
      </c>
      <c r="D28" s="22" t="n">
        <v>1.26742</v>
      </c>
      <c r="E28" s="22" t="n">
        <v>6.0976</v>
      </c>
      <c r="F28" s="22" t="n">
        <v>0.47265</v>
      </c>
      <c r="G28" s="22" t="n">
        <v>5.62495</v>
      </c>
      <c r="H28" s="22" t="n">
        <v>1.23574</v>
      </c>
      <c r="I28" s="22" t="n">
        <v>5.1523</v>
      </c>
      <c r="J28" s="2" t="n"/>
      <c r="K28" s="2" t="n"/>
      <c r="L28" s="2" t="n"/>
      <c r="M28" s="2" t="n"/>
    </row>
    <row r="29">
      <c r="A29" s="12" t="n">
        <v>114.5</v>
      </c>
      <c r="B29" s="22" t="n">
        <v>1.3903</v>
      </c>
      <c r="C29" s="22" t="n">
        <v>0.02859</v>
      </c>
      <c r="D29" s="22" t="n">
        <v>1.36171</v>
      </c>
      <c r="E29" s="22" t="n">
        <v>6.76983</v>
      </c>
      <c r="F29" s="22" t="n">
        <v>0.48772</v>
      </c>
      <c r="G29" s="22" t="n">
        <v>6.28211</v>
      </c>
      <c r="H29" s="22" t="n">
        <v>1.33312</v>
      </c>
      <c r="I29" s="22" t="n">
        <v>5.79439</v>
      </c>
      <c r="J29" s="2" t="n"/>
      <c r="K29" s="2" t="n"/>
      <c r="L29" s="2" t="n"/>
      <c r="M29" s="2" t="n"/>
    </row>
    <row r="30">
      <c r="A30" s="12" t="n">
        <v>115</v>
      </c>
      <c r="B30" s="22" t="n">
        <v>1.4812</v>
      </c>
      <c r="C30" s="22" t="n">
        <v>0.02548</v>
      </c>
      <c r="D30" s="22" t="n">
        <v>1.45572</v>
      </c>
      <c r="E30" s="22" t="n">
        <v>7.48758</v>
      </c>
      <c r="F30" s="22" t="n">
        <v>0.50124</v>
      </c>
      <c r="G30" s="22" t="n">
        <v>6.98634</v>
      </c>
      <c r="H30" s="22" t="n">
        <v>1.43023</v>
      </c>
      <c r="I30" s="22" t="n">
        <v>6.48511</v>
      </c>
      <c r="J30" s="2" t="n"/>
      <c r="K30" s="2" t="n"/>
      <c r="L30" s="2" t="n"/>
      <c r="M30" s="2" t="n"/>
    </row>
    <row r="31">
      <c r="A31" s="12" t="n">
        <v>115.5</v>
      </c>
      <c r="B31" s="22" t="n">
        <v>1.5739</v>
      </c>
      <c r="C31" s="22" t="n">
        <v>0.02241</v>
      </c>
      <c r="D31" s="22" t="n">
        <v>1.55149</v>
      </c>
      <c r="E31" s="22" t="n">
        <v>8.251239999999999</v>
      </c>
      <c r="F31" s="22" t="n">
        <v>0.5132100000000001</v>
      </c>
      <c r="G31" s="22" t="n">
        <v>7.73803</v>
      </c>
      <c r="H31" s="22" t="n">
        <v>1.52908</v>
      </c>
      <c r="I31" s="22" t="n">
        <v>7.22482</v>
      </c>
      <c r="J31" s="2" t="n"/>
      <c r="K31" s="2" t="n"/>
      <c r="L31" s="2" t="n"/>
      <c r="M31" s="2" t="n"/>
    </row>
    <row r="32">
      <c r="A32" s="12" t="n">
        <v>116</v>
      </c>
      <c r="B32" s="22" t="n">
        <v>1.673</v>
      </c>
      <c r="C32" s="22" t="n">
        <v>0.01941</v>
      </c>
      <c r="D32" s="22" t="n">
        <v>1.65359</v>
      </c>
      <c r="E32" s="22" t="n">
        <v>9.06284</v>
      </c>
      <c r="F32" s="22" t="n">
        <v>0.52366</v>
      </c>
      <c r="G32" s="22" t="n">
        <v>8.53917</v>
      </c>
      <c r="H32" s="22" t="n">
        <v>1.63419</v>
      </c>
      <c r="I32" s="22" t="n">
        <v>8.015510000000001</v>
      </c>
      <c r="J32" s="2" t="n"/>
      <c r="K32" s="2" t="n"/>
      <c r="L32" s="2" t="n"/>
      <c r="M32" s="2" t="n"/>
    </row>
    <row r="33">
      <c r="A33" s="12" t="n">
        <v>116.5</v>
      </c>
      <c r="B33" s="22" t="n">
        <v>1.7729</v>
      </c>
      <c r="C33" s="22" t="n">
        <v>0.01651</v>
      </c>
      <c r="D33" s="22" t="n">
        <v>1.75639</v>
      </c>
      <c r="E33" s="22" t="n">
        <v>9.924189999999999</v>
      </c>
      <c r="F33" s="22" t="n">
        <v>0.53264</v>
      </c>
      <c r="G33" s="22" t="n">
        <v>9.391550000000001</v>
      </c>
      <c r="H33" s="22" t="n">
        <v>1.73988</v>
      </c>
      <c r="I33" s="22" t="n">
        <v>8.8589</v>
      </c>
      <c r="J33" s="2" t="n"/>
      <c r="K33" s="2" t="n"/>
      <c r="L33" s="2" t="n"/>
      <c r="M33" s="2" t="n"/>
    </row>
    <row r="34">
      <c r="A34" s="12" t="n">
        <v>117</v>
      </c>
      <c r="B34" s="22" t="n">
        <v>1.8573</v>
      </c>
      <c r="C34" s="22" t="n">
        <v>0.01376</v>
      </c>
      <c r="D34" s="22" t="n">
        <v>1.84354</v>
      </c>
      <c r="E34" s="22" t="n">
        <v>10.83166</v>
      </c>
      <c r="F34" s="22" t="n">
        <v>0.54021</v>
      </c>
      <c r="G34" s="22" t="n">
        <v>10.29145</v>
      </c>
      <c r="H34" s="22" t="n">
        <v>1.82977</v>
      </c>
      <c r="I34" s="22" t="n">
        <v>9.75123</v>
      </c>
      <c r="J34" s="2" t="n"/>
      <c r="K34" s="2" t="n"/>
      <c r="L34" s="2" t="n"/>
      <c r="M34" s="2" t="n"/>
    </row>
    <row r="35">
      <c r="A35" s="12" t="n">
        <v>117.5</v>
      </c>
      <c r="B35" s="22" t="n">
        <v>1.9462</v>
      </c>
      <c r="C35" s="22" t="n">
        <v>0.01119</v>
      </c>
      <c r="D35" s="22" t="n">
        <v>1.93501</v>
      </c>
      <c r="E35" s="22" t="n">
        <v>11.78245</v>
      </c>
      <c r="F35" s="22" t="n">
        <v>0.54645</v>
      </c>
      <c r="G35" s="22" t="n">
        <v>11.236</v>
      </c>
      <c r="H35" s="22" t="n">
        <v>1.92382</v>
      </c>
      <c r="I35" s="22" t="n">
        <v>10.68955</v>
      </c>
      <c r="J35" s="2" t="n"/>
      <c r="K35" s="2" t="n"/>
      <c r="L35" s="2" t="n"/>
      <c r="M35" s="2" t="n"/>
    </row>
    <row r="36">
      <c r="A36" s="12" t="n">
        <v>118</v>
      </c>
      <c r="B36" s="22" t="n">
        <v>2.0518</v>
      </c>
      <c r="C36" s="22" t="n">
        <v>0.008829999999999999</v>
      </c>
      <c r="D36" s="22" t="n">
        <v>2.04297</v>
      </c>
      <c r="E36" s="22" t="n">
        <v>12.78183</v>
      </c>
      <c r="F36" s="22" t="n">
        <v>0.55146</v>
      </c>
      <c r="G36" s="22" t="n">
        <v>12.23037</v>
      </c>
      <c r="H36" s="22" t="n">
        <v>2.03413</v>
      </c>
      <c r="I36" s="22" t="n">
        <v>11.67892</v>
      </c>
      <c r="J36" s="2" t="n"/>
      <c r="K36" s="2" t="n"/>
      <c r="L36" s="2" t="n"/>
      <c r="M36" s="2" t="n"/>
    </row>
    <row r="37">
      <c r="A37" s="12" t="n">
        <v>118.5</v>
      </c>
      <c r="B37" s="22" t="n">
        <v>2.1535</v>
      </c>
      <c r="C37" s="22" t="n">
        <v>0.00671</v>
      </c>
      <c r="D37" s="22" t="n">
        <v>2.14679</v>
      </c>
      <c r="E37" s="22" t="n">
        <v>13.83305</v>
      </c>
      <c r="F37" s="22" t="n">
        <v>0.5553399999999999</v>
      </c>
      <c r="G37" s="22" t="n">
        <v>13.27771</v>
      </c>
      <c r="H37" s="22" t="n">
        <v>2.14007</v>
      </c>
      <c r="I37" s="22" t="n">
        <v>12.72237</v>
      </c>
      <c r="J37" s="2" t="n"/>
      <c r="K37" s="2" t="n"/>
      <c r="L37" s="2" t="n"/>
      <c r="M37" s="2" t="n"/>
    </row>
    <row r="38">
      <c r="A38" s="12" t="n">
        <v>119</v>
      </c>
      <c r="B38" s="22" t="n">
        <v>2.2513</v>
      </c>
      <c r="C38" s="22" t="n">
        <v>0.00486</v>
      </c>
      <c r="D38" s="22" t="n">
        <v>2.24644</v>
      </c>
      <c r="E38" s="22" t="n">
        <v>14.93416</v>
      </c>
      <c r="F38" s="22" t="n">
        <v>0.55824</v>
      </c>
      <c r="G38" s="22" t="n">
        <v>14.37593</v>
      </c>
      <c r="H38" s="22" t="n">
        <v>2.24158</v>
      </c>
      <c r="I38" s="22" t="n">
        <v>13.81769</v>
      </c>
      <c r="J38" s="2" t="n"/>
      <c r="K38" s="2" t="n"/>
      <c r="L38" s="2" t="n"/>
      <c r="M38" s="2" t="n"/>
    </row>
    <row r="39">
      <c r="A39" s="12" t="n">
        <v>119.5</v>
      </c>
      <c r="B39" s="22" t="n">
        <v>2.3525</v>
      </c>
      <c r="C39" s="22" t="n">
        <v>0.00329</v>
      </c>
      <c r="D39" s="22" t="n">
        <v>2.34921</v>
      </c>
      <c r="E39" s="22" t="n">
        <v>16.08502</v>
      </c>
      <c r="F39" s="22" t="n">
        <v>0.56027</v>
      </c>
      <c r="G39" s="22" t="n">
        <v>15.52475</v>
      </c>
      <c r="H39" s="22" t="n">
        <v>2.34592</v>
      </c>
      <c r="I39" s="22" t="n">
        <v>14.96447</v>
      </c>
      <c r="J39" s="2" t="n"/>
      <c r="K39" s="2" t="n"/>
      <c r="L39" s="2" t="n"/>
      <c r="M39" s="2" t="n"/>
    </row>
    <row r="40">
      <c r="A40" s="12" t="n">
        <v>120</v>
      </c>
      <c r="B40" s="22" t="n">
        <v>2.4496</v>
      </c>
      <c r="C40" s="22" t="n">
        <v>0.00203</v>
      </c>
      <c r="D40" s="22" t="n">
        <v>2.44757</v>
      </c>
      <c r="E40" s="22" t="n">
        <v>17.28546</v>
      </c>
      <c r="F40" s="22" t="n">
        <v>0.5616</v>
      </c>
      <c r="G40" s="22" t="n">
        <v>16.72386</v>
      </c>
      <c r="H40" s="22" t="n">
        <v>2.44555</v>
      </c>
      <c r="I40" s="22" t="n">
        <v>16.16226</v>
      </c>
      <c r="J40" s="2" t="n"/>
      <c r="K40" s="2" t="n"/>
      <c r="L40" s="2" t="n"/>
      <c r="M40" s="2" t="n"/>
    </row>
    <row r="41">
      <c r="A41" s="12" t="n">
        <v>120.5</v>
      </c>
      <c r="B41" s="22" t="n">
        <v>2.5488</v>
      </c>
      <c r="C41" s="22" t="n">
        <v>0.00107</v>
      </c>
      <c r="D41" s="22" t="n">
        <v>2.54773</v>
      </c>
      <c r="E41" s="22" t="n">
        <v>18.53498</v>
      </c>
      <c r="F41" s="22" t="n">
        <v>0.56238</v>
      </c>
      <c r="G41" s="22" t="n">
        <v>17.9726</v>
      </c>
      <c r="H41" s="22" t="n">
        <v>2.54666</v>
      </c>
      <c r="I41" s="22" t="n">
        <v>17.41023</v>
      </c>
      <c r="J41" s="2" t="n"/>
      <c r="K41" s="2" t="n"/>
      <c r="L41" s="2" t="n"/>
      <c r="M41" s="2" t="n"/>
    </row>
    <row r="42">
      <c r="A42" s="12" t="n">
        <v>121</v>
      </c>
      <c r="B42" s="22" t="n">
        <v>2.6535</v>
      </c>
      <c r="C42" s="22" t="n">
        <v>0.00043</v>
      </c>
      <c r="D42" s="22" t="n">
        <v>2.65307</v>
      </c>
      <c r="E42" s="22" t="n">
        <v>19.83547</v>
      </c>
      <c r="F42" s="22" t="n">
        <v>0.56275</v>
      </c>
      <c r="G42" s="22" t="n">
        <v>19.27272</v>
      </c>
      <c r="H42" s="22" t="n">
        <v>2.65264</v>
      </c>
      <c r="I42" s="22" t="n">
        <v>18.70996</v>
      </c>
      <c r="J42" s="2" t="n"/>
      <c r="K42" s="2" t="n"/>
      <c r="L42" s="2" t="n"/>
      <c r="M42" s="2" t="n"/>
    </row>
    <row r="43">
      <c r="A43" s="12" t="n">
        <v>121.5</v>
      </c>
      <c r="B43" s="22" t="n">
        <v>2.7684</v>
      </c>
      <c r="C43" s="22" t="n">
        <v>9.000000000000001e-05</v>
      </c>
      <c r="D43" s="22" t="n">
        <v>2.76831</v>
      </c>
      <c r="E43" s="22" t="n">
        <v>21.19084</v>
      </c>
      <c r="F43" s="22" t="n">
        <v>0.56288</v>
      </c>
      <c r="G43" s="22" t="n">
        <v>20.62796</v>
      </c>
      <c r="H43" s="22" t="n">
        <v>2.76822</v>
      </c>
      <c r="I43" s="22" t="n">
        <v>20.06507</v>
      </c>
      <c r="J43" s="2" t="n"/>
      <c r="K43" s="2" t="n"/>
      <c r="L43" s="2" t="n"/>
      <c r="M43" s="2" t="n"/>
    </row>
    <row r="44">
      <c r="A44" s="12" t="n">
        <v>122</v>
      </c>
      <c r="B44" s="22" t="n">
        <v>2.8917</v>
      </c>
      <c r="C44" s="22" t="n">
        <v>0</v>
      </c>
      <c r="D44" s="22" t="n">
        <v>2.8917</v>
      </c>
      <c r="E44" s="22" t="n">
        <v>22.60576</v>
      </c>
      <c r="F44" s="22" t="n">
        <v>0.56291</v>
      </c>
      <c r="G44" s="22" t="n">
        <v>22.04285</v>
      </c>
      <c r="H44" s="22" t="n">
        <v>2.8917</v>
      </c>
      <c r="I44" s="22" t="n">
        <v>21.47994</v>
      </c>
      <c r="J44" s="2" t="n"/>
      <c r="K44" s="2" t="n"/>
      <c r="L44" s="2" t="n"/>
      <c r="M44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Sakhin 08 - original and revised elevation-area-capacity (Empirical Area-Reduction Method)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48" customHeight="1">
      <c r="A3" s="8" t="inlineStr">
        <is>
          <t>Elevation (m)</t>
        </is>
      </c>
      <c r="B3" s="8" t="inlineStr">
        <is>
          <t>Original area (km²)</t>
        </is>
      </c>
      <c r="C3" s="8" t="inlineStr">
        <is>
          <t>Sediment area 50 yr (km²)</t>
        </is>
      </c>
      <c r="D3" s="8" t="inlineStr">
        <is>
          <t>Revised area 50 yr (km²)</t>
        </is>
      </c>
      <c r="E3" s="8" t="inlineStr">
        <is>
          <t>Original capacity (Mm³)</t>
        </is>
      </c>
      <c r="F3" s="8" t="inlineStr">
        <is>
          <t>Sediment below 50 yr (Mm³)</t>
        </is>
      </c>
      <c r="G3" s="8" t="inlineStr">
        <is>
          <t>Revised capacity 50 yr (Mm³)</t>
        </is>
      </c>
      <c r="H3" s="8" t="inlineStr">
        <is>
          <t>Revised area 100 yr (km²)</t>
        </is>
      </c>
      <c r="I3" s="8" t="inlineStr">
        <is>
          <t>Revised capacity 100 yr (Mm³)</t>
        </is>
      </c>
      <c r="J3" s="2" t="n"/>
      <c r="K3" s="2" t="inlineStr">
        <is>
          <t>FSL (m)</t>
        </is>
      </c>
      <c r="L3" s="21" t="n">
        <v>139</v>
      </c>
      <c r="M3" s="2" t="n"/>
    </row>
    <row r="4">
      <c r="A4" s="12" t="n">
        <v>126.5</v>
      </c>
      <c r="B4" s="22" t="n">
        <v>0.0008</v>
      </c>
      <c r="C4" s="22" t="n">
        <v>0.0008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" t="n"/>
      <c r="K4" s="2" t="inlineStr">
        <is>
          <t>x for FSL line</t>
        </is>
      </c>
      <c r="L4" s="2" t="n">
        <v>0</v>
      </c>
      <c r="M4" s="2">
        <f>L3</f>
        <v/>
      </c>
    </row>
    <row r="5">
      <c r="A5" s="12" t="n">
        <v>127</v>
      </c>
      <c r="B5" s="22" t="n">
        <v>0.0026</v>
      </c>
      <c r="C5" s="22" t="n">
        <v>0.0026</v>
      </c>
      <c r="D5" s="22" t="n">
        <v>0</v>
      </c>
      <c r="E5" s="22" t="n">
        <v>0.00081</v>
      </c>
      <c r="F5" s="22" t="n">
        <v>0.00081</v>
      </c>
      <c r="G5" s="22" t="n">
        <v>0</v>
      </c>
      <c r="H5" s="22" t="n">
        <v>0</v>
      </c>
      <c r="I5" s="22" t="n">
        <v>0</v>
      </c>
      <c r="J5" s="2" t="n"/>
      <c r="K5" s="2" t="n"/>
      <c r="L5" s="2">
        <f>MAX(E4:E29)*1.02</f>
        <v/>
      </c>
      <c r="M5" s="2">
        <f>L3</f>
        <v/>
      </c>
    </row>
    <row r="6">
      <c r="A6" s="12" t="n">
        <v>127.5</v>
      </c>
      <c r="B6" s="22" t="n">
        <v>0.007900000000000001</v>
      </c>
      <c r="C6" s="22" t="n">
        <v>0.007900000000000001</v>
      </c>
      <c r="D6" s="22" t="n">
        <v>0</v>
      </c>
      <c r="E6" s="22" t="n">
        <v>0.00331</v>
      </c>
      <c r="F6" s="22" t="n">
        <v>0.00331</v>
      </c>
      <c r="G6" s="22" t="n">
        <v>0</v>
      </c>
      <c r="H6" s="22" t="n">
        <v>0</v>
      </c>
      <c r="I6" s="22" t="n">
        <v>0</v>
      </c>
      <c r="J6" s="2" t="n"/>
      <c r="K6" s="2" t="n"/>
      <c r="L6" s="2" t="n"/>
      <c r="M6" s="2" t="n"/>
    </row>
    <row r="7">
      <c r="A7" s="12" t="n">
        <v>128</v>
      </c>
      <c r="B7" s="22" t="n">
        <v>0.0155</v>
      </c>
      <c r="C7" s="22" t="n">
        <v>0.0155</v>
      </c>
      <c r="D7" s="22" t="n">
        <v>0</v>
      </c>
      <c r="E7" s="22" t="n">
        <v>0.00906</v>
      </c>
      <c r="F7" s="22" t="n">
        <v>0.00906</v>
      </c>
      <c r="G7" s="22" t="n">
        <v>0</v>
      </c>
      <c r="H7" s="22" t="n">
        <v>0</v>
      </c>
      <c r="I7" s="22" t="n">
        <v>0</v>
      </c>
      <c r="J7" s="2" t="n"/>
      <c r="K7" s="2">
        <f>"Original"</f>
        <v/>
      </c>
      <c r="L7" s="2" t="n"/>
      <c r="M7" s="2" t="n"/>
    </row>
    <row r="8">
      <c r="A8" s="12" t="n">
        <v>128.5</v>
      </c>
      <c r="B8" s="22" t="n">
        <v>0.0291</v>
      </c>
      <c r="C8" s="22" t="n">
        <v>0.0291</v>
      </c>
      <c r="D8" s="22" t="n">
        <v>0</v>
      </c>
      <c r="E8" s="22" t="n">
        <v>0.02003</v>
      </c>
      <c r="F8" s="22" t="n">
        <v>0.02003</v>
      </c>
      <c r="G8" s="22" t="n">
        <v>0</v>
      </c>
      <c r="H8" s="22" t="n">
        <v>0</v>
      </c>
      <c r="I8" s="22" t="n">
        <v>0</v>
      </c>
      <c r="J8" s="2" t="n"/>
      <c r="K8" s="2">
        <f>"After 50 years"</f>
        <v/>
      </c>
      <c r="L8" s="2" t="n"/>
      <c r="M8" s="2" t="n"/>
    </row>
    <row r="9">
      <c r="A9" s="12" t="n">
        <v>129</v>
      </c>
      <c r="B9" s="22" t="n">
        <v>0.0493</v>
      </c>
      <c r="C9" s="22" t="n">
        <v>0.04681</v>
      </c>
      <c r="D9" s="22" t="n">
        <v>0.00249</v>
      </c>
      <c r="E9" s="22" t="n">
        <v>0.03941</v>
      </c>
      <c r="F9" s="22" t="n">
        <v>0.04008</v>
      </c>
      <c r="G9" s="22" t="n">
        <v>0</v>
      </c>
      <c r="H9" s="22" t="n">
        <v>0</v>
      </c>
      <c r="I9" s="22" t="n">
        <v>0</v>
      </c>
      <c r="J9" s="2" t="n"/>
      <c r="K9" s="2">
        <f>"After 100 years"</f>
        <v/>
      </c>
      <c r="L9" s="2" t="n"/>
      <c r="M9" s="2" t="n"/>
    </row>
    <row r="10">
      <c r="A10" s="12" t="n">
        <v>129.5</v>
      </c>
      <c r="B10" s="22" t="n">
        <v>0.0795</v>
      </c>
      <c r="C10" s="22" t="n">
        <v>0.05085</v>
      </c>
      <c r="D10" s="22" t="n">
        <v>0.02865</v>
      </c>
      <c r="E10" s="22" t="n">
        <v>0.07131</v>
      </c>
      <c r="F10" s="22" t="n">
        <v>0.06449000000000001</v>
      </c>
      <c r="G10" s="22" t="n">
        <v>0.00682</v>
      </c>
      <c r="H10" s="22" t="n">
        <v>0</v>
      </c>
      <c r="I10" s="22" t="n">
        <v>0</v>
      </c>
      <c r="J10" s="2" t="n"/>
      <c r="K10" s="2">
        <f>"FSL "&amp;TEXT(L3,"0.0")&amp;" m"</f>
        <v/>
      </c>
      <c r="L10" s="2" t="n"/>
      <c r="M10" s="2" t="n"/>
    </row>
    <row r="11">
      <c r="A11" s="12" t="n">
        <v>130</v>
      </c>
      <c r="B11" s="22" t="n">
        <v>0.1207</v>
      </c>
      <c r="C11" s="22" t="n">
        <v>0.05431</v>
      </c>
      <c r="D11" s="22" t="n">
        <v>0.06639</v>
      </c>
      <c r="E11" s="22" t="n">
        <v>0.121</v>
      </c>
      <c r="F11" s="22" t="n">
        <v>0.09078</v>
      </c>
      <c r="G11" s="22" t="n">
        <v>0.03022</v>
      </c>
      <c r="H11" s="22" t="n">
        <v>0.00586</v>
      </c>
      <c r="I11" s="22" t="n">
        <v>0</v>
      </c>
      <c r="J11" s="2" t="n"/>
      <c r="K11" s="2" t="n"/>
      <c r="L11" s="2" t="n"/>
      <c r="M11" s="2" t="n"/>
    </row>
    <row r="12">
      <c r="A12" s="12" t="n">
        <v>130.5</v>
      </c>
      <c r="B12" s="22" t="n">
        <v>0.1694</v>
      </c>
      <c r="C12" s="22" t="n">
        <v>0.05724</v>
      </c>
      <c r="D12" s="22" t="n">
        <v>0.11216</v>
      </c>
      <c r="E12" s="22" t="n">
        <v>0.19318</v>
      </c>
      <c r="F12" s="22" t="n">
        <v>0.11867</v>
      </c>
      <c r="G12" s="22" t="n">
        <v>0.07451000000000001</v>
      </c>
      <c r="H12" s="22" t="n">
        <v>0.04835</v>
      </c>
      <c r="I12" s="22" t="n">
        <v>0.01181</v>
      </c>
      <c r="J12" s="2" t="n"/>
      <c r="K12" s="2" t="n"/>
      <c r="L12" s="2" t="n"/>
      <c r="M12" s="2" t="n"/>
    </row>
    <row r="13">
      <c r="A13" s="12" t="n">
        <v>131</v>
      </c>
      <c r="B13" s="22" t="n">
        <v>0.2261</v>
      </c>
      <c r="C13" s="22" t="n">
        <v>0.05971</v>
      </c>
      <c r="D13" s="22" t="n">
        <v>0.16639</v>
      </c>
      <c r="E13" s="22" t="n">
        <v>0.29172</v>
      </c>
      <c r="F13" s="22" t="n">
        <v>0.14791</v>
      </c>
      <c r="G13" s="22" t="n">
        <v>0.14381</v>
      </c>
      <c r="H13" s="22" t="n">
        <v>0.09982000000000001</v>
      </c>
      <c r="I13" s="22" t="n">
        <v>0.04851</v>
      </c>
      <c r="J13" s="2" t="n"/>
      <c r="K13" s="2" t="n"/>
      <c r="L13" s="2" t="n"/>
      <c r="M13" s="2" t="n"/>
    </row>
    <row r="14">
      <c r="A14" s="12" t="n">
        <v>131.5</v>
      </c>
      <c r="B14" s="22" t="n">
        <v>0.2887</v>
      </c>
      <c r="C14" s="22" t="n">
        <v>0.06175</v>
      </c>
      <c r="D14" s="22" t="n">
        <v>0.22695</v>
      </c>
      <c r="E14" s="22" t="n">
        <v>0.4201</v>
      </c>
      <c r="F14" s="22" t="n">
        <v>0.17828</v>
      </c>
      <c r="G14" s="22" t="n">
        <v>0.24182</v>
      </c>
      <c r="H14" s="22" t="n">
        <v>0.15811</v>
      </c>
      <c r="I14" s="22" t="n">
        <v>0.11267</v>
      </c>
      <c r="J14" s="2" t="n"/>
      <c r="K14" s="2" t="n"/>
      <c r="L14" s="2" t="n"/>
      <c r="M14" s="2" t="n"/>
    </row>
    <row r="15">
      <c r="A15" s="12" t="n">
        <v>132</v>
      </c>
      <c r="B15" s="22" t="n">
        <v>0.3527</v>
      </c>
      <c r="C15" s="22" t="n">
        <v>0.06338000000000001</v>
      </c>
      <c r="D15" s="22" t="n">
        <v>0.28932</v>
      </c>
      <c r="E15" s="22" t="n">
        <v>0.58018</v>
      </c>
      <c r="F15" s="22" t="n">
        <v>0.20956</v>
      </c>
      <c r="G15" s="22" t="n">
        <v>0.37062</v>
      </c>
      <c r="H15" s="22" t="n">
        <v>0.21866</v>
      </c>
      <c r="I15" s="22" t="n">
        <v>0.2066</v>
      </c>
      <c r="J15" s="2" t="n"/>
      <c r="K15" s="2" t="n"/>
      <c r="L15" s="2" t="n"/>
      <c r="M15" s="2" t="n"/>
    </row>
    <row r="16">
      <c r="A16" s="12" t="n">
        <v>132.5</v>
      </c>
      <c r="B16" s="22" t="n">
        <v>0.4184</v>
      </c>
      <c r="C16" s="22" t="n">
        <v>0.06461</v>
      </c>
      <c r="D16" s="22" t="n">
        <v>0.35379</v>
      </c>
      <c r="E16" s="22" t="n">
        <v>0.77273</v>
      </c>
      <c r="F16" s="22" t="n">
        <v>0.24156</v>
      </c>
      <c r="G16" s="22" t="n">
        <v>0.53116</v>
      </c>
      <c r="H16" s="22" t="n">
        <v>0.28176</v>
      </c>
      <c r="I16" s="22" t="n">
        <v>0.33147</v>
      </c>
      <c r="J16" s="2" t="n"/>
      <c r="K16" s="2" t="n"/>
      <c r="L16" s="2" t="n"/>
      <c r="M16" s="2" t="n"/>
    </row>
    <row r="17">
      <c r="A17" s="12" t="n">
        <v>133</v>
      </c>
      <c r="B17" s="22" t="n">
        <v>0.4953</v>
      </c>
      <c r="C17" s="22" t="n">
        <v>0.06544999999999999</v>
      </c>
      <c r="D17" s="22" t="n">
        <v>0.42985</v>
      </c>
      <c r="E17" s="22" t="n">
        <v>1.00088</v>
      </c>
      <c r="F17" s="22" t="n">
        <v>0.27408</v>
      </c>
      <c r="G17" s="22" t="n">
        <v>0.7268</v>
      </c>
      <c r="H17" s="22" t="n">
        <v>0.3569</v>
      </c>
      <c r="I17" s="22" t="n">
        <v>0.49086</v>
      </c>
      <c r="J17" s="2" t="n"/>
      <c r="K17" s="2" t="n"/>
      <c r="L17" s="2" t="n"/>
      <c r="M17" s="2" t="n"/>
    </row>
    <row r="18">
      <c r="A18" s="12" t="n">
        <v>133.5</v>
      </c>
      <c r="B18" s="22" t="n">
        <v>0.5794</v>
      </c>
      <c r="C18" s="22" t="n">
        <v>0.06587999999999999</v>
      </c>
      <c r="D18" s="22" t="n">
        <v>0.51352</v>
      </c>
      <c r="E18" s="22" t="n">
        <v>1.26928</v>
      </c>
      <c r="F18" s="22" t="n">
        <v>0.30691</v>
      </c>
      <c r="G18" s="22" t="n">
        <v>0.9623699999999999</v>
      </c>
      <c r="H18" s="22" t="n">
        <v>0.44009</v>
      </c>
      <c r="I18" s="22" t="n">
        <v>0.68984</v>
      </c>
      <c r="J18" s="2" t="n"/>
      <c r="K18" s="2" t="n"/>
      <c r="L18" s="2" t="n"/>
      <c r="M18" s="2" t="n"/>
    </row>
    <row r="19">
      <c r="A19" s="12" t="n">
        <v>134</v>
      </c>
      <c r="B19" s="22" t="n">
        <v>0.681</v>
      </c>
      <c r="C19" s="22" t="n">
        <v>0.06589</v>
      </c>
      <c r="D19" s="22" t="n">
        <v>0.61511</v>
      </c>
      <c r="E19" s="22" t="n">
        <v>1.58404</v>
      </c>
      <c r="F19" s="22" t="n">
        <v>0.33985</v>
      </c>
      <c r="G19" s="22" t="n">
        <v>1.24419</v>
      </c>
      <c r="H19" s="22" t="n">
        <v>0.54165</v>
      </c>
      <c r="I19" s="22" t="n">
        <v>0.93493</v>
      </c>
      <c r="J19" s="2" t="n"/>
      <c r="K19" s="2" t="n"/>
      <c r="L19" s="2" t="n"/>
      <c r="M19" s="2" t="n"/>
    </row>
    <row r="20">
      <c r="A20" s="12" t="n">
        <v>134.5</v>
      </c>
      <c r="B20" s="22" t="n">
        <v>0.7752</v>
      </c>
      <c r="C20" s="22" t="n">
        <v>0.06547</v>
      </c>
      <c r="D20" s="22" t="n">
        <v>0.70973</v>
      </c>
      <c r="E20" s="22" t="n">
        <v>1.94783</v>
      </c>
      <c r="F20" s="22" t="n">
        <v>0.37269</v>
      </c>
      <c r="G20" s="22" t="n">
        <v>1.57514</v>
      </c>
      <c r="H20" s="22" t="n">
        <v>0.63674</v>
      </c>
      <c r="I20" s="22" t="n">
        <v>1.22927</v>
      </c>
      <c r="J20" s="2" t="n"/>
      <c r="K20" s="2" t="n"/>
      <c r="L20" s="2" t="n"/>
      <c r="M20" s="2" t="n"/>
    </row>
    <row r="21">
      <c r="A21" s="12" t="n">
        <v>135</v>
      </c>
      <c r="B21" s="22" t="n">
        <v>0.8743</v>
      </c>
      <c r="C21" s="22" t="n">
        <v>0.06458</v>
      </c>
      <c r="D21" s="22" t="n">
        <v>0.80972</v>
      </c>
      <c r="E21" s="22" t="n">
        <v>2.35996</v>
      </c>
      <c r="F21" s="22" t="n">
        <v>0.40521</v>
      </c>
      <c r="G21" s="22" t="n">
        <v>1.95476</v>
      </c>
      <c r="H21" s="22" t="n">
        <v>0.73773</v>
      </c>
      <c r="I21" s="22" t="n">
        <v>1.57264</v>
      </c>
      <c r="J21" s="2" t="n"/>
      <c r="K21" s="2" t="n"/>
      <c r="L21" s="2" t="n"/>
      <c r="M21" s="2" t="n"/>
    </row>
    <row r="22">
      <c r="A22" s="12" t="n">
        <v>135.5</v>
      </c>
      <c r="B22" s="22" t="n">
        <v>0.9695</v>
      </c>
      <c r="C22" s="22" t="n">
        <v>0.06315999999999999</v>
      </c>
      <c r="D22" s="22" t="n">
        <v>0.90634</v>
      </c>
      <c r="E22" s="22" t="n">
        <v>2.82071</v>
      </c>
      <c r="F22" s="22" t="n">
        <v>0.43714</v>
      </c>
      <c r="G22" s="22" t="n">
        <v>2.38356</v>
      </c>
      <c r="H22" s="22" t="n">
        <v>0.83593</v>
      </c>
      <c r="I22" s="22" t="n">
        <v>1.96585</v>
      </c>
      <c r="J22" s="2" t="n"/>
      <c r="K22" s="2" t="n"/>
      <c r="L22" s="2" t="n"/>
      <c r="M22" s="2" t="n"/>
    </row>
    <row r="23">
      <c r="A23" s="12" t="n">
        <v>136</v>
      </c>
      <c r="B23" s="22" t="n">
        <v>1.0678</v>
      </c>
      <c r="C23" s="22" t="n">
        <v>0.06115</v>
      </c>
      <c r="D23" s="22" t="n">
        <v>1.00665</v>
      </c>
      <c r="E23" s="22" t="n">
        <v>3.32983</v>
      </c>
      <c r="F23" s="22" t="n">
        <v>0.46822</v>
      </c>
      <c r="G23" s="22" t="n">
        <v>2.86161</v>
      </c>
      <c r="H23" s="22" t="n">
        <v>0.93848</v>
      </c>
      <c r="I23" s="22" t="n">
        <v>2.40926</v>
      </c>
      <c r="J23" s="2" t="n"/>
      <c r="K23" s="2" t="n"/>
      <c r="L23" s="2" t="n"/>
      <c r="M23" s="2" t="n"/>
    </row>
    <row r="24">
      <c r="A24" s="12" t="n">
        <v>136.5</v>
      </c>
      <c r="B24" s="22" t="n">
        <v>1.1658</v>
      </c>
      <c r="C24" s="22" t="n">
        <v>0.05843</v>
      </c>
      <c r="D24" s="22" t="n">
        <v>1.10737</v>
      </c>
      <c r="E24" s="22" t="n">
        <v>3.88805</v>
      </c>
      <c r="F24" s="22" t="n">
        <v>0.49812</v>
      </c>
      <c r="G24" s="22" t="n">
        <v>3.38994</v>
      </c>
      <c r="H24" s="22" t="n">
        <v>1.04224</v>
      </c>
      <c r="I24" s="22" t="n">
        <v>2.90426</v>
      </c>
      <c r="J24" s="2" t="n"/>
      <c r="K24" s="2" t="n"/>
      <c r="L24" s="2" t="n"/>
      <c r="M24" s="2" t="n"/>
    </row>
    <row r="25">
      <c r="A25" s="12" t="n">
        <v>137</v>
      </c>
      <c r="B25" s="22" t="n">
        <v>1.2622</v>
      </c>
      <c r="C25" s="22" t="n">
        <v>0.05483</v>
      </c>
      <c r="D25" s="22" t="n">
        <v>1.20737</v>
      </c>
      <c r="E25" s="22" t="n">
        <v>4.49489</v>
      </c>
      <c r="F25" s="22" t="n">
        <v>0.52643</v>
      </c>
      <c r="G25" s="22" t="n">
        <v>3.96847</v>
      </c>
      <c r="H25" s="22" t="n">
        <v>1.14626</v>
      </c>
      <c r="I25" s="22" t="n">
        <v>3.45122</v>
      </c>
      <c r="J25" s="2" t="n"/>
      <c r="K25" s="2" t="n"/>
      <c r="L25" s="2" t="n"/>
      <c r="M25" s="2" t="n"/>
    </row>
    <row r="26">
      <c r="A26" s="12" t="n">
        <v>137.5</v>
      </c>
      <c r="B26" s="22" t="n">
        <v>1.3703</v>
      </c>
      <c r="C26" s="22" t="n">
        <v>0.05004</v>
      </c>
      <c r="D26" s="22" t="n">
        <v>1.32026</v>
      </c>
      <c r="E26" s="22" t="n">
        <v>5.15283</v>
      </c>
      <c r="F26" s="22" t="n">
        <v>0.55265</v>
      </c>
      <c r="G26" s="22" t="n">
        <v>4.60019</v>
      </c>
      <c r="H26" s="22" t="n">
        <v>1.26449</v>
      </c>
      <c r="I26" s="22" t="n">
        <v>4.05373</v>
      </c>
      <c r="J26" s="2" t="n"/>
      <c r="K26" s="2" t="n"/>
      <c r="L26" s="2" t="n"/>
      <c r="M26" s="2" t="n"/>
    </row>
    <row r="27">
      <c r="A27" s="12" t="n">
        <v>138</v>
      </c>
      <c r="B27" s="22" t="n">
        <v>1.4827</v>
      </c>
      <c r="C27" s="22" t="n">
        <v>0.04346</v>
      </c>
      <c r="D27" s="22" t="n">
        <v>1.43924</v>
      </c>
      <c r="E27" s="22" t="n">
        <v>5.8659</v>
      </c>
      <c r="F27" s="22" t="n">
        <v>0.57602</v>
      </c>
      <c r="G27" s="22" t="n">
        <v>5.28988</v>
      </c>
      <c r="H27" s="22" t="n">
        <v>1.3908</v>
      </c>
      <c r="I27" s="22" t="n">
        <v>4.71736</v>
      </c>
      <c r="J27" s="2" t="n"/>
      <c r="K27" s="2" t="n"/>
      <c r="L27" s="2" t="n"/>
      <c r="M27" s="2" t="n"/>
    </row>
    <row r="28">
      <c r="A28" s="12" t="n">
        <v>138.5</v>
      </c>
      <c r="B28" s="22" t="n">
        <v>1.596</v>
      </c>
      <c r="C28" s="22" t="n">
        <v>0.03351</v>
      </c>
      <c r="D28" s="22" t="n">
        <v>1.56249</v>
      </c>
      <c r="E28" s="22" t="n">
        <v>6.6354</v>
      </c>
      <c r="F28" s="22" t="n">
        <v>0.59526</v>
      </c>
      <c r="G28" s="22" t="n">
        <v>6.04014</v>
      </c>
      <c r="H28" s="22" t="n">
        <v>1.52513</v>
      </c>
      <c r="I28" s="22" t="n">
        <v>5.44617</v>
      </c>
      <c r="J28" s="2" t="n"/>
      <c r="K28" s="2" t="n"/>
      <c r="L28" s="2" t="n"/>
      <c r="M28" s="2" t="n"/>
    </row>
    <row r="29">
      <c r="A29" s="12" t="n">
        <v>139</v>
      </c>
      <c r="B29" s="22" t="n">
        <v>1.712</v>
      </c>
      <c r="C29" s="22" t="n">
        <v>0</v>
      </c>
      <c r="D29" s="22" t="n">
        <v>1.712</v>
      </c>
      <c r="E29" s="22" t="n">
        <v>7.46223</v>
      </c>
      <c r="F29" s="22" t="n">
        <v>0.60364</v>
      </c>
      <c r="G29" s="22" t="n">
        <v>6.85859</v>
      </c>
      <c r="H29" s="22" t="n">
        <v>1.712</v>
      </c>
      <c r="I29" s="22" t="n">
        <v>6.25528</v>
      </c>
      <c r="J29" s="2" t="n"/>
      <c r="K29" s="2" t="n"/>
      <c r="L29" s="2" t="n"/>
      <c r="M29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2026-10-06T17:46:03Z</dcterms:created>
  <dcterms:modified xmlns:dcterms="http://purl.org/dc/terms/" xmlns:xsi="http://www.w3.org/2001/XMLSchema-instance" xsi:type="dcterms:W3CDTF">2026-10-06T17:46:03Z</dcterms:modified>
</cp:coreProperties>
</file>