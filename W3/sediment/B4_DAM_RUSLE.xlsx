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3\sediment\"/>
    </mc:Choice>
  </mc:AlternateContent>
  <xr:revisionPtr revIDLastSave="0" documentId="13_ncr:1_{2505278C-D75B-44CF-B3ED-B3B646338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4 DAM RUS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1" l="1"/>
  <c r="L10" i="1"/>
  <c r="M10" i="1" s="1"/>
  <c r="N9" i="1"/>
  <c r="L9" i="1"/>
  <c r="M9" i="1" s="1"/>
  <c r="O9" i="1" s="1"/>
  <c r="P9" i="1" s="1"/>
  <c r="N8" i="1"/>
  <c r="L8" i="1"/>
  <c r="M8" i="1" s="1"/>
  <c r="O8" i="1" s="1"/>
  <c r="P8" i="1" s="1"/>
  <c r="N7" i="1"/>
  <c r="L7" i="1"/>
  <c r="M7" i="1" s="1"/>
  <c r="O7" i="1" s="1"/>
  <c r="P7" i="1" s="1"/>
  <c r="N6" i="1"/>
  <c r="L6" i="1"/>
  <c r="M6" i="1" s="1"/>
  <c r="O6" i="1" s="1"/>
  <c r="P6" i="1" s="1"/>
  <c r="N5" i="1"/>
  <c r="L5" i="1"/>
  <c r="M5" i="1" s="1"/>
  <c r="N4" i="1"/>
  <c r="L4" i="1"/>
  <c r="M4" i="1" s="1"/>
  <c r="N3" i="1"/>
  <c r="L3" i="1"/>
  <c r="M3" i="1" s="1"/>
  <c r="L2" i="1"/>
  <c r="M2" i="1" s="1"/>
  <c r="O2" i="1" s="1"/>
  <c r="P2" i="1" s="1"/>
  <c r="O4" i="1" l="1"/>
  <c r="P4" i="1" s="1"/>
  <c r="Q4" i="1" s="1"/>
  <c r="O5" i="1"/>
  <c r="P5" i="1" s="1"/>
  <c r="O10" i="1"/>
  <c r="P10" i="1" s="1"/>
  <c r="R6" i="1"/>
  <c r="Q6" i="1"/>
  <c r="R2" i="1"/>
  <c r="Q2" i="1"/>
  <c r="Q8" i="1"/>
  <c r="R8" i="1"/>
  <c r="R9" i="1"/>
  <c r="Q9" i="1"/>
  <c r="O3" i="1"/>
  <c r="P3" i="1" s="1"/>
  <c r="R5" i="1"/>
  <c r="Q5" i="1"/>
  <c r="R7" i="1"/>
  <c r="Q7" i="1"/>
  <c r="R10" i="1"/>
  <c r="Q10" i="1"/>
  <c r="R4" i="1" l="1"/>
  <c r="Q3" i="1"/>
  <c r="R3" i="1"/>
</calcChain>
</file>

<file path=xl/sharedStrings.xml><?xml version="1.0" encoding="utf-8"?>
<sst xmlns="http://schemas.openxmlformats.org/spreadsheetml/2006/main" count="48" uniqueCount="40">
  <si>
    <t>Name</t>
  </si>
  <si>
    <t>Mean Soil Loss (t/ha/yr)</t>
  </si>
  <si>
    <t>R</t>
  </si>
  <si>
    <t>K</t>
  </si>
  <si>
    <t>LS</t>
  </si>
  <si>
    <t>C</t>
  </si>
  <si>
    <t>P</t>
  </si>
  <si>
    <t>Area km2</t>
  </si>
  <si>
    <t>Basin Relief Ratio</t>
  </si>
  <si>
    <t>CN</t>
  </si>
  <si>
    <t>SDR method</t>
  </si>
  <si>
    <t>SDR value (Williams)</t>
  </si>
  <si>
    <t>SDR used (min 0.2)</t>
  </si>
  <si>
    <t>Sediment Density 1.3-1.8 (t/m3)</t>
  </si>
  <si>
    <t>Mean Soil Loss (m3/km2/year) considering SDR</t>
  </si>
  <si>
    <t>Sediment yield used (m3/km2/yr, min 90)</t>
  </si>
  <si>
    <t>Sediment in 50 yr (Mcm)</t>
  </si>
  <si>
    <t>Sediment in 100 yr (Mcm)</t>
  </si>
  <si>
    <t>TC (min)</t>
  </si>
  <si>
    <t>Lag (min)</t>
  </si>
  <si>
    <t>Relief (m)</t>
  </si>
  <si>
    <t>Longest flow path (km)</t>
  </si>
  <si>
    <t>10-85 slope</t>
  </si>
  <si>
    <t>Basin slope</t>
  </si>
  <si>
    <t>Floors (engineer)</t>
  </si>
  <si>
    <t>Hawasinah 02</t>
  </si>
  <si>
    <t>Williams (1977)</t>
  </si>
  <si>
    <t>SDR min</t>
  </si>
  <si>
    <t>Hawasinah 11</t>
  </si>
  <si>
    <t>Yield min (m3/km2/yr)</t>
  </si>
  <si>
    <t>Hawasinah UP</t>
  </si>
  <si>
    <t>Shafan 02</t>
  </si>
  <si>
    <t>Shafan 08</t>
  </si>
  <si>
    <t>Sarami 03</t>
  </si>
  <si>
    <t>Sarami 05</t>
  </si>
  <si>
    <t>Sakhin 04</t>
  </si>
  <si>
    <t>Sakhin 08 (Mehmum)</t>
  </si>
  <si>
    <t>Blue = data, black = formulas. RUSLE factors from github.com/mojikone/RUSLE on the nine Basin 1 dam catchments (R SM2RAIN, K SoilGrids 0-5 cm Williams 1995, LS Copernicus GLO-30 Moore &amp; Burch, C Landsat 8 2017 mosaic Durigon); P = 1 (engineer).</t>
  </si>
  <si>
    <t>Williams (1977): SDR = 1.366e-11 A^-0.1 RR^0.363 CN^5.444; relief ratio = relief / longest flow path; CN area-weighted. Floors (engineer, 2026-10-06): SDR &gt;= 0.2, yield &gt;= 90 m3/km2/yr. Density 1.5 t/m3 (cell N2).</t>
  </si>
  <si>
    <t>Tc and lag by Kirpich on the longest flow path and its 10-85 slope (10 m terrain), basin slope = mean cell slope. Catchments: W3/sediment/catchments/Dam_catchments9.shp.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</si>
</sst>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FF"/>
      <name val="Arial"/>
    </font>
    <font>
      <sz val="10"/>
      <name val="Arial"/>
    </font>
    <font>
      <sz val="9"/>
      <color rgb="FF7F7F7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5" fontId="3" fillId="0" borderId="1" xfId="0" applyNumberFormat="1" applyFont="1" applyBorder="1"/>
    <xf numFmtId="167" fontId="3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4" width="13" customWidth="1"/>
  </cols>
  <sheetData>
    <row r="1" spans="1:27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t="s">
        <v>24</v>
      </c>
    </row>
    <row r="2" spans="1:27" x14ac:dyDescent="0.25">
      <c r="A2" s="2" t="s">
        <v>25</v>
      </c>
      <c r="B2" s="3">
        <v>11.821</v>
      </c>
      <c r="C2" s="3">
        <v>52.366999999999997</v>
      </c>
      <c r="D2" s="4">
        <v>0.2286</v>
      </c>
      <c r="E2" s="3">
        <v>19.914000000000001</v>
      </c>
      <c r="F2" s="4">
        <v>4.6699999999999998E-2</v>
      </c>
      <c r="G2" s="5">
        <v>1</v>
      </c>
      <c r="H2" s="6">
        <v>419.84</v>
      </c>
      <c r="I2" s="7">
        <v>2.5389999999999999E-2</v>
      </c>
      <c r="J2" s="8">
        <v>90.2</v>
      </c>
      <c r="K2" s="2" t="s">
        <v>26</v>
      </c>
      <c r="L2" s="9">
        <f t="shared" ref="L2:L10" si="0">1.366*10^-11*H2^-0.1*I2^0.363*J2^5.444</f>
        <v>8.6731981560660656E-2</v>
      </c>
      <c r="M2" s="9">
        <f t="shared" ref="M2:M10" si="1">MAX(L2,$AA$2)</f>
        <v>0.2</v>
      </c>
      <c r="N2" s="8">
        <v>1.5</v>
      </c>
      <c r="O2" s="10">
        <f t="shared" ref="O2:O10" si="2">(B2*100/N2)*M2</f>
        <v>157.61333333333334</v>
      </c>
      <c r="P2" s="10">
        <f t="shared" ref="P2:P10" si="3">MAX(O2,$AA$3)</f>
        <v>157.61333333333334</v>
      </c>
      <c r="Q2" s="11">
        <f t="shared" ref="Q2:Q10" si="4">P2*H2*50/1000000</f>
        <v>3.3086190933333333</v>
      </c>
      <c r="R2" s="11">
        <f t="shared" ref="R2:R10" si="5">P2*H2*100/1000000</f>
        <v>6.6172381866666665</v>
      </c>
      <c r="S2" s="5">
        <v>565.79999999999995</v>
      </c>
      <c r="T2" s="5">
        <v>339.5</v>
      </c>
      <c r="U2" s="5">
        <v>1681</v>
      </c>
      <c r="V2" s="6">
        <v>66.2</v>
      </c>
      <c r="W2" s="7">
        <v>1.0840000000000001E-2</v>
      </c>
      <c r="X2" s="4">
        <v>0.5696</v>
      </c>
      <c r="Z2" t="s">
        <v>27</v>
      </c>
      <c r="AA2" s="12">
        <v>0.2</v>
      </c>
    </row>
    <row r="3" spans="1:27" x14ac:dyDescent="0.25">
      <c r="A3" s="2" t="s">
        <v>28</v>
      </c>
      <c r="B3" s="3">
        <v>13.881</v>
      </c>
      <c r="C3" s="3">
        <v>56.064999999999998</v>
      </c>
      <c r="D3" s="4">
        <v>0.22950000000000001</v>
      </c>
      <c r="E3" s="3">
        <v>21.995999999999999</v>
      </c>
      <c r="F3" s="4">
        <v>4.6699999999999998E-2</v>
      </c>
      <c r="G3" s="5">
        <v>1</v>
      </c>
      <c r="H3" s="6">
        <v>226.04</v>
      </c>
      <c r="I3" s="7">
        <v>3.4909999999999997E-2</v>
      </c>
      <c r="J3" s="8">
        <v>90.5</v>
      </c>
      <c r="K3" s="2" t="s">
        <v>26</v>
      </c>
      <c r="L3" s="9">
        <f t="shared" si="0"/>
        <v>0.10546730042119083</v>
      </c>
      <c r="M3" s="9">
        <f t="shared" si="1"/>
        <v>0.2</v>
      </c>
      <c r="N3" s="10">
        <f t="shared" ref="N3:N10" si="6">$N$2</f>
        <v>1.5</v>
      </c>
      <c r="O3" s="10">
        <f t="shared" si="2"/>
        <v>185.08</v>
      </c>
      <c r="P3" s="10">
        <f t="shared" si="3"/>
        <v>185.08</v>
      </c>
      <c r="Q3" s="11">
        <f t="shared" si="4"/>
        <v>2.0917741599999999</v>
      </c>
      <c r="R3" s="11">
        <f t="shared" si="5"/>
        <v>4.1835483199999999</v>
      </c>
      <c r="S3" s="5">
        <v>346.5</v>
      </c>
      <c r="T3" s="5">
        <v>207.9</v>
      </c>
      <c r="U3" s="5">
        <v>1596</v>
      </c>
      <c r="V3" s="6">
        <v>45.72</v>
      </c>
      <c r="W3" s="7">
        <v>1.847E-2</v>
      </c>
      <c r="X3" s="4">
        <v>0.57920000000000005</v>
      </c>
      <c r="Z3" t="s">
        <v>29</v>
      </c>
      <c r="AA3" s="12">
        <v>90</v>
      </c>
    </row>
    <row r="4" spans="1:27" x14ac:dyDescent="0.25">
      <c r="A4" s="2" t="s">
        <v>30</v>
      </c>
      <c r="B4" s="3">
        <v>10.082000000000001</v>
      </c>
      <c r="C4" s="3">
        <v>48.811999999999998</v>
      </c>
      <c r="D4" s="4">
        <v>0.22720000000000001</v>
      </c>
      <c r="E4" s="3">
        <v>16.908999999999999</v>
      </c>
      <c r="F4" s="4">
        <v>4.6800000000000001E-2</v>
      </c>
      <c r="G4" s="5">
        <v>1</v>
      </c>
      <c r="H4" s="6">
        <v>852.24</v>
      </c>
      <c r="I4" s="7">
        <v>2.2159999999999999E-2</v>
      </c>
      <c r="J4" s="8">
        <v>89.4</v>
      </c>
      <c r="K4" s="2" t="s">
        <v>26</v>
      </c>
      <c r="L4" s="9">
        <f t="shared" si="0"/>
        <v>7.3268581189328372E-2</v>
      </c>
      <c r="M4" s="9">
        <f t="shared" si="1"/>
        <v>0.2</v>
      </c>
      <c r="N4" s="10">
        <f t="shared" si="6"/>
        <v>1.5</v>
      </c>
      <c r="O4" s="10">
        <f t="shared" si="2"/>
        <v>134.42666666666668</v>
      </c>
      <c r="P4" s="10">
        <f t="shared" si="3"/>
        <v>134.42666666666668</v>
      </c>
      <c r="Q4" s="11">
        <f t="shared" si="4"/>
        <v>5.7281891199999997</v>
      </c>
      <c r="R4" s="11">
        <f t="shared" si="5"/>
        <v>11.456378239999999</v>
      </c>
      <c r="S4" s="5">
        <v>672.5</v>
      </c>
      <c r="T4" s="5">
        <v>403.5</v>
      </c>
      <c r="U4" s="5">
        <v>1766</v>
      </c>
      <c r="V4" s="6">
        <v>79.680000000000007</v>
      </c>
      <c r="W4" s="7">
        <v>1.0019999999999999E-2</v>
      </c>
      <c r="X4" s="4">
        <v>0.47249999999999998</v>
      </c>
    </row>
    <row r="5" spans="1:27" x14ac:dyDescent="0.25">
      <c r="A5" s="2" t="s">
        <v>31</v>
      </c>
      <c r="B5" s="3">
        <v>13.481999999999999</v>
      </c>
      <c r="C5" s="3">
        <v>56.911999999999999</v>
      </c>
      <c r="D5" s="4">
        <v>0.2281</v>
      </c>
      <c r="E5" s="3">
        <v>21.425000000000001</v>
      </c>
      <c r="F5" s="4">
        <v>4.6699999999999998E-2</v>
      </c>
      <c r="G5" s="5">
        <v>1</v>
      </c>
      <c r="H5" s="6">
        <v>224.36</v>
      </c>
      <c r="I5" s="7">
        <v>2.5930000000000002E-2</v>
      </c>
      <c r="J5" s="8">
        <v>90.2</v>
      </c>
      <c r="K5" s="2" t="s">
        <v>26</v>
      </c>
      <c r="L5" s="9">
        <f t="shared" si="0"/>
        <v>9.3048817897669833E-2</v>
      </c>
      <c r="M5" s="9">
        <f t="shared" si="1"/>
        <v>0.2</v>
      </c>
      <c r="N5" s="10">
        <f t="shared" si="6"/>
        <v>1.5</v>
      </c>
      <c r="O5" s="10">
        <f t="shared" si="2"/>
        <v>179.76</v>
      </c>
      <c r="P5" s="10">
        <f t="shared" si="3"/>
        <v>179.76</v>
      </c>
      <c r="Q5" s="11">
        <f t="shared" si="4"/>
        <v>2.01654768</v>
      </c>
      <c r="R5" s="11">
        <f t="shared" si="5"/>
        <v>4.0330953599999999</v>
      </c>
      <c r="S5" s="5">
        <v>405.7</v>
      </c>
      <c r="T5" s="5">
        <v>243.4</v>
      </c>
      <c r="U5" s="5">
        <v>1291</v>
      </c>
      <c r="V5" s="6">
        <v>49.78</v>
      </c>
      <c r="W5" s="7">
        <v>1.4540000000000001E-2</v>
      </c>
      <c r="X5" s="4">
        <v>0.61960000000000004</v>
      </c>
    </row>
    <row r="6" spans="1:27" x14ac:dyDescent="0.25">
      <c r="A6" s="2" t="s">
        <v>32</v>
      </c>
      <c r="B6" s="3">
        <v>11.188000000000001</v>
      </c>
      <c r="C6" s="3">
        <v>52.781999999999996</v>
      </c>
      <c r="D6" s="4">
        <v>0.22689999999999999</v>
      </c>
      <c r="E6" s="3">
        <v>18.257999999999999</v>
      </c>
      <c r="F6" s="4">
        <v>4.6899999999999997E-2</v>
      </c>
      <c r="G6" s="5">
        <v>1</v>
      </c>
      <c r="H6" s="6">
        <v>314.13</v>
      </c>
      <c r="I6" s="7">
        <v>2.41E-2</v>
      </c>
      <c r="J6" s="8">
        <v>89.4</v>
      </c>
      <c r="K6" s="2" t="s">
        <v>26</v>
      </c>
      <c r="L6" s="9">
        <f t="shared" si="0"/>
        <v>8.3462885792132596E-2</v>
      </c>
      <c r="M6" s="9">
        <f t="shared" si="1"/>
        <v>0.2</v>
      </c>
      <c r="N6" s="10">
        <f t="shared" si="6"/>
        <v>1.5</v>
      </c>
      <c r="O6" s="10">
        <f t="shared" si="2"/>
        <v>149.17333333333335</v>
      </c>
      <c r="P6" s="10">
        <f t="shared" si="3"/>
        <v>149.17333333333335</v>
      </c>
      <c r="Q6" s="11">
        <f t="shared" si="4"/>
        <v>2.3429909600000003</v>
      </c>
      <c r="R6" s="11">
        <f t="shared" si="5"/>
        <v>4.6859819200000006</v>
      </c>
      <c r="S6" s="5">
        <v>450.7</v>
      </c>
      <c r="T6" s="5">
        <v>270.39999999999998</v>
      </c>
      <c r="U6" s="5">
        <v>1334</v>
      </c>
      <c r="V6" s="6">
        <v>55.36</v>
      </c>
      <c r="W6" s="7">
        <v>1.3679999999999999E-2</v>
      </c>
      <c r="X6" s="4">
        <v>0.5383</v>
      </c>
    </row>
    <row r="7" spans="1:27" x14ac:dyDescent="0.25">
      <c r="A7" s="2" t="s">
        <v>33</v>
      </c>
      <c r="B7" s="3">
        <v>13.319000000000001</v>
      </c>
      <c r="C7" s="3">
        <v>58.554000000000002</v>
      </c>
      <c r="D7" s="4">
        <v>0.22850000000000001</v>
      </c>
      <c r="E7" s="3">
        <v>20.748000000000001</v>
      </c>
      <c r="F7" s="4">
        <v>4.6399999999999997E-2</v>
      </c>
      <c r="G7" s="5">
        <v>1</v>
      </c>
      <c r="H7" s="6">
        <v>227.77</v>
      </c>
      <c r="I7" s="7">
        <v>2.2970000000000001E-2</v>
      </c>
      <c r="J7" s="8">
        <v>90.1</v>
      </c>
      <c r="K7" s="2" t="s">
        <v>26</v>
      </c>
      <c r="L7" s="9">
        <f t="shared" si="0"/>
        <v>8.8373946677419976E-2</v>
      </c>
      <c r="M7" s="9">
        <f t="shared" si="1"/>
        <v>0.2</v>
      </c>
      <c r="N7" s="10">
        <f t="shared" si="6"/>
        <v>1.5</v>
      </c>
      <c r="O7" s="10">
        <f t="shared" si="2"/>
        <v>177.5866666666667</v>
      </c>
      <c r="P7" s="10">
        <f t="shared" si="3"/>
        <v>177.5866666666667</v>
      </c>
      <c r="Q7" s="11">
        <f t="shared" si="4"/>
        <v>2.0224457533333338</v>
      </c>
      <c r="R7" s="11">
        <f t="shared" si="5"/>
        <v>4.0448915066666675</v>
      </c>
      <c r="S7" s="5">
        <v>464.9</v>
      </c>
      <c r="T7" s="5">
        <v>279</v>
      </c>
      <c r="U7" s="5">
        <v>1311</v>
      </c>
      <c r="V7" s="6">
        <v>57.08</v>
      </c>
      <c r="W7" s="7">
        <v>1.341E-2</v>
      </c>
      <c r="X7" s="4">
        <v>0.63600000000000001</v>
      </c>
    </row>
    <row r="8" spans="1:27" x14ac:dyDescent="0.25">
      <c r="A8" s="2" t="s">
        <v>34</v>
      </c>
      <c r="B8" s="3">
        <v>6.351</v>
      </c>
      <c r="C8" s="3">
        <v>43.442</v>
      </c>
      <c r="D8" s="4">
        <v>0.2233</v>
      </c>
      <c r="E8" s="3">
        <v>12.907999999999999</v>
      </c>
      <c r="F8" s="4">
        <v>4.7899999999999998E-2</v>
      </c>
      <c r="G8" s="5">
        <v>1</v>
      </c>
      <c r="H8" s="6">
        <v>53.69</v>
      </c>
      <c r="I8" s="7">
        <v>6.087E-2</v>
      </c>
      <c r="J8" s="8">
        <v>87.7</v>
      </c>
      <c r="K8" s="2" t="s">
        <v>26</v>
      </c>
      <c r="L8" s="9">
        <f t="shared" si="0"/>
        <v>0.1255710552100282</v>
      </c>
      <c r="M8" s="9">
        <f t="shared" si="1"/>
        <v>0.2</v>
      </c>
      <c r="N8" s="10">
        <f t="shared" si="6"/>
        <v>1.5</v>
      </c>
      <c r="O8" s="10">
        <f t="shared" si="2"/>
        <v>84.68</v>
      </c>
      <c r="P8" s="10">
        <f t="shared" si="3"/>
        <v>90</v>
      </c>
      <c r="Q8" s="11">
        <f t="shared" si="4"/>
        <v>0.24160499999999996</v>
      </c>
      <c r="R8" s="11">
        <f t="shared" si="5"/>
        <v>0.48320999999999992</v>
      </c>
      <c r="S8" s="5">
        <v>124.1</v>
      </c>
      <c r="T8" s="5">
        <v>74.5</v>
      </c>
      <c r="U8" s="5">
        <v>910</v>
      </c>
      <c r="V8" s="6">
        <v>14.95</v>
      </c>
      <c r="W8" s="7">
        <v>2.8410000000000001E-2</v>
      </c>
      <c r="X8" s="4">
        <v>0.39019999999999999</v>
      </c>
    </row>
    <row r="9" spans="1:27" x14ac:dyDescent="0.25">
      <c r="A9" s="2" t="s">
        <v>35</v>
      </c>
      <c r="B9" s="3">
        <v>6.3230000000000004</v>
      </c>
      <c r="C9" s="3">
        <v>43.896000000000001</v>
      </c>
      <c r="D9" s="4">
        <v>0.2253</v>
      </c>
      <c r="E9" s="3">
        <v>12.185</v>
      </c>
      <c r="F9" s="4">
        <v>4.6800000000000001E-2</v>
      </c>
      <c r="G9" s="5">
        <v>1</v>
      </c>
      <c r="H9" s="6">
        <v>110.49</v>
      </c>
      <c r="I9" s="7">
        <v>3.5729999999999998E-2</v>
      </c>
      <c r="J9" s="8">
        <v>87.7</v>
      </c>
      <c r="K9" s="2" t="s">
        <v>26</v>
      </c>
      <c r="L9" s="9">
        <f t="shared" si="0"/>
        <v>9.6285119368897804E-2</v>
      </c>
      <c r="M9" s="9">
        <f t="shared" si="1"/>
        <v>0.2</v>
      </c>
      <c r="N9" s="10">
        <f t="shared" si="6"/>
        <v>1.5</v>
      </c>
      <c r="O9" s="10">
        <f t="shared" si="2"/>
        <v>84.306666666666672</v>
      </c>
      <c r="P9" s="10">
        <f t="shared" si="3"/>
        <v>90</v>
      </c>
      <c r="Q9" s="11">
        <f t="shared" si="4"/>
        <v>0.49720500000000001</v>
      </c>
      <c r="R9" s="11">
        <f t="shared" si="5"/>
        <v>0.99441000000000002</v>
      </c>
      <c r="S9" s="5">
        <v>251.8</v>
      </c>
      <c r="T9" s="5">
        <v>151.1</v>
      </c>
      <c r="U9" s="5">
        <v>1027</v>
      </c>
      <c r="V9" s="6">
        <v>28.74</v>
      </c>
      <c r="W9" s="7">
        <v>1.6729999999999998E-2</v>
      </c>
      <c r="X9" s="4">
        <v>0.36070000000000002</v>
      </c>
    </row>
    <row r="10" spans="1:27" x14ac:dyDescent="0.25">
      <c r="A10" s="2" t="s">
        <v>36</v>
      </c>
      <c r="B10" s="3">
        <v>9.7119999999999997</v>
      </c>
      <c r="C10" s="3">
        <v>49.389000000000003</v>
      </c>
      <c r="D10" s="4">
        <v>0.22789999999999999</v>
      </c>
      <c r="E10" s="3">
        <v>16.117000000000001</v>
      </c>
      <c r="F10" s="4">
        <v>4.7199999999999999E-2</v>
      </c>
      <c r="G10" s="5">
        <v>1</v>
      </c>
      <c r="H10" s="6">
        <v>81.31</v>
      </c>
      <c r="I10" s="7">
        <v>3.107E-2</v>
      </c>
      <c r="J10" s="8">
        <v>88.8</v>
      </c>
      <c r="K10" s="2" t="s">
        <v>26</v>
      </c>
      <c r="L10" s="9">
        <f t="shared" si="0"/>
        <v>0.1009988348957956</v>
      </c>
      <c r="M10" s="9">
        <f t="shared" si="1"/>
        <v>0.2</v>
      </c>
      <c r="N10" s="10">
        <f t="shared" si="6"/>
        <v>1.5</v>
      </c>
      <c r="O10" s="10">
        <f t="shared" si="2"/>
        <v>129.49333333333331</v>
      </c>
      <c r="P10" s="10">
        <f t="shared" si="3"/>
        <v>129.49333333333331</v>
      </c>
      <c r="Q10" s="11">
        <f t="shared" si="4"/>
        <v>0.5264551466666666</v>
      </c>
      <c r="R10" s="11">
        <f t="shared" si="5"/>
        <v>1.0529102933333332</v>
      </c>
      <c r="S10" s="5">
        <v>259.7</v>
      </c>
      <c r="T10" s="5">
        <v>155.80000000000001</v>
      </c>
      <c r="U10" s="5">
        <v>985</v>
      </c>
      <c r="V10" s="6">
        <v>31.7</v>
      </c>
      <c r="W10" s="7">
        <v>1.8769999999999998E-2</v>
      </c>
      <c r="X10" s="4">
        <v>0.50209999999999999</v>
      </c>
    </row>
    <row r="12" spans="1:27" x14ac:dyDescent="0.25">
      <c r="A12" s="13" t="s">
        <v>37</v>
      </c>
    </row>
    <row r="13" spans="1:27" x14ac:dyDescent="0.25">
      <c r="A13" s="13" t="s">
        <v>38</v>
      </c>
    </row>
    <row r="14" spans="1:27" x14ac:dyDescent="0.25">
      <c r="A14" s="1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B4 DAM RUSLE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2026-10-06T17:15:29Z</dcterms:created>
  <dcterms:modified xsi:type="dcterms:W3CDTF">2026-10-06T17:15:30Z</dcterms:modified>
</cp:coreProperties>
</file>