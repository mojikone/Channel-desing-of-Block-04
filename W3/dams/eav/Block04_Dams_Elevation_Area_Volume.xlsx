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jtaba\Renardet\2224 WS11\Batinah\Block 4\Claude Block 04\W3\dams\eav\"/>
    </mc:Choice>
  </mc:AlternateContent>
  <xr:revisionPtr revIDLastSave="0" documentId="13_ncr:1_{AE21BA82-1C3B-4DA2-9F8F-2476811F7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s" sheetId="1" r:id="rId1"/>
    <sheet name="Hawasinah 02" sheetId="2" r:id="rId2"/>
    <sheet name="Hawasinah 11" sheetId="3" r:id="rId3"/>
    <sheet name="Hawasinah EX" sheetId="4" r:id="rId4"/>
    <sheet name="Shafan 02" sheetId="5" r:id="rId5"/>
    <sheet name="Shafan 08" sheetId="6" r:id="rId6"/>
    <sheet name="Sarami 03" sheetId="7" r:id="rId7"/>
    <sheet name="Sarami 05" sheetId="8" r:id="rId8"/>
    <sheet name="Sakhin 04" sheetId="9" r:id="rId9"/>
    <sheet name="Sakhin 08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10" l="1"/>
  <c r="C38" i="10"/>
  <c r="D39" i="10" s="1"/>
  <c r="C37" i="10"/>
  <c r="D38" i="10" s="1"/>
  <c r="C36" i="10"/>
  <c r="C35" i="10"/>
  <c r="D36" i="10" s="1"/>
  <c r="C34" i="10"/>
  <c r="D35" i="10" s="1"/>
  <c r="G33" i="10"/>
  <c r="C33" i="10"/>
  <c r="D34" i="10" s="1"/>
  <c r="C32" i="10"/>
  <c r="G31" i="10"/>
  <c r="C31" i="10"/>
  <c r="D32" i="10" s="1"/>
  <c r="G30" i="10"/>
  <c r="C30" i="10"/>
  <c r="C29" i="10"/>
  <c r="G28" i="10"/>
  <c r="D28" i="10"/>
  <c r="C28" i="10"/>
  <c r="D29" i="10" s="1"/>
  <c r="G27" i="10"/>
  <c r="C27" i="10"/>
  <c r="C26" i="10"/>
  <c r="D27" i="10" s="1"/>
  <c r="C25" i="10"/>
  <c r="D26" i="10" s="1"/>
  <c r="G24" i="10"/>
  <c r="C24" i="10"/>
  <c r="C23" i="10"/>
  <c r="D24" i="10" s="1"/>
  <c r="G22" i="10"/>
  <c r="C22" i="10"/>
  <c r="D23" i="10" s="1"/>
  <c r="G21" i="10"/>
  <c r="C21" i="10"/>
  <c r="C20" i="10"/>
  <c r="C19" i="10"/>
  <c r="D20" i="10" s="1"/>
  <c r="C18" i="10"/>
  <c r="C17" i="10"/>
  <c r="D18" i="10" s="1"/>
  <c r="K16" i="10"/>
  <c r="G16" i="10"/>
  <c r="C16" i="10"/>
  <c r="D17" i="10" s="1"/>
  <c r="G15" i="10"/>
  <c r="C15" i="10"/>
  <c r="D16" i="10" s="1"/>
  <c r="C14" i="10"/>
  <c r="G13" i="10"/>
  <c r="D13" i="10"/>
  <c r="C13" i="10"/>
  <c r="D14" i="10" s="1"/>
  <c r="G12" i="10"/>
  <c r="C12" i="10"/>
  <c r="K11" i="10"/>
  <c r="C11" i="10"/>
  <c r="D12" i="10" s="1"/>
  <c r="M10" i="10"/>
  <c r="C10" i="10"/>
  <c r="M9" i="10"/>
  <c r="K9" i="10"/>
  <c r="K12" i="1" s="1"/>
  <c r="C9" i="10"/>
  <c r="D10" i="10" s="1"/>
  <c r="G8" i="10"/>
  <c r="C8" i="10"/>
  <c r="M7" i="10"/>
  <c r="K7" i="10"/>
  <c r="I12" i="1" s="1"/>
  <c r="J12" i="1" s="1"/>
  <c r="G7" i="10"/>
  <c r="C7" i="10"/>
  <c r="D8" i="10" s="1"/>
  <c r="P6" i="10"/>
  <c r="N6" i="10"/>
  <c r="K6" i="10"/>
  <c r="C6" i="10"/>
  <c r="K5" i="10"/>
  <c r="G10" i="10" s="1"/>
  <c r="C5" i="10"/>
  <c r="K4" i="10"/>
  <c r="C4" i="10"/>
  <c r="D5" i="10" s="1"/>
  <c r="E5" i="10" s="1"/>
  <c r="C54" i="9"/>
  <c r="G53" i="9"/>
  <c r="C53" i="9"/>
  <c r="G52" i="9"/>
  <c r="C52" i="9"/>
  <c r="D53" i="9" s="1"/>
  <c r="G51" i="9"/>
  <c r="C51" i="9"/>
  <c r="D52" i="9" s="1"/>
  <c r="G50" i="9"/>
  <c r="C50" i="9"/>
  <c r="C49" i="9"/>
  <c r="H48" i="9"/>
  <c r="C48" i="9"/>
  <c r="D49" i="9" s="1"/>
  <c r="C47" i="9"/>
  <c r="C46" i="9"/>
  <c r="D45" i="9"/>
  <c r="C45" i="9"/>
  <c r="C44" i="9"/>
  <c r="C43" i="9"/>
  <c r="D44" i="9" s="1"/>
  <c r="C42" i="9"/>
  <c r="C41" i="9"/>
  <c r="D42" i="9" s="1"/>
  <c r="C40" i="9"/>
  <c r="D41" i="9" s="1"/>
  <c r="C39" i="9"/>
  <c r="C38" i="9"/>
  <c r="D39" i="9" s="1"/>
  <c r="C37" i="9"/>
  <c r="G36" i="9"/>
  <c r="C36" i="9"/>
  <c r="D37" i="9" s="1"/>
  <c r="H35" i="9"/>
  <c r="C35" i="9"/>
  <c r="G34" i="9"/>
  <c r="C34" i="9"/>
  <c r="H33" i="9"/>
  <c r="C33" i="9"/>
  <c r="C32" i="9"/>
  <c r="C31" i="9"/>
  <c r="D32" i="9" s="1"/>
  <c r="D30" i="9"/>
  <c r="C30" i="9"/>
  <c r="D31" i="9" s="1"/>
  <c r="C29" i="9"/>
  <c r="C28" i="9"/>
  <c r="D29" i="9" s="1"/>
  <c r="G27" i="9"/>
  <c r="C27" i="9"/>
  <c r="D28" i="9" s="1"/>
  <c r="G26" i="9"/>
  <c r="C26" i="9"/>
  <c r="H25" i="9"/>
  <c r="C25" i="9"/>
  <c r="D26" i="9" s="1"/>
  <c r="C24" i="9"/>
  <c r="C23" i="9"/>
  <c r="D24" i="9" s="1"/>
  <c r="C22" i="9"/>
  <c r="C21" i="9"/>
  <c r="H20" i="9"/>
  <c r="C20" i="9"/>
  <c r="D21" i="9" s="1"/>
  <c r="G19" i="9"/>
  <c r="C19" i="9"/>
  <c r="C18" i="9"/>
  <c r="C17" i="9"/>
  <c r="D18" i="9" s="1"/>
  <c r="K16" i="9"/>
  <c r="C16" i="9"/>
  <c r="C15" i="9"/>
  <c r="D16" i="9" s="1"/>
  <c r="C14" i="9"/>
  <c r="D15" i="9" s="1"/>
  <c r="G13" i="9"/>
  <c r="C13" i="9"/>
  <c r="D14" i="9" s="1"/>
  <c r="C12" i="9"/>
  <c r="K11" i="9"/>
  <c r="C11" i="9"/>
  <c r="M10" i="9"/>
  <c r="C10" i="9"/>
  <c r="M9" i="9"/>
  <c r="H9" i="9"/>
  <c r="C9" i="9"/>
  <c r="D10" i="9" s="1"/>
  <c r="G8" i="9"/>
  <c r="C8" i="9"/>
  <c r="D9" i="9" s="1"/>
  <c r="K7" i="9"/>
  <c r="C7" i="9"/>
  <c r="P6" i="9"/>
  <c r="N6" i="9"/>
  <c r="K6" i="9"/>
  <c r="H43" i="9" s="1"/>
  <c r="C6" i="9"/>
  <c r="K5" i="9"/>
  <c r="G16" i="9" s="1"/>
  <c r="C5" i="9"/>
  <c r="K4" i="9"/>
  <c r="G4" i="9"/>
  <c r="C4" i="9"/>
  <c r="D5" i="9" s="1"/>
  <c r="E5" i="9" s="1"/>
  <c r="H56" i="8"/>
  <c r="C56" i="8"/>
  <c r="C55" i="8"/>
  <c r="H54" i="8"/>
  <c r="C54" i="8"/>
  <c r="H53" i="8"/>
  <c r="C53" i="8"/>
  <c r="D54" i="8" s="1"/>
  <c r="C52" i="8"/>
  <c r="C51" i="8"/>
  <c r="D52" i="8" s="1"/>
  <c r="H50" i="8"/>
  <c r="G50" i="8"/>
  <c r="C50" i="8"/>
  <c r="C49" i="8"/>
  <c r="H48" i="8"/>
  <c r="C48" i="8"/>
  <c r="H47" i="8"/>
  <c r="C47" i="8"/>
  <c r="D48" i="8" s="1"/>
  <c r="C46" i="8"/>
  <c r="C45" i="8"/>
  <c r="D46" i="8" s="1"/>
  <c r="C44" i="8"/>
  <c r="D45" i="8" s="1"/>
  <c r="C43" i="8"/>
  <c r="C42" i="8"/>
  <c r="H41" i="8"/>
  <c r="C41" i="8"/>
  <c r="D42" i="8" s="1"/>
  <c r="C40" i="8"/>
  <c r="H39" i="8"/>
  <c r="C39" i="8"/>
  <c r="H38" i="8"/>
  <c r="D38" i="8"/>
  <c r="C38" i="8"/>
  <c r="C37" i="8"/>
  <c r="C36" i="8"/>
  <c r="D37" i="8" s="1"/>
  <c r="C35" i="8"/>
  <c r="C34" i="8"/>
  <c r="D35" i="8" s="1"/>
  <c r="H33" i="8"/>
  <c r="C33" i="8"/>
  <c r="C32" i="8"/>
  <c r="D33" i="8" s="1"/>
  <c r="D31" i="8"/>
  <c r="C31" i="8"/>
  <c r="C30" i="8"/>
  <c r="C29" i="8"/>
  <c r="G28" i="8"/>
  <c r="C28" i="8"/>
  <c r="D29" i="8" s="1"/>
  <c r="C27" i="8"/>
  <c r="H26" i="8"/>
  <c r="C26" i="8"/>
  <c r="D27" i="8" s="1"/>
  <c r="C25" i="8"/>
  <c r="D26" i="8" s="1"/>
  <c r="H24" i="8"/>
  <c r="G24" i="8"/>
  <c r="C24" i="8"/>
  <c r="D23" i="8"/>
  <c r="C23" i="8"/>
  <c r="C22" i="8"/>
  <c r="H21" i="8"/>
  <c r="C21" i="8"/>
  <c r="D22" i="8" s="1"/>
  <c r="C20" i="8"/>
  <c r="C19" i="8"/>
  <c r="D20" i="8" s="1"/>
  <c r="C18" i="8"/>
  <c r="D19" i="8" s="1"/>
  <c r="C17" i="8"/>
  <c r="D18" i="8" s="1"/>
  <c r="K16" i="8"/>
  <c r="P6" i="8" s="1"/>
  <c r="H16" i="8"/>
  <c r="C16" i="8"/>
  <c r="C15" i="8"/>
  <c r="D16" i="8" s="1"/>
  <c r="C14" i="8"/>
  <c r="K13" i="8"/>
  <c r="N10" i="1" s="1"/>
  <c r="D13" i="8"/>
  <c r="C13" i="8"/>
  <c r="H12" i="8"/>
  <c r="C12" i="8"/>
  <c r="K11" i="8"/>
  <c r="H11" i="8"/>
  <c r="C11" i="8"/>
  <c r="M10" i="8"/>
  <c r="H10" i="8"/>
  <c r="C10" i="8"/>
  <c r="M9" i="8"/>
  <c r="C9" i="8"/>
  <c r="C8" i="8"/>
  <c r="D9" i="8" s="1"/>
  <c r="K7" i="8"/>
  <c r="C7" i="8"/>
  <c r="O6" i="8"/>
  <c r="K6" i="8"/>
  <c r="H19" i="8" s="1"/>
  <c r="H6" i="8"/>
  <c r="C6" i="8"/>
  <c r="D7" i="8" s="1"/>
  <c r="O5" i="8"/>
  <c r="K5" i="8"/>
  <c r="G33" i="8" s="1"/>
  <c r="C5" i="8"/>
  <c r="K4" i="8"/>
  <c r="C4" i="8"/>
  <c r="D5" i="8" s="1"/>
  <c r="E5" i="8" s="1"/>
  <c r="C95" i="7"/>
  <c r="C94" i="7"/>
  <c r="C93" i="7"/>
  <c r="C92" i="7"/>
  <c r="H91" i="7"/>
  <c r="C91" i="7"/>
  <c r="D92" i="7" s="1"/>
  <c r="C90" i="7"/>
  <c r="C89" i="7"/>
  <c r="D90" i="7" s="1"/>
  <c r="C88" i="7"/>
  <c r="C87" i="7"/>
  <c r="D88" i="7" s="1"/>
  <c r="C86" i="7"/>
  <c r="D87" i="7" s="1"/>
  <c r="C85" i="7"/>
  <c r="D86" i="7" s="1"/>
  <c r="C84" i="7"/>
  <c r="C83" i="7"/>
  <c r="D83" i="7" s="1"/>
  <c r="C82" i="7"/>
  <c r="C81" i="7"/>
  <c r="D82" i="7" s="1"/>
  <c r="H80" i="7"/>
  <c r="C80" i="7"/>
  <c r="D81" i="7" s="1"/>
  <c r="C79" i="7"/>
  <c r="D80" i="7" s="1"/>
  <c r="G78" i="7"/>
  <c r="C78" i="7"/>
  <c r="D79" i="7" s="1"/>
  <c r="H77" i="7"/>
  <c r="C77" i="7"/>
  <c r="D78" i="7" s="1"/>
  <c r="C76" i="7"/>
  <c r="D76" i="7" s="1"/>
  <c r="C75" i="7"/>
  <c r="D74" i="7"/>
  <c r="C74" i="7"/>
  <c r="D75" i="7" s="1"/>
  <c r="C73" i="7"/>
  <c r="C72" i="7"/>
  <c r="D73" i="7" s="1"/>
  <c r="C71" i="7"/>
  <c r="D72" i="7" s="1"/>
  <c r="C70" i="7"/>
  <c r="D71" i="7" s="1"/>
  <c r="C69" i="7"/>
  <c r="C68" i="7"/>
  <c r="D69" i="7" s="1"/>
  <c r="C67" i="7"/>
  <c r="D68" i="7" s="1"/>
  <c r="D66" i="7"/>
  <c r="C66" i="7"/>
  <c r="C65" i="7"/>
  <c r="C64" i="7"/>
  <c r="D65" i="7" s="1"/>
  <c r="H63" i="7"/>
  <c r="C63" i="7"/>
  <c r="D64" i="7" s="1"/>
  <c r="C62" i="7"/>
  <c r="C61" i="7"/>
  <c r="C60" i="7"/>
  <c r="C59" i="7"/>
  <c r="D60" i="7" s="1"/>
  <c r="C58" i="7"/>
  <c r="C57" i="7"/>
  <c r="C56" i="7"/>
  <c r="D57" i="7" s="1"/>
  <c r="D55" i="7"/>
  <c r="C55" i="7"/>
  <c r="D56" i="7" s="1"/>
  <c r="C54" i="7"/>
  <c r="C53" i="7"/>
  <c r="D54" i="7" s="1"/>
  <c r="G52" i="7"/>
  <c r="C52" i="7"/>
  <c r="D53" i="7" s="1"/>
  <c r="D51" i="7"/>
  <c r="C51" i="7"/>
  <c r="D52" i="7" s="1"/>
  <c r="H50" i="7"/>
  <c r="C50" i="7"/>
  <c r="D49" i="7"/>
  <c r="C49" i="7"/>
  <c r="D50" i="7" s="1"/>
  <c r="H48" i="7"/>
  <c r="D48" i="7"/>
  <c r="C48" i="7"/>
  <c r="C47" i="7"/>
  <c r="C46" i="7"/>
  <c r="C45" i="7"/>
  <c r="D46" i="7" s="1"/>
  <c r="D44" i="7"/>
  <c r="C44" i="7"/>
  <c r="C43" i="7"/>
  <c r="C42" i="7"/>
  <c r="D43" i="7" s="1"/>
  <c r="G41" i="7"/>
  <c r="D41" i="7"/>
  <c r="C41" i="7"/>
  <c r="D42" i="7" s="1"/>
  <c r="C40" i="7"/>
  <c r="C39" i="7"/>
  <c r="D40" i="7" s="1"/>
  <c r="C38" i="7"/>
  <c r="C37" i="7"/>
  <c r="C36" i="7"/>
  <c r="D37" i="7" s="1"/>
  <c r="D35" i="7"/>
  <c r="C35" i="7"/>
  <c r="H34" i="7"/>
  <c r="D34" i="7"/>
  <c r="C34" i="7"/>
  <c r="C33" i="7"/>
  <c r="C32" i="7"/>
  <c r="C31" i="7"/>
  <c r="D32" i="7" s="1"/>
  <c r="C30" i="7"/>
  <c r="C29" i="7"/>
  <c r="C28" i="7"/>
  <c r="C27" i="7"/>
  <c r="D28" i="7" s="1"/>
  <c r="C26" i="7"/>
  <c r="C25" i="7"/>
  <c r="D26" i="7" s="1"/>
  <c r="C24" i="7"/>
  <c r="D23" i="7"/>
  <c r="C23" i="7"/>
  <c r="C22" i="7"/>
  <c r="C21" i="7"/>
  <c r="D22" i="7" s="1"/>
  <c r="C20" i="7"/>
  <c r="D21" i="7" s="1"/>
  <c r="C19" i="7"/>
  <c r="D19" i="7" s="1"/>
  <c r="C18" i="7"/>
  <c r="C17" i="7"/>
  <c r="D18" i="7" s="1"/>
  <c r="K16" i="7"/>
  <c r="P6" i="7" s="1"/>
  <c r="C16" i="7"/>
  <c r="D17" i="7" s="1"/>
  <c r="C15" i="7"/>
  <c r="C14" i="7"/>
  <c r="K13" i="7"/>
  <c r="N9" i="1" s="1"/>
  <c r="C13" i="7"/>
  <c r="D13" i="7" s="1"/>
  <c r="C12" i="7"/>
  <c r="K11" i="7"/>
  <c r="C11" i="7"/>
  <c r="D12" i="7" s="1"/>
  <c r="M10" i="7"/>
  <c r="C10" i="7"/>
  <c r="M9" i="7"/>
  <c r="C9" i="7"/>
  <c r="M8" i="7"/>
  <c r="C8" i="7"/>
  <c r="K7" i="7"/>
  <c r="C7" i="7"/>
  <c r="K6" i="7"/>
  <c r="H95" i="7" s="1"/>
  <c r="C6" i="7"/>
  <c r="D7" i="7" s="1"/>
  <c r="K5" i="7"/>
  <c r="G15" i="7" s="1"/>
  <c r="C5" i="7"/>
  <c r="K4" i="7"/>
  <c r="C4" i="7"/>
  <c r="H44" i="6"/>
  <c r="C44" i="6"/>
  <c r="D44" i="6" s="1"/>
  <c r="C43" i="6"/>
  <c r="C42" i="6"/>
  <c r="D43" i="6" s="1"/>
  <c r="C41" i="6"/>
  <c r="C40" i="6"/>
  <c r="D41" i="6" s="1"/>
  <c r="C39" i="6"/>
  <c r="D40" i="6" s="1"/>
  <c r="H38" i="6"/>
  <c r="D38" i="6"/>
  <c r="C38" i="6"/>
  <c r="D39" i="6" s="1"/>
  <c r="H37" i="6"/>
  <c r="C37" i="6"/>
  <c r="H36" i="6"/>
  <c r="C36" i="6"/>
  <c r="D37" i="6" s="1"/>
  <c r="C35" i="6"/>
  <c r="C34" i="6"/>
  <c r="D35" i="6" s="1"/>
  <c r="H33" i="6"/>
  <c r="C33" i="6"/>
  <c r="C32" i="6"/>
  <c r="D33" i="6" s="1"/>
  <c r="H31" i="6"/>
  <c r="C31" i="6"/>
  <c r="C30" i="6"/>
  <c r="D31" i="6" s="1"/>
  <c r="H29" i="6"/>
  <c r="C29" i="6"/>
  <c r="C28" i="6"/>
  <c r="D29" i="6" s="1"/>
  <c r="G27" i="6"/>
  <c r="C27" i="6"/>
  <c r="D28" i="6" s="1"/>
  <c r="H26" i="6"/>
  <c r="C26" i="6"/>
  <c r="C25" i="6"/>
  <c r="D26" i="6" s="1"/>
  <c r="C24" i="6"/>
  <c r="C23" i="6"/>
  <c r="D24" i="6" s="1"/>
  <c r="C22" i="6"/>
  <c r="C21" i="6"/>
  <c r="D22" i="6" s="1"/>
  <c r="C20" i="6"/>
  <c r="D21" i="6" s="1"/>
  <c r="H19" i="6"/>
  <c r="C19" i="6"/>
  <c r="D20" i="6" s="1"/>
  <c r="H18" i="6"/>
  <c r="C18" i="6"/>
  <c r="D19" i="6" s="1"/>
  <c r="C17" i="6"/>
  <c r="D18" i="6" s="1"/>
  <c r="K16" i="6"/>
  <c r="P6" i="6" s="1"/>
  <c r="D16" i="6"/>
  <c r="C16" i="6"/>
  <c r="H15" i="6"/>
  <c r="C15" i="6"/>
  <c r="C14" i="6"/>
  <c r="G13" i="6"/>
  <c r="C13" i="6"/>
  <c r="D14" i="6" s="1"/>
  <c r="C12" i="6"/>
  <c r="D13" i="6" s="1"/>
  <c r="K11" i="6"/>
  <c r="C11" i="6"/>
  <c r="M10" i="6"/>
  <c r="H10" i="6"/>
  <c r="C10" i="6"/>
  <c r="D11" i="6" s="1"/>
  <c r="M9" i="6"/>
  <c r="C9" i="6"/>
  <c r="D9" i="6" s="1"/>
  <c r="C8" i="6"/>
  <c r="K7" i="6"/>
  <c r="C7" i="6"/>
  <c r="K6" i="6"/>
  <c r="H23" i="6" s="1"/>
  <c r="H6" i="6"/>
  <c r="C6" i="6"/>
  <c r="D7" i="6" s="1"/>
  <c r="O5" i="6"/>
  <c r="K5" i="6"/>
  <c r="G8" i="6" s="1"/>
  <c r="H5" i="6"/>
  <c r="C5" i="6"/>
  <c r="D6" i="6" s="1"/>
  <c r="K4" i="6"/>
  <c r="C4" i="6"/>
  <c r="D5" i="6" s="1"/>
  <c r="E5" i="6" s="1"/>
  <c r="C80" i="5"/>
  <c r="C79" i="5"/>
  <c r="C78" i="5"/>
  <c r="D79" i="5" s="1"/>
  <c r="C77" i="5"/>
  <c r="G76" i="5"/>
  <c r="C76" i="5"/>
  <c r="D77" i="5" s="1"/>
  <c r="H75" i="5"/>
  <c r="C75" i="5"/>
  <c r="C74" i="5"/>
  <c r="C73" i="5"/>
  <c r="C72" i="5"/>
  <c r="C71" i="5"/>
  <c r="C70" i="5"/>
  <c r="D71" i="5" s="1"/>
  <c r="C69" i="5"/>
  <c r="D70" i="5" s="1"/>
  <c r="H68" i="5"/>
  <c r="C68" i="5"/>
  <c r="C67" i="5"/>
  <c r="C66" i="5"/>
  <c r="D67" i="5" s="1"/>
  <c r="G65" i="5"/>
  <c r="C65" i="5"/>
  <c r="C64" i="5"/>
  <c r="H63" i="5"/>
  <c r="C63" i="5"/>
  <c r="D64" i="5" s="1"/>
  <c r="C62" i="5"/>
  <c r="C61" i="5"/>
  <c r="C60" i="5"/>
  <c r="D61" i="5" s="1"/>
  <c r="C59" i="5"/>
  <c r="D59" i="5" s="1"/>
  <c r="H58" i="5"/>
  <c r="C58" i="5"/>
  <c r="C57" i="5"/>
  <c r="D58" i="5" s="1"/>
  <c r="C56" i="5"/>
  <c r="C55" i="5"/>
  <c r="D56" i="5" s="1"/>
  <c r="C54" i="5"/>
  <c r="C53" i="5"/>
  <c r="D54" i="5" s="1"/>
  <c r="D52" i="5"/>
  <c r="C52" i="5"/>
  <c r="D53" i="5" s="1"/>
  <c r="C51" i="5"/>
  <c r="H50" i="5"/>
  <c r="C50" i="5"/>
  <c r="D51" i="5" s="1"/>
  <c r="H49" i="5"/>
  <c r="C49" i="5"/>
  <c r="H48" i="5"/>
  <c r="C48" i="5"/>
  <c r="H47" i="5"/>
  <c r="C47" i="5"/>
  <c r="D48" i="5" s="1"/>
  <c r="C46" i="5"/>
  <c r="C45" i="5"/>
  <c r="D46" i="5" s="1"/>
  <c r="C44" i="5"/>
  <c r="C43" i="5"/>
  <c r="C42" i="5"/>
  <c r="C41" i="5"/>
  <c r="C40" i="5"/>
  <c r="C39" i="5"/>
  <c r="D40" i="5" s="1"/>
  <c r="H38" i="5"/>
  <c r="C38" i="5"/>
  <c r="D39" i="5" s="1"/>
  <c r="C37" i="5"/>
  <c r="D37" i="5" s="1"/>
  <c r="C36" i="5"/>
  <c r="C35" i="5"/>
  <c r="H34" i="5"/>
  <c r="C34" i="5"/>
  <c r="D35" i="5" s="1"/>
  <c r="C33" i="5"/>
  <c r="C32" i="5"/>
  <c r="D33" i="5" s="1"/>
  <c r="C31" i="5"/>
  <c r="D32" i="5" s="1"/>
  <c r="G30" i="5"/>
  <c r="C30" i="5"/>
  <c r="D30" i="5" s="1"/>
  <c r="C29" i="5"/>
  <c r="C28" i="5"/>
  <c r="H27" i="5"/>
  <c r="C27" i="5"/>
  <c r="D28" i="5" s="1"/>
  <c r="C26" i="5"/>
  <c r="C25" i="5"/>
  <c r="D26" i="5" s="1"/>
  <c r="C24" i="5"/>
  <c r="C23" i="5"/>
  <c r="D24" i="5" s="1"/>
  <c r="C22" i="5"/>
  <c r="D23" i="5" s="1"/>
  <c r="C21" i="5"/>
  <c r="D22" i="5" s="1"/>
  <c r="C20" i="5"/>
  <c r="D21" i="5" s="1"/>
  <c r="C19" i="5"/>
  <c r="C18" i="5"/>
  <c r="D19" i="5" s="1"/>
  <c r="C17" i="5"/>
  <c r="D17" i="5" s="1"/>
  <c r="K16" i="5"/>
  <c r="P6" i="5" s="1"/>
  <c r="D16" i="5"/>
  <c r="C16" i="5"/>
  <c r="C15" i="5"/>
  <c r="H14" i="5"/>
  <c r="G14" i="5"/>
  <c r="C14" i="5"/>
  <c r="D14" i="5" s="1"/>
  <c r="K13" i="5"/>
  <c r="N7" i="1" s="1"/>
  <c r="C13" i="5"/>
  <c r="C12" i="5"/>
  <c r="K11" i="5"/>
  <c r="C11" i="5"/>
  <c r="M10" i="5"/>
  <c r="C10" i="5"/>
  <c r="D11" i="5" s="1"/>
  <c r="M9" i="5"/>
  <c r="C9" i="5"/>
  <c r="K8" i="5"/>
  <c r="C8" i="5"/>
  <c r="D9" i="5" s="1"/>
  <c r="K7" i="5"/>
  <c r="C7" i="5"/>
  <c r="D8" i="5" s="1"/>
  <c r="K6" i="5"/>
  <c r="H71" i="5" s="1"/>
  <c r="H6" i="5"/>
  <c r="C6" i="5"/>
  <c r="D7" i="5" s="1"/>
  <c r="K5" i="5"/>
  <c r="G42" i="5" s="1"/>
  <c r="C5" i="5"/>
  <c r="K4" i="5"/>
  <c r="C4" i="5"/>
  <c r="D5" i="5" s="1"/>
  <c r="E5" i="5" s="1"/>
  <c r="C47" i="4"/>
  <c r="C46" i="4"/>
  <c r="D47" i="4" s="1"/>
  <c r="C45" i="4"/>
  <c r="C44" i="4"/>
  <c r="C43" i="4"/>
  <c r="C42" i="4"/>
  <c r="C41" i="4"/>
  <c r="D42" i="4" s="1"/>
  <c r="C40" i="4"/>
  <c r="C39" i="4"/>
  <c r="C38" i="4"/>
  <c r="C37" i="4"/>
  <c r="D36" i="4"/>
  <c r="C36" i="4"/>
  <c r="C35" i="4"/>
  <c r="D35" i="4" s="1"/>
  <c r="H34" i="4"/>
  <c r="C34" i="4"/>
  <c r="C33" i="4"/>
  <c r="D34" i="4" s="1"/>
  <c r="C32" i="4"/>
  <c r="D33" i="4" s="1"/>
  <c r="G31" i="4"/>
  <c r="C31" i="4"/>
  <c r="H30" i="4"/>
  <c r="G30" i="4"/>
  <c r="C30" i="4"/>
  <c r="C29" i="4"/>
  <c r="D30" i="4" s="1"/>
  <c r="C28" i="4"/>
  <c r="C27" i="4"/>
  <c r="C26" i="4"/>
  <c r="C25" i="4"/>
  <c r="D26" i="4" s="1"/>
  <c r="C24" i="4"/>
  <c r="D25" i="4" s="1"/>
  <c r="C23" i="4"/>
  <c r="D22" i="4"/>
  <c r="C22" i="4"/>
  <c r="C21" i="4"/>
  <c r="C20" i="4"/>
  <c r="D21" i="4" s="1"/>
  <c r="C19" i="4"/>
  <c r="C18" i="4"/>
  <c r="D19" i="4" s="1"/>
  <c r="D17" i="4"/>
  <c r="C17" i="4"/>
  <c r="K16" i="4"/>
  <c r="P6" i="4" s="1"/>
  <c r="C16" i="4"/>
  <c r="C15" i="4"/>
  <c r="D15" i="4" s="1"/>
  <c r="C14" i="4"/>
  <c r="C13" i="4"/>
  <c r="D14" i="4" s="1"/>
  <c r="C12" i="4"/>
  <c r="K11" i="4"/>
  <c r="C11" i="4"/>
  <c r="M10" i="4"/>
  <c r="C10" i="4"/>
  <c r="D11" i="4" s="1"/>
  <c r="M9" i="4"/>
  <c r="C9" i="4"/>
  <c r="C8" i="4"/>
  <c r="D9" i="4" s="1"/>
  <c r="K7" i="4"/>
  <c r="I6" i="1" s="1"/>
  <c r="J6" i="1" s="1"/>
  <c r="C7" i="4"/>
  <c r="D8" i="4" s="1"/>
  <c r="K6" i="4"/>
  <c r="H10" i="4" s="1"/>
  <c r="C6" i="4"/>
  <c r="D7" i="4" s="1"/>
  <c r="O5" i="4"/>
  <c r="N5" i="4"/>
  <c r="K5" i="4"/>
  <c r="G7" i="4" s="1"/>
  <c r="C5" i="4"/>
  <c r="K4" i="4"/>
  <c r="C4" i="4"/>
  <c r="D5" i="4" s="1"/>
  <c r="E5" i="4" s="1"/>
  <c r="C84" i="3"/>
  <c r="C83" i="3"/>
  <c r="D84" i="3" s="1"/>
  <c r="C82" i="3"/>
  <c r="D83" i="3" s="1"/>
  <c r="C81" i="3"/>
  <c r="D82" i="3" s="1"/>
  <c r="H80" i="3"/>
  <c r="C80" i="3"/>
  <c r="D81" i="3" s="1"/>
  <c r="C79" i="3"/>
  <c r="C78" i="3"/>
  <c r="D79" i="3" s="1"/>
  <c r="H77" i="3"/>
  <c r="C77" i="3"/>
  <c r="D78" i="3" s="1"/>
  <c r="H76" i="3"/>
  <c r="C76" i="3"/>
  <c r="H75" i="3"/>
  <c r="C75" i="3"/>
  <c r="D76" i="3" s="1"/>
  <c r="H74" i="3"/>
  <c r="D74" i="3"/>
  <c r="C74" i="3"/>
  <c r="D75" i="3" s="1"/>
  <c r="H73" i="3"/>
  <c r="D73" i="3"/>
  <c r="C73" i="3"/>
  <c r="C72" i="3"/>
  <c r="H71" i="3"/>
  <c r="C71" i="3"/>
  <c r="D72" i="3" s="1"/>
  <c r="H70" i="3"/>
  <c r="C70" i="3"/>
  <c r="C69" i="3"/>
  <c r="C68" i="3"/>
  <c r="D69" i="3" s="1"/>
  <c r="C67" i="3"/>
  <c r="D68" i="3" s="1"/>
  <c r="H66" i="3"/>
  <c r="C66" i="3"/>
  <c r="D67" i="3" s="1"/>
  <c r="C65" i="3"/>
  <c r="H64" i="3"/>
  <c r="C64" i="3"/>
  <c r="D65" i="3" s="1"/>
  <c r="C63" i="3"/>
  <c r="D64" i="3" s="1"/>
  <c r="H62" i="3"/>
  <c r="D62" i="3"/>
  <c r="C62" i="3"/>
  <c r="H61" i="3"/>
  <c r="C61" i="3"/>
  <c r="H60" i="3"/>
  <c r="C60" i="3"/>
  <c r="H59" i="3"/>
  <c r="C59" i="3"/>
  <c r="C58" i="3"/>
  <c r="D59" i="3" s="1"/>
  <c r="H57" i="3"/>
  <c r="C57" i="3"/>
  <c r="D58" i="3" s="1"/>
  <c r="C56" i="3"/>
  <c r="C55" i="3"/>
  <c r="D56" i="3" s="1"/>
  <c r="C54" i="3"/>
  <c r="D55" i="3" s="1"/>
  <c r="C53" i="3"/>
  <c r="D54" i="3" s="1"/>
  <c r="H52" i="3"/>
  <c r="C52" i="3"/>
  <c r="D53" i="3" s="1"/>
  <c r="C51" i="3"/>
  <c r="D52" i="3" s="1"/>
  <c r="H50" i="3"/>
  <c r="C50" i="3"/>
  <c r="H49" i="3"/>
  <c r="C49" i="3"/>
  <c r="H48" i="3"/>
  <c r="C48" i="3"/>
  <c r="H47" i="3"/>
  <c r="C47" i="3"/>
  <c r="D48" i="3" s="1"/>
  <c r="H46" i="3"/>
  <c r="C46" i="3"/>
  <c r="D47" i="3" s="1"/>
  <c r="C45" i="3"/>
  <c r="C44" i="3"/>
  <c r="C43" i="3"/>
  <c r="H42" i="3"/>
  <c r="C42" i="3"/>
  <c r="D42" i="3" s="1"/>
  <c r="C41" i="3"/>
  <c r="C40" i="3"/>
  <c r="C39" i="3"/>
  <c r="C38" i="3"/>
  <c r="C37" i="3"/>
  <c r="D38" i="3" s="1"/>
  <c r="C36" i="3"/>
  <c r="D37" i="3" s="1"/>
  <c r="H35" i="3"/>
  <c r="C35" i="3"/>
  <c r="D36" i="3" s="1"/>
  <c r="H34" i="3"/>
  <c r="C34" i="3"/>
  <c r="D35" i="3" s="1"/>
  <c r="H33" i="3"/>
  <c r="D33" i="3"/>
  <c r="C33" i="3"/>
  <c r="H32" i="3"/>
  <c r="C32" i="3"/>
  <c r="C31" i="3"/>
  <c r="D32" i="3" s="1"/>
  <c r="H30" i="3"/>
  <c r="C30" i="3"/>
  <c r="D31" i="3" s="1"/>
  <c r="H29" i="3"/>
  <c r="C29" i="3"/>
  <c r="H28" i="3"/>
  <c r="C28" i="3"/>
  <c r="H27" i="3"/>
  <c r="C27" i="3"/>
  <c r="C26" i="3"/>
  <c r="D27" i="3" s="1"/>
  <c r="C25" i="3"/>
  <c r="C24" i="3"/>
  <c r="D25" i="3" s="1"/>
  <c r="C23" i="3"/>
  <c r="H22" i="3"/>
  <c r="C22" i="3"/>
  <c r="C21" i="3"/>
  <c r="D22" i="3" s="1"/>
  <c r="H20" i="3"/>
  <c r="C20" i="3"/>
  <c r="H19" i="3"/>
  <c r="C19" i="3"/>
  <c r="D20" i="3" s="1"/>
  <c r="C18" i="3"/>
  <c r="D19" i="3" s="1"/>
  <c r="C17" i="3"/>
  <c r="K16" i="3"/>
  <c r="P6" i="3" s="1"/>
  <c r="H16" i="3"/>
  <c r="D16" i="3"/>
  <c r="C16" i="3"/>
  <c r="D17" i="3" s="1"/>
  <c r="C15" i="3"/>
  <c r="C14" i="3"/>
  <c r="D15" i="3" s="1"/>
  <c r="K13" i="3"/>
  <c r="N5" i="1" s="1"/>
  <c r="D13" i="3"/>
  <c r="C13" i="3"/>
  <c r="C12" i="3"/>
  <c r="K11" i="3"/>
  <c r="C11" i="3"/>
  <c r="D12" i="3" s="1"/>
  <c r="M10" i="3"/>
  <c r="H10" i="3"/>
  <c r="C10" i="3"/>
  <c r="D11" i="3" s="1"/>
  <c r="M9" i="3"/>
  <c r="H9" i="3"/>
  <c r="C9" i="3"/>
  <c r="M8" i="3"/>
  <c r="H8" i="3"/>
  <c r="C8" i="3"/>
  <c r="D9" i="3" s="1"/>
  <c r="K7" i="3"/>
  <c r="K8" i="3" s="1"/>
  <c r="C7" i="3"/>
  <c r="O6" i="3"/>
  <c r="K6" i="3"/>
  <c r="H56" i="3" s="1"/>
  <c r="H6" i="3"/>
  <c r="C6" i="3"/>
  <c r="D7" i="3" s="1"/>
  <c r="O5" i="3"/>
  <c r="K5" i="3"/>
  <c r="G82" i="3" s="1"/>
  <c r="C5" i="3"/>
  <c r="K4" i="3"/>
  <c r="H4" i="3"/>
  <c r="C4" i="3"/>
  <c r="D5" i="3" s="1"/>
  <c r="E5" i="3" s="1"/>
  <c r="C43" i="2"/>
  <c r="D43" i="2" s="1"/>
  <c r="C42" i="2"/>
  <c r="C41" i="2"/>
  <c r="D42" i="2" s="1"/>
  <c r="C40" i="2"/>
  <c r="D41" i="2" s="1"/>
  <c r="G39" i="2"/>
  <c r="C39" i="2"/>
  <c r="G38" i="2"/>
  <c r="C38" i="2"/>
  <c r="G37" i="2"/>
  <c r="C37" i="2"/>
  <c r="G36" i="2"/>
  <c r="C36" i="2"/>
  <c r="D37" i="2" s="1"/>
  <c r="C35" i="2"/>
  <c r="D35" i="2" s="1"/>
  <c r="C34" i="2"/>
  <c r="G33" i="2"/>
  <c r="C33" i="2"/>
  <c r="D34" i="2" s="1"/>
  <c r="G32" i="2"/>
  <c r="C32" i="2"/>
  <c r="D33" i="2" s="1"/>
  <c r="C31" i="2"/>
  <c r="G30" i="2"/>
  <c r="C30" i="2"/>
  <c r="D31" i="2" s="1"/>
  <c r="C29" i="2"/>
  <c r="C28" i="2"/>
  <c r="C27" i="2"/>
  <c r="D28" i="2" s="1"/>
  <c r="C26" i="2"/>
  <c r="C25" i="2"/>
  <c r="G24" i="2"/>
  <c r="C24" i="2"/>
  <c r="D25" i="2" s="1"/>
  <c r="G23" i="2"/>
  <c r="C23" i="2"/>
  <c r="C22" i="2"/>
  <c r="D23" i="2" s="1"/>
  <c r="C21" i="2"/>
  <c r="D22" i="2" s="1"/>
  <c r="G20" i="2"/>
  <c r="C20" i="2"/>
  <c r="D21" i="2" s="1"/>
  <c r="C19" i="2"/>
  <c r="G18" i="2"/>
  <c r="C18" i="2"/>
  <c r="D19" i="2" s="1"/>
  <c r="G17" i="2"/>
  <c r="C17" i="2"/>
  <c r="D18" i="2" s="1"/>
  <c r="K16" i="2"/>
  <c r="P6" i="2" s="1"/>
  <c r="C16" i="2"/>
  <c r="D17" i="2" s="1"/>
  <c r="C15" i="2"/>
  <c r="D16" i="2" s="1"/>
  <c r="G14" i="2"/>
  <c r="C14" i="2"/>
  <c r="C13" i="2"/>
  <c r="C12" i="2"/>
  <c r="D13" i="2" s="1"/>
  <c r="K11" i="2"/>
  <c r="G11" i="2"/>
  <c r="C11" i="2"/>
  <c r="D12" i="2" s="1"/>
  <c r="M10" i="2"/>
  <c r="C10" i="2"/>
  <c r="D11" i="2" s="1"/>
  <c r="M9" i="2"/>
  <c r="K9" i="2"/>
  <c r="G9" i="2"/>
  <c r="C9" i="2"/>
  <c r="D10" i="2" s="1"/>
  <c r="G8" i="2"/>
  <c r="C8" i="2"/>
  <c r="M7" i="2"/>
  <c r="K7" i="2"/>
  <c r="G7" i="2"/>
  <c r="C7" i="2"/>
  <c r="D8" i="2" s="1"/>
  <c r="N6" i="2"/>
  <c r="K6" i="2"/>
  <c r="H13" i="2" s="1"/>
  <c r="C6" i="2"/>
  <c r="K5" i="2"/>
  <c r="G35" i="2" s="1"/>
  <c r="C5" i="2"/>
  <c r="K4" i="2"/>
  <c r="G4" i="2"/>
  <c r="C4" i="2"/>
  <c r="Q12" i="1"/>
  <c r="Q11" i="1"/>
  <c r="I11" i="1"/>
  <c r="J11" i="1" s="1"/>
  <c r="Q10" i="1"/>
  <c r="I10" i="1"/>
  <c r="J10" i="1" s="1"/>
  <c r="Q9" i="1"/>
  <c r="I9" i="1"/>
  <c r="J9" i="1" s="1"/>
  <c r="Q8" i="1"/>
  <c r="I8" i="1"/>
  <c r="J8" i="1" s="1"/>
  <c r="Q7" i="1"/>
  <c r="I7" i="1"/>
  <c r="J7" i="1" s="1"/>
  <c r="Q6" i="1"/>
  <c r="Q5" i="1"/>
  <c r="Q4" i="1"/>
  <c r="K4" i="1"/>
  <c r="I4" i="1"/>
  <c r="J4" i="1" s="1"/>
  <c r="G28" i="4" l="1"/>
  <c r="H42" i="4"/>
  <c r="G11" i="5"/>
  <c r="D45" i="5"/>
  <c r="G72" i="5"/>
  <c r="D30" i="7"/>
  <c r="D59" i="7"/>
  <c r="K9" i="8"/>
  <c r="K10" i="1" s="1"/>
  <c r="G20" i="8"/>
  <c r="G46" i="8"/>
  <c r="H16" i="9"/>
  <c r="H44" i="9"/>
  <c r="D22" i="10"/>
  <c r="D30" i="2"/>
  <c r="G15" i="4"/>
  <c r="H28" i="4"/>
  <c r="H11" i="5"/>
  <c r="G27" i="5"/>
  <c r="H44" i="5"/>
  <c r="H57" i="5"/>
  <c r="D74" i="5"/>
  <c r="H13" i="7"/>
  <c r="D31" i="7"/>
  <c r="G44" i="7"/>
  <c r="G58" i="7"/>
  <c r="G91" i="7"/>
  <c r="H6" i="9"/>
  <c r="D6" i="2"/>
  <c r="G14" i="3"/>
  <c r="D44" i="3"/>
  <c r="H15" i="4"/>
  <c r="D45" i="4"/>
  <c r="G74" i="7"/>
  <c r="G5" i="2"/>
  <c r="D32" i="2"/>
  <c r="H14" i="3"/>
  <c r="D30" i="3"/>
  <c r="D43" i="3"/>
  <c r="D60" i="3"/>
  <c r="G5" i="4"/>
  <c r="G29" i="4"/>
  <c r="G44" i="4"/>
  <c r="D13" i="5"/>
  <c r="D29" i="5"/>
  <c r="G45" i="5"/>
  <c r="D75" i="5"/>
  <c r="D5" i="7"/>
  <c r="E5" i="7" s="1"/>
  <c r="E6" i="7" s="1"/>
  <c r="E7" i="7" s="1"/>
  <c r="E8" i="7" s="1"/>
  <c r="D15" i="7"/>
  <c r="G31" i="7"/>
  <c r="G45" i="7"/>
  <c r="G59" i="7"/>
  <c r="D93" i="7"/>
  <c r="G10" i="8"/>
  <c r="D36" i="8"/>
  <c r="H45" i="9"/>
  <c r="G16" i="4"/>
  <c r="G21" i="8"/>
  <c r="G34" i="8"/>
  <c r="G16" i="2"/>
  <c r="G31" i="2"/>
  <c r="H5" i="3"/>
  <c r="G29" i="3"/>
  <c r="H43" i="3"/>
  <c r="G59" i="3"/>
  <c r="H5" i="4"/>
  <c r="D16" i="4"/>
  <c r="H44" i="4"/>
  <c r="D12" i="5"/>
  <c r="G28" i="5"/>
  <c r="H45" i="5"/>
  <c r="G58" i="5"/>
  <c r="G75" i="5"/>
  <c r="G4" i="7"/>
  <c r="D14" i="7"/>
  <c r="D33" i="7"/>
  <c r="D47" i="7"/>
  <c r="D61" i="7"/>
  <c r="G92" i="7"/>
  <c r="G35" i="8"/>
  <c r="G48" i="8"/>
  <c r="O6" i="9"/>
  <c r="H18" i="9"/>
  <c r="H31" i="9"/>
  <c r="D47" i="9"/>
  <c r="D46" i="4"/>
  <c r="D47" i="5"/>
  <c r="D12" i="6"/>
  <c r="G29" i="6"/>
  <c r="G14" i="7"/>
  <c r="D62" i="7"/>
  <c r="D94" i="7"/>
  <c r="G22" i="8"/>
  <c r="D20" i="9"/>
  <c r="D33" i="9"/>
  <c r="H46" i="9"/>
  <c r="D25" i="10"/>
  <c r="D6" i="7"/>
  <c r="D16" i="7"/>
  <c r="G77" i="7"/>
  <c r="D95" i="7"/>
  <c r="D12" i="8"/>
  <c r="D24" i="8"/>
  <c r="D8" i="9"/>
  <c r="D48" i="9"/>
  <c r="D9" i="10"/>
  <c r="H32" i="2"/>
  <c r="G16" i="3"/>
  <c r="G60" i="3"/>
  <c r="D32" i="4"/>
  <c r="G47" i="5"/>
  <c r="D76" i="5"/>
  <c r="G11" i="8"/>
  <c r="G37" i="8"/>
  <c r="D51" i="8"/>
  <c r="H19" i="9"/>
  <c r="H32" i="9"/>
  <c r="H47" i="9"/>
  <c r="D30" i="6"/>
  <c r="N5" i="7"/>
  <c r="H16" i="7"/>
  <c r="G34" i="7"/>
  <c r="G48" i="7"/>
  <c r="G63" i="7"/>
  <c r="G95" i="7"/>
  <c r="D50" i="8"/>
  <c r="D61" i="3"/>
  <c r="G6" i="4"/>
  <c r="G17" i="4"/>
  <c r="G4" i="5"/>
  <c r="D78" i="5"/>
  <c r="I5" i="1"/>
  <c r="J5" i="1" s="1"/>
  <c r="D18" i="3"/>
  <c r="G32" i="3"/>
  <c r="G61" i="3"/>
  <c r="H6" i="4"/>
  <c r="H17" i="4"/>
  <c r="H32" i="4"/>
  <c r="H4" i="5"/>
  <c r="H31" i="5"/>
  <c r="G48" i="5"/>
  <c r="H61" i="5"/>
  <c r="D15" i="6"/>
  <c r="G6" i="7"/>
  <c r="D36" i="7"/>
  <c r="G4" i="8"/>
  <c r="G38" i="8"/>
  <c r="H8" i="9"/>
  <c r="D22" i="9"/>
  <c r="D35" i="9"/>
  <c r="D50" i="9"/>
  <c r="D20" i="2"/>
  <c r="D15" i="5"/>
  <c r="D63" i="5"/>
  <c r="G64" i="7"/>
  <c r="G12" i="8"/>
  <c r="K8" i="9"/>
  <c r="H21" i="9"/>
  <c r="D11" i="10"/>
  <c r="D9" i="2"/>
  <c r="G19" i="2"/>
  <c r="G34" i="2"/>
  <c r="H17" i="3"/>
  <c r="D49" i="3"/>
  <c r="D77" i="3"/>
  <c r="H18" i="4"/>
  <c r="D6" i="5"/>
  <c r="D50" i="5"/>
  <c r="G62" i="5"/>
  <c r="H78" i="5"/>
  <c r="D34" i="6"/>
  <c r="N6" i="7"/>
  <c r="G35" i="7"/>
  <c r="G25" i="8"/>
  <c r="D40" i="8"/>
  <c r="G51" i="8"/>
  <c r="M8" i="9"/>
  <c r="D23" i="9"/>
  <c r="H34" i="9"/>
  <c r="G76" i="3"/>
  <c r="D20" i="4"/>
  <c r="G34" i="4"/>
  <c r="H5" i="5"/>
  <c r="H33" i="5"/>
  <c r="G49" i="5"/>
  <c r="H62" i="5"/>
  <c r="D80" i="5"/>
  <c r="D8" i="7"/>
  <c r="H35" i="7"/>
  <c r="G50" i="7"/>
  <c r="G80" i="7"/>
  <c r="G5" i="8"/>
  <c r="D14" i="8"/>
  <c r="G39" i="8"/>
  <c r="H22" i="9"/>
  <c r="D36" i="9"/>
  <c r="H50" i="9"/>
  <c r="G26" i="8"/>
  <c r="G6" i="3"/>
  <c r="H7" i="4"/>
  <c r="G34" i="5"/>
  <c r="G16" i="6"/>
  <c r="G34" i="6"/>
  <c r="G66" i="7"/>
  <c r="N5" i="8"/>
  <c r="G13" i="8"/>
  <c r="D41" i="8"/>
  <c r="G53" i="8"/>
  <c r="H23" i="9"/>
  <c r="D51" i="9"/>
  <c r="G80" i="5"/>
  <c r="D36" i="6"/>
  <c r="G8" i="7"/>
  <c r="G20" i="7"/>
  <c r="G37" i="7"/>
  <c r="H66" i="7"/>
  <c r="D28" i="8"/>
  <c r="G40" i="8"/>
  <c r="D11" i="9"/>
  <c r="D30" i="10"/>
  <c r="D36" i="2"/>
  <c r="D21" i="3"/>
  <c r="H21" i="4"/>
  <c r="H8" i="7"/>
  <c r="H20" i="7"/>
  <c r="D39" i="7"/>
  <c r="G51" i="7"/>
  <c r="D15" i="8"/>
  <c r="G27" i="8"/>
  <c r="H10" i="9"/>
  <c r="H24" i="9"/>
  <c r="H51" i="9"/>
  <c r="H36" i="2"/>
  <c r="D34" i="3"/>
  <c r="D51" i="3"/>
  <c r="G35" i="4"/>
  <c r="G64" i="5"/>
  <c r="H80" i="5"/>
  <c r="D24" i="2"/>
  <c r="D38" i="2"/>
  <c r="D23" i="4"/>
  <c r="D37" i="4"/>
  <c r="O6" i="5"/>
  <c r="D36" i="5"/>
  <c r="D66" i="5"/>
  <c r="G36" i="6"/>
  <c r="K8" i="7"/>
  <c r="G38" i="7"/>
  <c r="D67" i="7"/>
  <c r="G6" i="8"/>
  <c r="G14" i="8"/>
  <c r="G41" i="8"/>
  <c r="G54" i="8"/>
  <c r="H37" i="9"/>
  <c r="G21" i="7"/>
  <c r="G67" i="7"/>
  <c r="G80" i="3"/>
  <c r="K9" i="4"/>
  <c r="K6" i="1" s="1"/>
  <c r="H22" i="4"/>
  <c r="G36" i="4"/>
  <c r="G20" i="5"/>
  <c r="H51" i="5"/>
  <c r="D10" i="7"/>
  <c r="D85" i="7"/>
  <c r="G15" i="8"/>
  <c r="D30" i="8"/>
  <c r="D43" i="8"/>
  <c r="H11" i="9"/>
  <c r="H38" i="9"/>
  <c r="H52" i="9"/>
  <c r="D66" i="3"/>
  <c r="D39" i="2"/>
  <c r="H20" i="5"/>
  <c r="G37" i="5"/>
  <c r="D68" i="5"/>
  <c r="G9" i="7"/>
  <c r="D24" i="7"/>
  <c r="G84" i="7"/>
  <c r="N6" i="8"/>
  <c r="G29" i="8"/>
  <c r="D40" i="9"/>
  <c r="D54" i="9"/>
  <c r="D15" i="10"/>
  <c r="D33" i="10"/>
  <c r="G19" i="6"/>
  <c r="K9" i="7"/>
  <c r="K9" i="1" s="1"/>
  <c r="H84" i="7"/>
  <c r="G16" i="8"/>
  <c r="G42" i="8"/>
  <c r="G56" i="8"/>
  <c r="D13" i="9"/>
  <c r="H26" i="9"/>
  <c r="H39" i="9"/>
  <c r="G49" i="3"/>
  <c r="G81" i="3"/>
  <c r="G23" i="7"/>
  <c r="H53" i="9"/>
  <c r="D60" i="5"/>
  <c r="H8" i="2"/>
  <c r="G67" i="3"/>
  <c r="G37" i="4"/>
  <c r="H23" i="3"/>
  <c r="H36" i="3"/>
  <c r="H81" i="3"/>
  <c r="G10" i="7"/>
  <c r="M7" i="8"/>
  <c r="G31" i="8"/>
  <c r="H13" i="9"/>
  <c r="H54" i="9"/>
  <c r="G46" i="3"/>
  <c r="G40" i="2"/>
  <c r="H11" i="3"/>
  <c r="D39" i="3"/>
  <c r="H54" i="3"/>
  <c r="H82" i="3"/>
  <c r="H11" i="4"/>
  <c r="G25" i="4"/>
  <c r="D40" i="4"/>
  <c r="H40" i="5"/>
  <c r="H69" i="5"/>
  <c r="H10" i="7"/>
  <c r="G56" i="7"/>
  <c r="G71" i="7"/>
  <c r="H31" i="8"/>
  <c r="G44" i="8"/>
  <c r="H4" i="9"/>
  <c r="K13" i="9"/>
  <c r="N11" i="1" s="1"/>
  <c r="H27" i="9"/>
  <c r="D23" i="3"/>
  <c r="G36" i="3"/>
  <c r="G10" i="4"/>
  <c r="G24" i="4"/>
  <c r="H37" i="4"/>
  <c r="G21" i="5"/>
  <c r="G52" i="5"/>
  <c r="D38" i="4"/>
  <c r="M8" i="5"/>
  <c r="H21" i="5"/>
  <c r="H41" i="7"/>
  <c r="G55" i="7"/>
  <c r="H40" i="9"/>
  <c r="G9" i="5"/>
  <c r="D41" i="5"/>
  <c r="G55" i="5"/>
  <c r="H40" i="6"/>
  <c r="G42" i="7"/>
  <c r="H56" i="7"/>
  <c r="G8" i="8"/>
  <c r="G18" i="8"/>
  <c r="D45" i="3"/>
  <c r="G33" i="3"/>
  <c r="G51" i="5"/>
  <c r="G70" i="7"/>
  <c r="D26" i="2"/>
  <c r="G12" i="2"/>
  <c r="G26" i="2"/>
  <c r="H25" i="4"/>
  <c r="G26" i="3"/>
  <c r="H55" i="3"/>
  <c r="H68" i="3"/>
  <c r="D13" i="4"/>
  <c r="D41" i="4"/>
  <c r="H55" i="5"/>
  <c r="H70" i="5"/>
  <c r="D8" i="6"/>
  <c r="D42" i="6"/>
  <c r="G27" i="7"/>
  <c r="H42" i="7"/>
  <c r="D58" i="7"/>
  <c r="G87" i="7"/>
  <c r="H8" i="8"/>
  <c r="G32" i="8"/>
  <c r="G45" i="8"/>
  <c r="D6" i="9"/>
  <c r="E6" i="9" s="1"/>
  <c r="H14" i="9"/>
  <c r="G28" i="9"/>
  <c r="G42" i="9"/>
  <c r="D6" i="10"/>
  <c r="E6" i="10" s="1"/>
  <c r="H24" i="4"/>
  <c r="H70" i="7"/>
  <c r="H23" i="5"/>
  <c r="G41" i="2"/>
  <c r="H39" i="3"/>
  <c r="D29" i="2"/>
  <c r="H26" i="3"/>
  <c r="D41" i="3"/>
  <c r="D57" i="3"/>
  <c r="G83" i="3"/>
  <c r="G12" i="4"/>
  <c r="D27" i="4"/>
  <c r="H41" i="4"/>
  <c r="D42" i="5"/>
  <c r="D57" i="5"/>
  <c r="D25" i="6"/>
  <c r="G41" i="6"/>
  <c r="G11" i="7"/>
  <c r="H27" i="7"/>
  <c r="M8" i="8"/>
  <c r="G19" i="8"/>
  <c r="H32" i="8"/>
  <c r="H45" i="8"/>
  <c r="H5" i="9"/>
  <c r="G8" i="3"/>
  <c r="H9" i="4"/>
  <c r="D28" i="3"/>
  <c r="H69" i="3"/>
  <c r="H83" i="3"/>
  <c r="H27" i="4"/>
  <c r="D43" i="4"/>
  <c r="H42" i="5"/>
  <c r="G56" i="5"/>
  <c r="G71" i="5"/>
  <c r="D29" i="7"/>
  <c r="H43" i="7"/>
  <c r="G57" i="7"/>
  <c r="G73" i="7"/>
  <c r="D10" i="8"/>
  <c r="D47" i="8"/>
  <c r="H15" i="9"/>
  <c r="G29" i="9"/>
  <c r="D19" i="10"/>
  <c r="G85" i="7"/>
  <c r="G43" i="8"/>
  <c r="D27" i="9"/>
  <c r="G25" i="2"/>
  <c r="H67" i="3"/>
  <c r="G69" i="5"/>
  <c r="G13" i="2"/>
  <c r="G56" i="3"/>
  <c r="D5" i="2"/>
  <c r="E5" i="2" s="1"/>
  <c r="E6" i="2" s="1"/>
  <c r="D15" i="2"/>
  <c r="G29" i="2"/>
  <c r="G43" i="2"/>
  <c r="H13" i="3"/>
  <c r="G27" i="3"/>
  <c r="H41" i="3"/>
  <c r="D70" i="3"/>
  <c r="D29" i="4"/>
  <c r="D44" i="5"/>
  <c r="H56" i="5"/>
  <c r="D73" i="5"/>
  <c r="D27" i="6"/>
  <c r="G28" i="7"/>
  <c r="D45" i="7"/>
  <c r="H57" i="7"/>
  <c r="H73" i="7"/>
  <c r="G9" i="8"/>
  <c r="D21" i="8"/>
  <c r="O5" i="9"/>
  <c r="D17" i="9"/>
  <c r="H29" i="9"/>
  <c r="G44" i="9"/>
  <c r="E6" i="5"/>
  <c r="E7" i="5" s="1"/>
  <c r="E8" i="5" s="1"/>
  <c r="E9" i="5" s="1"/>
  <c r="E6" i="6"/>
  <c r="E7" i="6" s="1"/>
  <c r="E8" i="6" s="1"/>
  <c r="E9" i="6" s="1"/>
  <c r="H39" i="10"/>
  <c r="H14" i="10"/>
  <c r="H9" i="10"/>
  <c r="H5" i="10"/>
  <c r="H26" i="10"/>
  <c r="H32" i="10"/>
  <c r="H38" i="10"/>
  <c r="K13" i="10"/>
  <c r="N12" i="1" s="1"/>
  <c r="M8" i="10"/>
  <c r="H37" i="10"/>
  <c r="H24" i="10"/>
  <c r="H36" i="10"/>
  <c r="H23" i="10"/>
  <c r="H35" i="10"/>
  <c r="H34" i="10"/>
  <c r="H29" i="2"/>
  <c r="D8" i="3"/>
  <c r="D26" i="3"/>
  <c r="G39" i="3"/>
  <c r="D46" i="3"/>
  <c r="D80" i="3"/>
  <c r="D20" i="5"/>
  <c r="D27" i="5"/>
  <c r="D55" i="5"/>
  <c r="G37" i="6"/>
  <c r="G24" i="6"/>
  <c r="M7" i="6"/>
  <c r="G43" i="6"/>
  <c r="G12" i="6"/>
  <c r="G30" i="6"/>
  <c r="G22" i="6"/>
  <c r="D20" i="7"/>
  <c r="D27" i="7"/>
  <c r="D63" i="7"/>
  <c r="D70" i="7"/>
  <c r="D77" i="7"/>
  <c r="D84" i="7"/>
  <c r="D91" i="7"/>
  <c r="D53" i="8"/>
  <c r="D19" i="9"/>
  <c r="H27" i="10"/>
  <c r="H16" i="2"/>
  <c r="G13" i="3"/>
  <c r="G19" i="3"/>
  <c r="G73" i="3"/>
  <c r="G32" i="4"/>
  <c r="G19" i="4"/>
  <c r="G21" i="4"/>
  <c r="D28" i="4"/>
  <c r="G41" i="4"/>
  <c r="D34" i="5"/>
  <c r="D62" i="5"/>
  <c r="D69" i="5"/>
  <c r="N5" i="6"/>
  <c r="D10" i="6"/>
  <c r="H22" i="6"/>
  <c r="G44" i="6"/>
  <c r="D6" i="8"/>
  <c r="E6" i="8" s="1"/>
  <c r="H19" i="10"/>
  <c r="O6" i="10"/>
  <c r="H43" i="2"/>
  <c r="D40" i="3"/>
  <c r="D10" i="4"/>
  <c r="G10" i="6"/>
  <c r="D23" i="6"/>
  <c r="D11" i="8"/>
  <c r="D39" i="8"/>
  <c r="H12" i="10"/>
  <c r="H20" i="10"/>
  <c r="H23" i="2"/>
  <c r="D32" i="8"/>
  <c r="H30" i="2"/>
  <c r="D14" i="3"/>
  <c r="G40" i="3"/>
  <c r="G47" i="3"/>
  <c r="D6" i="4"/>
  <c r="E6" i="4" s="1"/>
  <c r="H35" i="4"/>
  <c r="H9" i="5"/>
  <c r="D49" i="5"/>
  <c r="H76" i="5"/>
  <c r="H16" i="6"/>
  <c r="G23" i="6"/>
  <c r="H4" i="7"/>
  <c r="D9" i="7"/>
  <c r="H14" i="7"/>
  <c r="H49" i="8"/>
  <c r="H17" i="8"/>
  <c r="H7" i="8"/>
  <c r="H36" i="8"/>
  <c r="H55" i="8"/>
  <c r="H23" i="8"/>
  <c r="H42" i="8"/>
  <c r="H34" i="8"/>
  <c r="D25" i="8"/>
  <c r="H46" i="8"/>
  <c r="G35" i="9"/>
  <c r="D7" i="10"/>
  <c r="D21" i="10"/>
  <c r="H28" i="10"/>
  <c r="H11" i="2"/>
  <c r="D7" i="2"/>
  <c r="G4" i="3"/>
  <c r="G20" i="3"/>
  <c r="G54" i="3"/>
  <c r="G74" i="3"/>
  <c r="G22" i="4"/>
  <c r="G42" i="4"/>
  <c r="G5" i="5"/>
  <c r="K9" i="5"/>
  <c r="K7" i="1" s="1"/>
  <c r="H35" i="5"/>
  <c r="G6" i="6"/>
  <c r="G31" i="6"/>
  <c r="G38" i="6"/>
  <c r="H17" i="2"/>
  <c r="H37" i="2"/>
  <c r="G20" i="9"/>
  <c r="H7" i="10"/>
  <c r="H7" i="2"/>
  <c r="D6" i="3"/>
  <c r="E6" i="3" s="1"/>
  <c r="G67" i="5"/>
  <c r="G35" i="5"/>
  <c r="G16" i="5"/>
  <c r="N6" i="5"/>
  <c r="G54" i="5"/>
  <c r="G22" i="5"/>
  <c r="G73" i="5"/>
  <c r="G41" i="5"/>
  <c r="G63" i="5"/>
  <c r="G70" i="5"/>
  <c r="H24" i="6"/>
  <c r="H43" i="6"/>
  <c r="H12" i="6"/>
  <c r="H30" i="6"/>
  <c r="H17" i="6"/>
  <c r="H7" i="6"/>
  <c r="D17" i="6"/>
  <c r="H9" i="7"/>
  <c r="H21" i="7"/>
  <c r="H28" i="7"/>
  <c r="H64" i="7"/>
  <c r="H71" i="7"/>
  <c r="H78" i="7"/>
  <c r="H85" i="7"/>
  <c r="H92" i="7"/>
  <c r="H18" i="8"/>
  <c r="H25" i="8"/>
  <c r="D56" i="8"/>
  <c r="D55" i="8"/>
  <c r="H13" i="10"/>
  <c r="H21" i="10"/>
  <c r="G9" i="3"/>
  <c r="G68" i="3"/>
  <c r="H19" i="4"/>
  <c r="H38" i="4"/>
  <c r="K13" i="4"/>
  <c r="N6" i="1" s="1"/>
  <c r="M8" i="4"/>
  <c r="H29" i="4"/>
  <c r="N5" i="5"/>
  <c r="D10" i="5"/>
  <c r="G15" i="5"/>
  <c r="D43" i="5"/>
  <c r="G77" i="5"/>
  <c r="D32" i="6"/>
  <c r="H29" i="10"/>
  <c r="H24" i="2"/>
  <c r="G41" i="3"/>
  <c r="H12" i="2"/>
  <c r="H31" i="2"/>
  <c r="G48" i="3"/>
  <c r="H16" i="4"/>
  <c r="H36" i="4"/>
  <c r="O5" i="5"/>
  <c r="H15" i="5"/>
  <c r="G29" i="5"/>
  <c r="G36" i="5"/>
  <c r="H77" i="5"/>
  <c r="N6" i="6"/>
  <c r="G11" i="6"/>
  <c r="G17" i="6"/>
  <c r="G5" i="7"/>
  <c r="D49" i="8"/>
  <c r="D31" i="10"/>
  <c r="G5" i="3"/>
  <c r="K9" i="3"/>
  <c r="K5" i="1" s="1"/>
  <c r="G28" i="3"/>
  <c r="G55" i="3"/>
  <c r="G75" i="3"/>
  <c r="N6" i="4"/>
  <c r="G23" i="4"/>
  <c r="G43" i="4"/>
  <c r="G10" i="5"/>
  <c r="H29" i="5"/>
  <c r="H36" i="5"/>
  <c r="G43" i="5"/>
  <c r="O6" i="6"/>
  <c r="H11" i="6"/>
  <c r="G25" i="6"/>
  <c r="G32" i="6"/>
  <c r="G39" i="6"/>
  <c r="H5" i="7"/>
  <c r="H15" i="7"/>
  <c r="H40" i="8"/>
  <c r="G37" i="9"/>
  <c r="G45" i="9"/>
  <c r="H22" i="2"/>
  <c r="H18" i="2"/>
  <c r="H38" i="2"/>
  <c r="G35" i="3"/>
  <c r="O6" i="4"/>
  <c r="G11" i="4"/>
  <c r="H23" i="4"/>
  <c r="H43" i="4"/>
  <c r="H10" i="5"/>
  <c r="H43" i="5"/>
  <c r="G50" i="5"/>
  <c r="G57" i="5"/>
  <c r="G18" i="6"/>
  <c r="H25" i="6"/>
  <c r="H32" i="6"/>
  <c r="H39" i="6"/>
  <c r="G75" i="7"/>
  <c r="G43" i="7"/>
  <c r="G12" i="7"/>
  <c r="G94" i="7"/>
  <c r="G62" i="7"/>
  <c r="G30" i="7"/>
  <c r="G81" i="7"/>
  <c r="G49" i="7"/>
  <c r="G17" i="7"/>
  <c r="G7" i="7"/>
  <c r="G68" i="7"/>
  <c r="G36" i="7"/>
  <c r="G22" i="7"/>
  <c r="G29" i="7"/>
  <c r="G65" i="7"/>
  <c r="G72" i="7"/>
  <c r="G79" i="7"/>
  <c r="G86" i="7"/>
  <c r="G93" i="7"/>
  <c r="G14" i="9"/>
  <c r="G21" i="9"/>
  <c r="D40" i="2"/>
  <c r="G66" i="3"/>
  <c r="G34" i="3"/>
  <c r="G10" i="3"/>
  <c r="G53" i="3"/>
  <c r="G21" i="3"/>
  <c r="G15" i="3"/>
  <c r="G62" i="3"/>
  <c r="H22" i="7"/>
  <c r="H29" i="7"/>
  <c r="H65" i="7"/>
  <c r="H72" i="7"/>
  <c r="H79" i="7"/>
  <c r="H86" i="7"/>
  <c r="H93" i="7"/>
  <c r="H8" i="10"/>
  <c r="H22" i="10"/>
  <c r="H30" i="10"/>
  <c r="O6" i="2"/>
  <c r="H25" i="2"/>
  <c r="N5" i="3"/>
  <c r="D10" i="3"/>
  <c r="G22" i="3"/>
  <c r="D29" i="3"/>
  <c r="G42" i="3"/>
  <c r="G69" i="3"/>
  <c r="D24" i="4"/>
  <c r="D44" i="4"/>
  <c r="G6" i="5"/>
  <c r="H16" i="5"/>
  <c r="G23" i="5"/>
  <c r="H64" i="5"/>
  <c r="G78" i="5"/>
  <c r="O5" i="7"/>
  <c r="H37" i="7"/>
  <c r="H44" i="7"/>
  <c r="H51" i="7"/>
  <c r="H58" i="7"/>
  <c r="D8" i="8"/>
  <c r="D34" i="8"/>
  <c r="D38" i="9"/>
  <c r="D46" i="9"/>
  <c r="K8" i="10"/>
  <c r="H15" i="10"/>
  <c r="D12" i="4"/>
  <c r="D31" i="4"/>
  <c r="H54" i="5"/>
  <c r="H22" i="5"/>
  <c r="H60" i="5"/>
  <c r="H73" i="5"/>
  <c r="H41" i="5"/>
  <c r="H28" i="5"/>
  <c r="H79" i="5"/>
  <c r="H30" i="5"/>
  <c r="H37" i="5"/>
  <c r="G44" i="5"/>
  <c r="D65" i="5"/>
  <c r="D72" i="5"/>
  <c r="G7" i="6"/>
  <c r="G26" i="6"/>
  <c r="G33" i="6"/>
  <c r="G40" i="6"/>
  <c r="G16" i="7"/>
  <c r="D38" i="7"/>
  <c r="H13" i="8"/>
  <c r="G9" i="9"/>
  <c r="G38" i="9"/>
  <c r="G46" i="9"/>
  <c r="G23" i="10"/>
  <c r="H31" i="10"/>
  <c r="H4" i="2"/>
  <c r="D31" i="5"/>
  <c r="D38" i="5"/>
  <c r="K8" i="8"/>
  <c r="H20" i="8"/>
  <c r="H27" i="8"/>
  <c r="K9" i="9"/>
  <c r="K11" i="1" s="1"/>
  <c r="G15" i="9"/>
  <c r="M8" i="2"/>
  <c r="H19" i="2"/>
  <c r="H39" i="2"/>
  <c r="D50" i="3"/>
  <c r="G63" i="3"/>
  <c r="D18" i="4"/>
  <c r="H53" i="3"/>
  <c r="H21" i="3"/>
  <c r="H15" i="3"/>
  <c r="H72" i="3"/>
  <c r="H40" i="3"/>
  <c r="G23" i="3"/>
  <c r="G43" i="3"/>
  <c r="H63" i="3"/>
  <c r="G70" i="3"/>
  <c r="H12" i="4"/>
  <c r="H31" i="4"/>
  <c r="G38" i="4"/>
  <c r="G45" i="4"/>
  <c r="G17" i="5"/>
  <c r="G24" i="5"/>
  <c r="H65" i="5"/>
  <c r="H72" i="5"/>
  <c r="G79" i="5"/>
  <c r="H13" i="6"/>
  <c r="H6" i="7"/>
  <c r="D11" i="7"/>
  <c r="G24" i="7"/>
  <c r="H31" i="7"/>
  <c r="H38" i="7"/>
  <c r="H45" i="7"/>
  <c r="H52" i="7"/>
  <c r="H59" i="7"/>
  <c r="G88" i="7"/>
  <c r="G4" i="10"/>
  <c r="D14" i="2"/>
  <c r="H26" i="2"/>
  <c r="H40" i="2"/>
  <c r="G50" i="3"/>
  <c r="M7" i="4"/>
  <c r="G18" i="4"/>
  <c r="H45" i="4"/>
  <c r="H17" i="5"/>
  <c r="H24" i="5"/>
  <c r="G31" i="5"/>
  <c r="G38" i="5"/>
  <c r="K13" i="6"/>
  <c r="N8" i="1" s="1"/>
  <c r="H94" i="7"/>
  <c r="H62" i="7"/>
  <c r="H30" i="7"/>
  <c r="H81" i="7"/>
  <c r="H49" i="7"/>
  <c r="H17" i="7"/>
  <c r="H7" i="7"/>
  <c r="H68" i="7"/>
  <c r="H36" i="7"/>
  <c r="H87" i="7"/>
  <c r="H55" i="7"/>
  <c r="H23" i="7"/>
  <c r="H24" i="7"/>
  <c r="H88" i="7"/>
  <c r="G31" i="9"/>
  <c r="H4" i="10"/>
  <c r="D27" i="2"/>
  <c r="H35" i="8"/>
  <c r="G5" i="9"/>
  <c r="G39" i="9"/>
  <c r="G47" i="9"/>
  <c r="H16" i="10"/>
  <c r="H33" i="10"/>
  <c r="D39" i="4"/>
  <c r="H8" i="6"/>
  <c r="G20" i="6"/>
  <c r="H27" i="6"/>
  <c r="H34" i="6"/>
  <c r="H41" i="6"/>
  <c r="H11" i="7"/>
  <c r="D25" i="7"/>
  <c r="D89" i="7"/>
  <c r="H4" i="8"/>
  <c r="H14" i="8"/>
  <c r="H28" i="8"/>
  <c r="H43" i="8"/>
  <c r="H10" i="10"/>
  <c r="K8" i="2"/>
  <c r="D63" i="3"/>
  <c r="D24" i="3"/>
  <c r="G37" i="3"/>
  <c r="D71" i="3"/>
  <c r="G84" i="3"/>
  <c r="G17" i="3"/>
  <c r="H37" i="3"/>
  <c r="G64" i="3"/>
  <c r="H84" i="3"/>
  <c r="G39" i="4"/>
  <c r="H7" i="5"/>
  <c r="G12" i="5"/>
  <c r="H52" i="5"/>
  <c r="H59" i="5"/>
  <c r="G66" i="5"/>
  <c r="K8" i="6"/>
  <c r="H20" i="6"/>
  <c r="O6" i="7"/>
  <c r="G32" i="7"/>
  <c r="G39" i="7"/>
  <c r="G46" i="7"/>
  <c r="G53" i="7"/>
  <c r="G60" i="7"/>
  <c r="H67" i="7"/>
  <c r="H74" i="7"/>
  <c r="G24" i="9"/>
  <c r="M7" i="9"/>
  <c r="G43" i="9"/>
  <c r="G12" i="9"/>
  <c r="G30" i="9"/>
  <c r="G49" i="9"/>
  <c r="G17" i="9"/>
  <c r="G7" i="9"/>
  <c r="G23" i="9"/>
  <c r="G54" i="9"/>
  <c r="G22" i="9"/>
  <c r="G41" i="9"/>
  <c r="G40" i="9"/>
  <c r="G10" i="9"/>
  <c r="G20" i="10"/>
  <c r="G39" i="10"/>
  <c r="G14" i="10"/>
  <c r="G9" i="10"/>
  <c r="G5" i="10"/>
  <c r="G26" i="10"/>
  <c r="G32" i="10"/>
  <c r="G19" i="10"/>
  <c r="G38" i="10"/>
  <c r="G18" i="10"/>
  <c r="G37" i="10"/>
  <c r="G36" i="10"/>
  <c r="G29" i="10"/>
  <c r="G35" i="10"/>
  <c r="G34" i="10"/>
  <c r="O5" i="2"/>
  <c r="H33" i="2"/>
  <c r="G8" i="4"/>
  <c r="G13" i="4"/>
  <c r="H39" i="4"/>
  <c r="G46" i="4"/>
  <c r="H12" i="5"/>
  <c r="G18" i="5"/>
  <c r="G25" i="5"/>
  <c r="H66" i="5"/>
  <c r="G4" i="6"/>
  <c r="M8" i="6"/>
  <c r="G14" i="6"/>
  <c r="G18" i="7"/>
  <c r="G25" i="7"/>
  <c r="H32" i="7"/>
  <c r="H39" i="7"/>
  <c r="H46" i="7"/>
  <c r="H53" i="7"/>
  <c r="H60" i="7"/>
  <c r="G82" i="7"/>
  <c r="G89" i="7"/>
  <c r="H9" i="8"/>
  <c r="D44" i="8"/>
  <c r="N5" i="9"/>
  <c r="D25" i="9"/>
  <c r="N5" i="10"/>
  <c r="G25" i="10"/>
  <c r="H41" i="2"/>
  <c r="H24" i="3"/>
  <c r="H44" i="3"/>
  <c r="G51" i="3"/>
  <c r="G4" i="4"/>
  <c r="H8" i="4"/>
  <c r="H13" i="4"/>
  <c r="G26" i="4"/>
  <c r="H46" i="4"/>
  <c r="M7" i="5"/>
  <c r="H18" i="5"/>
  <c r="H25" i="5"/>
  <c r="G32" i="5"/>
  <c r="G39" i="5"/>
  <c r="H4" i="6"/>
  <c r="H14" i="6"/>
  <c r="H12" i="7"/>
  <c r="H18" i="7"/>
  <c r="H25" i="7"/>
  <c r="H75" i="7"/>
  <c r="H82" i="7"/>
  <c r="H89" i="7"/>
  <c r="H51" i="8"/>
  <c r="G32" i="9"/>
  <c r="G48" i="9"/>
  <c r="O5" i="10"/>
  <c r="G17" i="10"/>
  <c r="H25" i="10"/>
  <c r="H27" i="2"/>
  <c r="D18" i="5"/>
  <c r="D25" i="5"/>
  <c r="G59" i="5"/>
  <c r="G21" i="2"/>
  <c r="H51" i="3"/>
  <c r="G58" i="3"/>
  <c r="G78" i="3"/>
  <c r="H4" i="4"/>
  <c r="K8" i="4"/>
  <c r="H26" i="4"/>
  <c r="G33" i="4"/>
  <c r="H32" i="5"/>
  <c r="H39" i="5"/>
  <c r="G46" i="5"/>
  <c r="G42" i="6"/>
  <c r="D7" i="9"/>
  <c r="G25" i="9"/>
  <c r="H17" i="10"/>
  <c r="G15" i="2"/>
  <c r="G74" i="5"/>
  <c r="G28" i="6"/>
  <c r="H15" i="2"/>
  <c r="H28" i="2"/>
  <c r="G7" i="3"/>
  <c r="G12" i="3"/>
  <c r="H31" i="3"/>
  <c r="G38" i="3"/>
  <c r="H58" i="3"/>
  <c r="H78" i="3"/>
  <c r="H33" i="4"/>
  <c r="H46" i="5"/>
  <c r="G53" i="5"/>
  <c r="G60" i="5"/>
  <c r="H74" i="5"/>
  <c r="G21" i="6"/>
  <c r="H28" i="6"/>
  <c r="H35" i="6"/>
  <c r="H42" i="6"/>
  <c r="H29" i="8"/>
  <c r="H44" i="8"/>
  <c r="D12" i="9"/>
  <c r="D34" i="9"/>
  <c r="H9" i="2"/>
  <c r="G28" i="2"/>
  <c r="G10" i="2"/>
  <c r="H7" i="3"/>
  <c r="H12" i="3"/>
  <c r="G18" i="3"/>
  <c r="H38" i="3"/>
  <c r="G65" i="3"/>
  <c r="G20" i="4"/>
  <c r="G40" i="4"/>
  <c r="H53" i="5"/>
  <c r="G9" i="6"/>
  <c r="H21" i="6"/>
  <c r="M7" i="7"/>
  <c r="G33" i="7"/>
  <c r="G40" i="7"/>
  <c r="G47" i="7"/>
  <c r="G54" i="7"/>
  <c r="G61" i="7"/>
  <c r="H5" i="8"/>
  <c r="H15" i="8"/>
  <c r="H22" i="8"/>
  <c r="H37" i="8"/>
  <c r="G11" i="10"/>
  <c r="H14" i="2"/>
  <c r="G27" i="2"/>
  <c r="N5" i="2"/>
  <c r="H67" i="5"/>
  <c r="G35" i="6"/>
  <c r="G6" i="2"/>
  <c r="H10" i="2"/>
  <c r="H35" i="2"/>
  <c r="G42" i="2"/>
  <c r="H18" i="3"/>
  <c r="G25" i="3"/>
  <c r="G45" i="3"/>
  <c r="H65" i="3"/>
  <c r="G72" i="3"/>
  <c r="G79" i="3"/>
  <c r="G14" i="4"/>
  <c r="H20" i="4"/>
  <c r="H40" i="4"/>
  <c r="G47" i="4"/>
  <c r="G8" i="5"/>
  <c r="G13" i="5"/>
  <c r="G19" i="5"/>
  <c r="G26" i="5"/>
  <c r="H9" i="6"/>
  <c r="G19" i="7"/>
  <c r="G26" i="7"/>
  <c r="H33" i="7"/>
  <c r="H40" i="7"/>
  <c r="H47" i="7"/>
  <c r="H54" i="7"/>
  <c r="H61" i="7"/>
  <c r="G69" i="7"/>
  <c r="G76" i="7"/>
  <c r="G83" i="7"/>
  <c r="G90" i="7"/>
  <c r="G30" i="8"/>
  <c r="G49" i="8"/>
  <c r="G17" i="8"/>
  <c r="G7" i="8"/>
  <c r="G36" i="8"/>
  <c r="G55" i="8"/>
  <c r="G23" i="8"/>
  <c r="G47" i="8"/>
  <c r="D17" i="8"/>
  <c r="H30" i="8"/>
  <c r="G52" i="8"/>
  <c r="G6" i="9"/>
  <c r="G18" i="9"/>
  <c r="G6" i="10"/>
  <c r="H11" i="10"/>
  <c r="H18" i="10"/>
  <c r="K13" i="2"/>
  <c r="N4" i="1" s="1"/>
  <c r="N6" i="3"/>
  <c r="G11" i="3"/>
  <c r="G30" i="3"/>
  <c r="G57" i="3"/>
  <c r="G77" i="3"/>
  <c r="H20" i="2"/>
  <c r="G7" i="5"/>
  <c r="H5" i="2"/>
  <c r="H34" i="2"/>
  <c r="G24" i="3"/>
  <c r="G44" i="3"/>
  <c r="G71" i="3"/>
  <c r="H21" i="2"/>
  <c r="G31" i="3"/>
  <c r="H6" i="2"/>
  <c r="G22" i="2"/>
  <c r="H42" i="2"/>
  <c r="M7" i="3"/>
  <c r="H25" i="3"/>
  <c r="H45" i="3"/>
  <c r="G52" i="3"/>
  <c r="H79" i="3"/>
  <c r="G9" i="4"/>
  <c r="H14" i="4"/>
  <c r="G27" i="4"/>
  <c r="H47" i="4"/>
  <c r="H8" i="5"/>
  <c r="H13" i="5"/>
  <c r="H19" i="5"/>
  <c r="H26" i="5"/>
  <c r="G33" i="5"/>
  <c r="G40" i="5"/>
  <c r="G61" i="5"/>
  <c r="G68" i="5"/>
  <c r="G5" i="6"/>
  <c r="K9" i="6"/>
  <c r="K8" i="1" s="1"/>
  <c r="G15" i="6"/>
  <c r="G13" i="7"/>
  <c r="H19" i="7"/>
  <c r="H26" i="7"/>
  <c r="H69" i="7"/>
  <c r="H76" i="7"/>
  <c r="H83" i="7"/>
  <c r="H90" i="7"/>
  <c r="H52" i="8"/>
  <c r="G11" i="9"/>
  <c r="G33" i="9"/>
  <c r="D43" i="9"/>
  <c r="H6" i="10"/>
  <c r="D37" i="10"/>
  <c r="H28" i="9"/>
  <c r="H41" i="9"/>
  <c r="H42" i="9"/>
  <c r="H36" i="9"/>
  <c r="H7" i="9"/>
  <c r="H17" i="9"/>
  <c r="H49" i="9"/>
  <c r="H30" i="9"/>
  <c r="H12" i="9"/>
  <c r="E7" i="10" l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" i="8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7" i="9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10" i="6"/>
  <c r="E10" i="5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l="1"/>
  <c r="E87" i="7" s="1"/>
  <c r="E88" i="7" s="1"/>
  <c r="E89" i="7" s="1"/>
  <c r="E90" i="7" s="1"/>
  <c r="E91" i="7" s="1"/>
  <c r="E92" i="7" s="1"/>
  <c r="E93" i="7" s="1"/>
  <c r="E94" i="7" s="1"/>
  <c r="E95" i="7" s="1"/>
  <c r="K14" i="7" s="1"/>
  <c r="O9" i="1" s="1"/>
  <c r="K10" i="7"/>
  <c r="E11" i="6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45" i="9"/>
  <c r="E46" i="9" s="1"/>
  <c r="E47" i="9" s="1"/>
  <c r="E48" i="9" s="1"/>
  <c r="E49" i="9" s="1"/>
  <c r="E50" i="9" s="1"/>
  <c r="E51" i="9" s="1"/>
  <c r="E52" i="9" s="1"/>
  <c r="E53" i="9" s="1"/>
  <c r="E54" i="9" s="1"/>
  <c r="K14" i="9" s="1"/>
  <c r="O11" i="1" s="1"/>
  <c r="K10" i="9"/>
  <c r="E34" i="2"/>
  <c r="E35" i="2" s="1"/>
  <c r="E36" i="2" s="1"/>
  <c r="E37" i="2" s="1"/>
  <c r="E38" i="2" s="1"/>
  <c r="E39" i="2" s="1"/>
  <c r="E40" i="2" s="1"/>
  <c r="E41" i="2" s="1"/>
  <c r="E42" i="2" s="1"/>
  <c r="E43" i="2" s="1"/>
  <c r="K14" i="2" s="1"/>
  <c r="O4" i="1" s="1"/>
  <c r="K10" i="2"/>
  <c r="E47" i="8"/>
  <c r="E48" i="8" s="1"/>
  <c r="E49" i="8" s="1"/>
  <c r="E50" i="8" s="1"/>
  <c r="E51" i="8" s="1"/>
  <c r="E52" i="8" s="1"/>
  <c r="E53" i="8" s="1"/>
  <c r="E54" i="8" s="1"/>
  <c r="E55" i="8" s="1"/>
  <c r="E56" i="8" s="1"/>
  <c r="K14" i="8" s="1"/>
  <c r="O10" i="1" s="1"/>
  <c r="K10" i="8"/>
  <c r="K15" i="7"/>
  <c r="M6" i="7" s="1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K15" i="2"/>
  <c r="M6" i="2" s="1"/>
  <c r="E30" i="10"/>
  <c r="E31" i="10" s="1"/>
  <c r="E32" i="10" s="1"/>
  <c r="E33" i="10" s="1"/>
  <c r="E34" i="10" s="1"/>
  <c r="E35" i="10" s="1"/>
  <c r="E36" i="10" s="1"/>
  <c r="E37" i="10" s="1"/>
  <c r="E38" i="10" s="1"/>
  <c r="E39" i="10" s="1"/>
  <c r="K14" i="10" s="1"/>
  <c r="O12" i="1" s="1"/>
  <c r="K10" i="10"/>
  <c r="E38" i="4"/>
  <c r="E39" i="4" s="1"/>
  <c r="E40" i="4" s="1"/>
  <c r="E41" i="4" s="1"/>
  <c r="E42" i="4" s="1"/>
  <c r="E43" i="4" s="1"/>
  <c r="E44" i="4" s="1"/>
  <c r="E45" i="4" s="1"/>
  <c r="E46" i="4" s="1"/>
  <c r="E47" i="4" s="1"/>
  <c r="K14" i="4" s="1"/>
  <c r="O6" i="1" s="1"/>
  <c r="K10" i="4"/>
  <c r="K15" i="8"/>
  <c r="M6" i="8" s="1"/>
  <c r="K15" i="9"/>
  <c r="M6" i="9" s="1"/>
  <c r="K15" i="10"/>
  <c r="M6" i="10" s="1"/>
  <c r="K10" i="3"/>
  <c r="E75" i="3"/>
  <c r="E76" i="3" s="1"/>
  <c r="E77" i="3" s="1"/>
  <c r="E78" i="3" s="1"/>
  <c r="E79" i="3" s="1"/>
  <c r="E80" i="3" s="1"/>
  <c r="E81" i="3" s="1"/>
  <c r="E82" i="3" s="1"/>
  <c r="E83" i="3" s="1"/>
  <c r="E84" i="3" s="1"/>
  <c r="K14" i="3" s="1"/>
  <c r="O5" i="1" s="1"/>
  <c r="L5" i="1" l="1"/>
  <c r="M5" i="1" s="1"/>
  <c r="K12" i="3"/>
  <c r="K15" i="3"/>
  <c r="M6" i="3" s="1"/>
  <c r="K12" i="10"/>
  <c r="L12" i="1"/>
  <c r="M12" i="1" s="1"/>
  <c r="L6" i="1"/>
  <c r="M6" i="1" s="1"/>
  <c r="K12" i="4"/>
  <c r="L10" i="1"/>
  <c r="M10" i="1" s="1"/>
  <c r="K12" i="8"/>
  <c r="K15" i="4"/>
  <c r="M6" i="4" s="1"/>
  <c r="L4" i="1"/>
  <c r="M4" i="1" s="1"/>
  <c r="K12" i="2"/>
  <c r="L11" i="1"/>
  <c r="M11" i="1" s="1"/>
  <c r="K12" i="9"/>
  <c r="E35" i="6"/>
  <c r="E36" i="6" s="1"/>
  <c r="E37" i="6" s="1"/>
  <c r="E38" i="6" s="1"/>
  <c r="E39" i="6" s="1"/>
  <c r="E40" i="6" s="1"/>
  <c r="E41" i="6" s="1"/>
  <c r="E42" i="6" s="1"/>
  <c r="E43" i="6" s="1"/>
  <c r="E44" i="6" s="1"/>
  <c r="K14" i="6" s="1"/>
  <c r="O8" i="1" s="1"/>
  <c r="K10" i="6"/>
  <c r="K12" i="7"/>
  <c r="L9" i="1"/>
  <c r="M9" i="1" s="1"/>
  <c r="K10" i="5"/>
  <c r="E71" i="5"/>
  <c r="E72" i="5" s="1"/>
  <c r="E73" i="5" s="1"/>
  <c r="E74" i="5" s="1"/>
  <c r="E75" i="5" s="1"/>
  <c r="E76" i="5" s="1"/>
  <c r="E77" i="5" s="1"/>
  <c r="E78" i="5" s="1"/>
  <c r="E79" i="5" s="1"/>
  <c r="E80" i="5" s="1"/>
  <c r="K14" i="5" s="1"/>
  <c r="O7" i="1" s="1"/>
  <c r="K12" i="6" l="1"/>
  <c r="L8" i="1"/>
  <c r="M8" i="1" s="1"/>
  <c r="K12" i="5"/>
  <c r="L7" i="1"/>
  <c r="M7" i="1" s="1"/>
  <c r="K15" i="6"/>
  <c r="M6" i="6" s="1"/>
  <c r="K15" i="5"/>
  <c r="M6" i="5" s="1"/>
</calcChain>
</file>

<file path=xl/sharedStrings.xml><?xml version="1.0" encoding="utf-8"?>
<sst xmlns="http://schemas.openxmlformats.org/spreadsheetml/2006/main" count="285" uniqueCount="62">
  <si>
    <t>Block 04 dams - levels, capacities and reservoir curves (nine dams)</t>
  </si>
  <si>
    <t>Dam Name</t>
  </si>
  <si>
    <t>Crest El (m)</t>
  </si>
  <si>
    <t>FSL (m)</t>
  </si>
  <si>
    <t>Reservoir Capacity (Mm³)</t>
  </si>
  <si>
    <t>QPMF (m³/s)</t>
  </si>
  <si>
    <t>Hmax (m)</t>
  </si>
  <si>
    <t>C</t>
  </si>
  <si>
    <t>Spillway Length (m)</t>
  </si>
  <si>
    <t>Bed level (m)</t>
  </si>
  <si>
    <t>Dam height crest-bed (m)</t>
  </si>
  <si>
    <t>Area at FSL (km²)</t>
  </si>
  <si>
    <t>Volume at FSL (Mm³)</t>
  </si>
  <si>
    <t>Curve vs capacity (%)</t>
  </si>
  <si>
    <t>Area at crest (km²)</t>
  </si>
  <si>
    <t>Volume at crest (Mm³)</t>
  </si>
  <si>
    <t>PMP peak level, HMS Basin 3 (m)</t>
  </si>
  <si>
    <t>Head over FSL at PMP (m)</t>
  </si>
  <si>
    <t>PMP peak outflow, HMS Basin 3 (m³/s)</t>
  </si>
  <si>
    <t>PMP peak inflow, HMS Basin 3 (m³/s)</t>
  </si>
  <si>
    <t>Hawasinah 02</t>
  </si>
  <si>
    <t>Hawasinah 11</t>
  </si>
  <si>
    <t>Hawasinah UP</t>
  </si>
  <si>
    <t>Shafan 02</t>
  </si>
  <si>
    <t>Shafan 08</t>
  </si>
  <si>
    <t>Sarami 03</t>
  </si>
  <si>
    <t>Sarami 05</t>
  </si>
  <si>
    <t>Sakhin 04</t>
  </si>
  <si>
    <t>Sakhin 08 (Mehmum)</t>
  </si>
  <si>
    <t>Blue = data. Columns B-H: 'Block 04 Dams.xlsx' / 'Dams updated.shp' (dam design team). Columns I-O: read by formula from the curve sheets.</t>
  </si>
  <si>
    <t>Columns P, R, S: HEC-HMS 4.12 project HEC_HMS_Block_04, Basin 4 (the hydrology study's dam catchments + nine reservoirs), depth-area analysis 'DA PMP B4', reservoir element at its own analysis point (2026-10-06).</t>
  </si>
  <si>
    <t>Curves: 10 m DEM 'NSA 5m B04 Res10m' (the HMS terrain) inside the Crest_Level polygon closed by the dam axis; volumes by the conic formula between 0.5 m steps.</t>
  </si>
  <si>
    <t>Curve volumes at FSL are 2-6 % below the sheet capacities; the sheet values were kept as the reference for the dam team.</t>
  </si>
  <si>
    <t>Hawasinah 02 - reservoir elevation-area-volume</t>
  </si>
  <si>
    <t>Area: 10 m DEM (NSA 5m B04 Res10m) inside the crest polygon, pond connected to the dam axis, 0.5 m steps from bed to crest. Volume: conic formula between steps, dV = dz/3 (A1 + A2 + sqrt(A1 A2)). Column F: volume integrated cell by cell on the DEM (check only). Blue = data.</t>
  </si>
  <si>
    <t>Elevation (m)</t>
  </si>
  <si>
    <t>Area (km²)</t>
  </si>
  <si>
    <t>Area (m²)</t>
  </si>
  <si>
    <t>ΔV conic (Mm³)</t>
  </si>
  <si>
    <t>Volume (Mm³)</t>
  </si>
  <si>
    <t>Volume DEM-integrated (Mm³)</t>
  </si>
  <si>
    <t>Head above FSL (m)</t>
  </si>
  <si>
    <t>Head above crest (m)</t>
  </si>
  <si>
    <t>chart helper: reference lines</t>
  </si>
  <si>
    <t>Dam</t>
  </si>
  <si>
    <t>x volume</t>
  </si>
  <si>
    <t>y FSL</t>
  </si>
  <si>
    <t>y crest</t>
  </si>
  <si>
    <t>x area</t>
  </si>
  <si>
    <t>Crest level (m)</t>
  </si>
  <si>
    <t>Capacity per dams sheet (Mm³)</t>
  </si>
  <si>
    <t>Difference (%)</t>
  </si>
  <si>
    <t>Max volume in table (Mm³)</t>
  </si>
  <si>
    <t>Max area in table (km²)</t>
  </si>
  <si>
    <t>Hawasinah 11 - reservoir elevation-area-volume</t>
  </si>
  <si>
    <t>Hawasinah EX - reservoir elevation-area-volume</t>
  </si>
  <si>
    <t>Shafan 02 - reservoir elevation-area-volume</t>
  </si>
  <si>
    <t>Shafan 08 - reservoir elevation-area-volume</t>
  </si>
  <si>
    <t>Sarami 03 - reservoir elevation-area-volume</t>
  </si>
  <si>
    <t>Sarami 05 - reservoir elevation-area-volume</t>
  </si>
  <si>
    <t>Sakhin 04 - reservoir elevation-area-volume</t>
  </si>
  <si>
    <t>Sakhin 08 - reservoir elevation-area-volume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</si>
</sst>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color rgb="FF7F7F7F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0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4" fillId="0" borderId="1" xfId="0" applyFont="1" applyBorder="1"/>
    <xf numFmtId="164" fontId="7" fillId="0" borderId="1" xfId="0" applyNumberFormat="1" applyFont="1" applyBorder="1"/>
    <xf numFmtId="2" fontId="7" fillId="0" borderId="1" xfId="0" applyNumberFormat="1" applyFont="1" applyBorder="1"/>
    <xf numFmtId="167" fontId="7" fillId="0" borderId="1" xfId="0" applyNumberFormat="1" applyFont="1" applyBorder="1"/>
    <xf numFmtId="2" fontId="4" fillId="0" borderId="1" xfId="0" applyNumberFormat="1" applyFont="1" applyBorder="1"/>
    <xf numFmtId="3" fontId="4" fillId="0" borderId="1" xfId="0" applyNumberFormat="1" applyFont="1" applyBorder="1"/>
    <xf numFmtId="0" fontId="2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6" fontId="2" fillId="0" borderId="1" xfId="0" applyNumberFormat="1" applyFont="1" applyBorder="1"/>
    <xf numFmtId="164" fontId="5" fillId="0" borderId="1" xfId="0" applyNumberFormat="1" applyFont="1" applyBorder="1"/>
    <xf numFmtId="2" fontId="7" fillId="3" borderId="1" xfId="0" applyNumberFormat="1" applyFont="1" applyFill="1" applyBorder="1"/>
    <xf numFmtId="0" fontId="5" fillId="0" borderId="1" xfId="0" applyFont="1" applyBorder="1"/>
    <xf numFmtId="164" fontId="7" fillId="3" borderId="1" xfId="0" applyNumberFormat="1" applyFont="1" applyFill="1" applyBorder="1"/>
    <xf numFmtId="167" fontId="7" fillId="3" borderId="1" xfId="0" applyNumberFormat="1" applyFont="1" applyFill="1" applyBorder="1"/>
    <xf numFmtId="0" fontId="2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Hawasinah 02 - elevation vs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'Hawasinah 02'!$M$9</c:f>
              <c:strCache>
                <c:ptCount val="1"/>
                <c:pt idx="0">
                  <c:v>Elevation-volume curve</c:v>
                </c:pt>
              </c:strCache>
            </c:strRef>
          </c:tx>
          <c:spPr>
            <a:ln w="22225" cap="rnd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'Hawasinah 02'!$E$4:$E$43</c:f>
              <c:numCache>
                <c:formatCode>0.000</c:formatCode>
                <c:ptCount val="40"/>
                <c:pt idx="0">
                  <c:v>0</c:v>
                </c:pt>
                <c:pt idx="1">
                  <c:v>2.1666666666666666E-4</c:v>
                </c:pt>
                <c:pt idx="2">
                  <c:v>9.6785412132450478E-4</c:v>
                </c:pt>
                <c:pt idx="3">
                  <c:v>3.1552346836694572E-3</c:v>
                </c:pt>
                <c:pt idx="4">
                  <c:v>1.014223146266926E-2</c:v>
                </c:pt>
                <c:pt idx="5">
                  <c:v>3.0094404990585813E-2</c:v>
                </c:pt>
                <c:pt idx="6">
                  <c:v>7.6132942177840807E-2</c:v>
                </c:pt>
                <c:pt idx="7">
                  <c:v>0.16006098302923316</c:v>
                </c:pt>
                <c:pt idx="8">
                  <c:v>0.2859396100174133</c:v>
                </c:pt>
                <c:pt idx="9">
                  <c:v>0.45228220211293113</c:v>
                </c:pt>
                <c:pt idx="10">
                  <c:v>0.65687441966982263</c:v>
                </c:pt>
                <c:pt idx="11">
                  <c:v>0.89573118038864452</c:v>
                </c:pt>
                <c:pt idx="12">
                  <c:v>1.1649946484232907</c:v>
                </c:pt>
                <c:pt idx="13">
                  <c:v>1.4624455174971356</c:v>
                </c:pt>
                <c:pt idx="14">
                  <c:v>1.7845294358058379</c:v>
                </c:pt>
                <c:pt idx="15">
                  <c:v>2.1308981063545862</c:v>
                </c:pt>
                <c:pt idx="16">
                  <c:v>2.5043099883791298</c:v>
                </c:pt>
                <c:pt idx="17">
                  <c:v>2.9084202939976134</c:v>
                </c:pt>
                <c:pt idx="18">
                  <c:v>3.3456177501157516</c:v>
                </c:pt>
                <c:pt idx="19">
                  <c:v>3.8162894978281003</c:v>
                </c:pt>
                <c:pt idx="20">
                  <c:v>4.3184459087278686</c:v>
                </c:pt>
                <c:pt idx="21">
                  <c:v>4.8507429858123716</c:v>
                </c:pt>
                <c:pt idx="22">
                  <c:v>5.4138263842787726</c:v>
                </c:pt>
                <c:pt idx="23">
                  <c:v>6.0094897070885587</c:v>
                </c:pt>
                <c:pt idx="24">
                  <c:v>6.6409275110014629</c:v>
                </c:pt>
                <c:pt idx="25">
                  <c:v>7.3097851674665808</c:v>
                </c:pt>
                <c:pt idx="26">
                  <c:v>8.020712752875955</c:v>
                </c:pt>
                <c:pt idx="27">
                  <c:v>8.7781891547836466</c:v>
                </c:pt>
                <c:pt idx="28">
                  <c:v>9.5770741610381727</c:v>
                </c:pt>
                <c:pt idx="29">
                  <c:v>10.41230437895871</c:v>
                </c:pt>
                <c:pt idx="30">
                  <c:v>11.284540385902805</c:v>
                </c:pt>
                <c:pt idx="31">
                  <c:v>12.19270837545629</c:v>
                </c:pt>
                <c:pt idx="32">
                  <c:v>13.138612009676244</c:v>
                </c:pt>
                <c:pt idx="33">
                  <c:v>14.125736837327185</c:v>
                </c:pt>
                <c:pt idx="34">
                  <c:v>15.155586153470365</c:v>
                </c:pt>
                <c:pt idx="35">
                  <c:v>16.230674623678837</c:v>
                </c:pt>
                <c:pt idx="36">
                  <c:v>17.353860732306128</c:v>
                </c:pt>
                <c:pt idx="37">
                  <c:v>18.529747611888602</c:v>
                </c:pt>
                <c:pt idx="38">
                  <c:v>19.763181603738545</c:v>
                </c:pt>
                <c:pt idx="39">
                  <c:v>21.059783874618947</c:v>
                </c:pt>
              </c:numCache>
            </c:numRef>
          </c:xVal>
          <c:yVal>
            <c:numRef>
              <c:f>'Hawasinah 02'!$A$4:$A$43</c:f>
              <c:numCache>
                <c:formatCode>0.0</c:formatCode>
                <c:ptCount val="40"/>
                <c:pt idx="0">
                  <c:v>129.5</c:v>
                </c:pt>
                <c:pt idx="1">
                  <c:v>130</c:v>
                </c:pt>
                <c:pt idx="2">
                  <c:v>130.5</c:v>
                </c:pt>
                <c:pt idx="3">
                  <c:v>131</c:v>
                </c:pt>
                <c:pt idx="4">
                  <c:v>131.5</c:v>
                </c:pt>
                <c:pt idx="5">
                  <c:v>132</c:v>
                </c:pt>
                <c:pt idx="6">
                  <c:v>132.5</c:v>
                </c:pt>
                <c:pt idx="7">
                  <c:v>133</c:v>
                </c:pt>
                <c:pt idx="8">
                  <c:v>133.5</c:v>
                </c:pt>
                <c:pt idx="9">
                  <c:v>134</c:v>
                </c:pt>
                <c:pt idx="10">
                  <c:v>134.5</c:v>
                </c:pt>
                <c:pt idx="11">
                  <c:v>135</c:v>
                </c:pt>
                <c:pt idx="12">
                  <c:v>135.5</c:v>
                </c:pt>
                <c:pt idx="13">
                  <c:v>136</c:v>
                </c:pt>
                <c:pt idx="14">
                  <c:v>136.5</c:v>
                </c:pt>
                <c:pt idx="15">
                  <c:v>137</c:v>
                </c:pt>
                <c:pt idx="16">
                  <c:v>137.5</c:v>
                </c:pt>
                <c:pt idx="17">
                  <c:v>138</c:v>
                </c:pt>
                <c:pt idx="18">
                  <c:v>138.5</c:v>
                </c:pt>
                <c:pt idx="19">
                  <c:v>139</c:v>
                </c:pt>
                <c:pt idx="20">
                  <c:v>139.5</c:v>
                </c:pt>
                <c:pt idx="21">
                  <c:v>140</c:v>
                </c:pt>
                <c:pt idx="22">
                  <c:v>140.5</c:v>
                </c:pt>
                <c:pt idx="23">
                  <c:v>141</c:v>
                </c:pt>
                <c:pt idx="24">
                  <c:v>141.5</c:v>
                </c:pt>
                <c:pt idx="25">
                  <c:v>142</c:v>
                </c:pt>
                <c:pt idx="26">
                  <c:v>142.5</c:v>
                </c:pt>
                <c:pt idx="27">
                  <c:v>143</c:v>
                </c:pt>
                <c:pt idx="28">
                  <c:v>143.5</c:v>
                </c:pt>
                <c:pt idx="29">
                  <c:v>144</c:v>
                </c:pt>
                <c:pt idx="30">
                  <c:v>144.5</c:v>
                </c:pt>
                <c:pt idx="31">
                  <c:v>145</c:v>
                </c:pt>
                <c:pt idx="32">
                  <c:v>145.5</c:v>
                </c:pt>
                <c:pt idx="33">
                  <c:v>146</c:v>
                </c:pt>
                <c:pt idx="34">
                  <c:v>146.5</c:v>
                </c:pt>
                <c:pt idx="35">
                  <c:v>147</c:v>
                </c:pt>
                <c:pt idx="36">
                  <c:v>147.5</c:v>
                </c:pt>
                <c:pt idx="37">
                  <c:v>148</c:v>
                </c:pt>
                <c:pt idx="38">
                  <c:v>148.5</c:v>
                </c:pt>
                <c:pt idx="39">
                  <c:v>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E-430F-8F38-EBD52664F87F}"/>
            </c:ext>
          </c:extLst>
        </c:ser>
        <c:ser>
          <c:idx val="1"/>
          <c:order val="1"/>
          <c:tx>
            <c:strRef>
              <c:f>'Hawasinah 02'!$M$7</c:f>
              <c:strCache>
                <c:ptCount val="1"/>
                <c:pt idx="0">
                  <c:v>FSL 144.0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'Hawasinah 02'!$M$5:$M$6</c:f>
              <c:numCache>
                <c:formatCode>General</c:formatCode>
                <c:ptCount val="2"/>
                <c:pt idx="0">
                  <c:v>0</c:v>
                </c:pt>
                <c:pt idx="1">
                  <c:v>21.480979552111325</c:v>
                </c:pt>
              </c:numCache>
            </c:numRef>
          </c:xVal>
          <c:yVal>
            <c:numRef>
              <c:f>'Hawasinah 02'!$N$5:$N$6</c:f>
              <c:numCache>
                <c:formatCode>General</c:formatCode>
                <c:ptCount val="2"/>
                <c:pt idx="0">
                  <c:v>144</c:v>
                </c:pt>
                <c:pt idx="1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7E-430F-8F38-EBD52664F87F}"/>
            </c:ext>
          </c:extLst>
        </c:ser>
        <c:ser>
          <c:idx val="2"/>
          <c:order val="2"/>
          <c:tx>
            <c:strRef>
              <c:f>'Hawasinah 02'!$M$8</c:f>
              <c:strCache>
                <c:ptCount val="1"/>
                <c:pt idx="0">
                  <c:v>Crest 149.0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'Hawasinah 02'!$M$5:$M$6</c:f>
              <c:numCache>
                <c:formatCode>General</c:formatCode>
                <c:ptCount val="2"/>
                <c:pt idx="0">
                  <c:v>0</c:v>
                </c:pt>
                <c:pt idx="1">
                  <c:v>21.480979552111325</c:v>
                </c:pt>
              </c:numCache>
            </c:numRef>
          </c:xVal>
          <c:yVal>
            <c:numRef>
              <c:f>'Hawasinah 02'!$O$5:$O$6</c:f>
              <c:numCache>
                <c:formatCode>General</c:formatCode>
                <c:ptCount val="2"/>
                <c:pt idx="0">
                  <c:v>149</c:v>
                </c:pt>
                <c:pt idx="1">
                  <c:v>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7E-430F-8F38-EBD52664F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Volume (Mm³)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50"/>
          <c:min val="125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Hawasinah 02 - elevation vs area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'Hawasinah 02'!$M$10</c:f>
              <c:strCache>
                <c:ptCount val="1"/>
                <c:pt idx="0">
                  <c:v>Elevation-area curve</c:v>
                </c:pt>
              </c:strCache>
            </c:strRef>
          </c:tx>
          <c:spPr>
            <a:ln w="22225" cap="rnd">
              <a:solidFill>
                <a:srgbClr val="2E75B6"/>
              </a:solidFill>
              <a:prstDash val="solid"/>
            </a:ln>
          </c:spPr>
          <c:marker>
            <c:symbol val="none"/>
          </c:marker>
          <c:xVal>
            <c:numRef>
              <c:f>'Hawasinah 02'!$B$4:$B$43</c:f>
              <c:numCache>
                <c:formatCode>0.0000</c:formatCode>
                <c:ptCount val="40"/>
                <c:pt idx="0">
                  <c:v>1E-4</c:v>
                </c:pt>
                <c:pt idx="1">
                  <c:v>8.9999999999999998E-4</c:v>
                </c:pt>
                <c:pt idx="2">
                  <c:v>2.2000000000000001E-3</c:v>
                </c:pt>
                <c:pt idx="3">
                  <c:v>7.0000000000000001E-3</c:v>
                </c:pt>
                <c:pt idx="4">
                  <c:v>2.24E-2</c:v>
                </c:pt>
                <c:pt idx="5">
                  <c:v>6.0499999999999998E-2</c:v>
                </c:pt>
                <c:pt idx="6">
                  <c:v>0.1278</c:v>
                </c:pt>
                <c:pt idx="7">
                  <c:v>0.2114</c:v>
                </c:pt>
                <c:pt idx="8">
                  <c:v>0.2944</c:v>
                </c:pt>
                <c:pt idx="9">
                  <c:v>0.3725</c:v>
                </c:pt>
                <c:pt idx="10">
                  <c:v>0.44700000000000001</c:v>
                </c:pt>
                <c:pt idx="11">
                  <c:v>0.5091</c:v>
                </c:pt>
                <c:pt idx="12">
                  <c:v>0.56850000000000001</c:v>
                </c:pt>
                <c:pt idx="13">
                  <c:v>0.62170000000000003</c:v>
                </c:pt>
                <c:pt idx="14">
                  <c:v>0.66690000000000005</c:v>
                </c:pt>
                <c:pt idx="15">
                  <c:v>0.71889999999999998</c:v>
                </c:pt>
                <c:pt idx="16">
                  <c:v>0.77510000000000001</c:v>
                </c:pt>
                <c:pt idx="17">
                  <c:v>0.84179999999999999</c:v>
                </c:pt>
                <c:pt idx="18">
                  <c:v>0.90739999999999998</c:v>
                </c:pt>
                <c:pt idx="19">
                  <c:v>0.97570000000000001</c:v>
                </c:pt>
                <c:pt idx="20">
                  <c:v>1.0331999999999999</c:v>
                </c:pt>
                <c:pt idx="21">
                  <c:v>1.0963000000000001</c:v>
                </c:pt>
                <c:pt idx="22">
                  <c:v>1.1563000000000001</c:v>
                </c:pt>
                <c:pt idx="23">
                  <c:v>1.2266999999999999</c:v>
                </c:pt>
                <c:pt idx="24">
                  <c:v>1.2994000000000001</c:v>
                </c:pt>
                <c:pt idx="25">
                  <c:v>1.3764000000000001</c:v>
                </c:pt>
                <c:pt idx="26">
                  <c:v>1.4678</c:v>
                </c:pt>
                <c:pt idx="27">
                  <c:v>1.5626</c:v>
                </c:pt>
                <c:pt idx="28">
                  <c:v>1.6332</c:v>
                </c:pt>
                <c:pt idx="29">
                  <c:v>1.708</c:v>
                </c:pt>
                <c:pt idx="30">
                  <c:v>1.7811999999999999</c:v>
                </c:pt>
                <c:pt idx="31">
                  <c:v>1.8516999999999999</c:v>
                </c:pt>
                <c:pt idx="32">
                  <c:v>1.9321999999999999</c:v>
                </c:pt>
                <c:pt idx="33">
                  <c:v>2.0165999999999999</c:v>
                </c:pt>
                <c:pt idx="34">
                  <c:v>2.1031</c:v>
                </c:pt>
                <c:pt idx="35">
                  <c:v>2.1976</c:v>
                </c:pt>
                <c:pt idx="36">
                  <c:v>2.2955000000000001</c:v>
                </c:pt>
                <c:pt idx="37">
                  <c:v>2.4085000000000001</c:v>
                </c:pt>
                <c:pt idx="38">
                  <c:v>2.5257000000000001</c:v>
                </c:pt>
                <c:pt idx="39">
                  <c:v>2.6613000000000002</c:v>
                </c:pt>
              </c:numCache>
            </c:numRef>
          </c:xVal>
          <c:yVal>
            <c:numRef>
              <c:f>'Hawasinah 02'!$A$4:$A$43</c:f>
              <c:numCache>
                <c:formatCode>0.0</c:formatCode>
                <c:ptCount val="40"/>
                <c:pt idx="0">
                  <c:v>129.5</c:v>
                </c:pt>
                <c:pt idx="1">
                  <c:v>130</c:v>
                </c:pt>
                <c:pt idx="2">
                  <c:v>130.5</c:v>
                </c:pt>
                <c:pt idx="3">
                  <c:v>131</c:v>
                </c:pt>
                <c:pt idx="4">
                  <c:v>131.5</c:v>
                </c:pt>
                <c:pt idx="5">
                  <c:v>132</c:v>
                </c:pt>
                <c:pt idx="6">
                  <c:v>132.5</c:v>
                </c:pt>
                <c:pt idx="7">
                  <c:v>133</c:v>
                </c:pt>
                <c:pt idx="8">
                  <c:v>133.5</c:v>
                </c:pt>
                <c:pt idx="9">
                  <c:v>134</c:v>
                </c:pt>
                <c:pt idx="10">
                  <c:v>134.5</c:v>
                </c:pt>
                <c:pt idx="11">
                  <c:v>135</c:v>
                </c:pt>
                <c:pt idx="12">
                  <c:v>135.5</c:v>
                </c:pt>
                <c:pt idx="13">
                  <c:v>136</c:v>
                </c:pt>
                <c:pt idx="14">
                  <c:v>136.5</c:v>
                </c:pt>
                <c:pt idx="15">
                  <c:v>137</c:v>
                </c:pt>
                <c:pt idx="16">
                  <c:v>137.5</c:v>
                </c:pt>
                <c:pt idx="17">
                  <c:v>138</c:v>
                </c:pt>
                <c:pt idx="18">
                  <c:v>138.5</c:v>
                </c:pt>
                <c:pt idx="19">
                  <c:v>139</c:v>
                </c:pt>
                <c:pt idx="20">
                  <c:v>139.5</c:v>
                </c:pt>
                <c:pt idx="21">
                  <c:v>140</c:v>
                </c:pt>
                <c:pt idx="22">
                  <c:v>140.5</c:v>
                </c:pt>
                <c:pt idx="23">
                  <c:v>141</c:v>
                </c:pt>
                <c:pt idx="24">
                  <c:v>141.5</c:v>
                </c:pt>
                <c:pt idx="25">
                  <c:v>142</c:v>
                </c:pt>
                <c:pt idx="26">
                  <c:v>142.5</c:v>
                </c:pt>
                <c:pt idx="27">
                  <c:v>143</c:v>
                </c:pt>
                <c:pt idx="28">
                  <c:v>143.5</c:v>
                </c:pt>
                <c:pt idx="29">
                  <c:v>144</c:v>
                </c:pt>
                <c:pt idx="30">
                  <c:v>144.5</c:v>
                </c:pt>
                <c:pt idx="31">
                  <c:v>145</c:v>
                </c:pt>
                <c:pt idx="32">
                  <c:v>145.5</c:v>
                </c:pt>
                <c:pt idx="33">
                  <c:v>146</c:v>
                </c:pt>
                <c:pt idx="34">
                  <c:v>146.5</c:v>
                </c:pt>
                <c:pt idx="35">
                  <c:v>147</c:v>
                </c:pt>
                <c:pt idx="36">
                  <c:v>147.5</c:v>
                </c:pt>
                <c:pt idx="37">
                  <c:v>148</c:v>
                </c:pt>
                <c:pt idx="38">
                  <c:v>148.5</c:v>
                </c:pt>
                <c:pt idx="39">
                  <c:v>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B-44DC-9DA2-FCBACC5BF496}"/>
            </c:ext>
          </c:extLst>
        </c:ser>
        <c:ser>
          <c:idx val="1"/>
          <c:order val="1"/>
          <c:tx>
            <c:strRef>
              <c:f>'Hawasinah 02'!$M$7</c:f>
              <c:strCache>
                <c:ptCount val="1"/>
                <c:pt idx="0">
                  <c:v>FSL 144.0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'Hawasinah 02'!$P$5:$P$6</c:f>
              <c:numCache>
                <c:formatCode>General</c:formatCode>
                <c:ptCount val="2"/>
                <c:pt idx="0">
                  <c:v>0</c:v>
                </c:pt>
                <c:pt idx="1">
                  <c:v>2.7145260000000002</c:v>
                </c:pt>
              </c:numCache>
            </c:numRef>
          </c:xVal>
          <c:yVal>
            <c:numRef>
              <c:f>'Hawasinah 02'!$N$5:$N$6</c:f>
              <c:numCache>
                <c:formatCode>General</c:formatCode>
                <c:ptCount val="2"/>
                <c:pt idx="0">
                  <c:v>144</c:v>
                </c:pt>
                <c:pt idx="1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B-44DC-9DA2-FCBACC5BF496}"/>
            </c:ext>
          </c:extLst>
        </c:ser>
        <c:ser>
          <c:idx val="2"/>
          <c:order val="2"/>
          <c:tx>
            <c:strRef>
              <c:f>'Hawasinah 02'!$M$8</c:f>
              <c:strCache>
                <c:ptCount val="1"/>
                <c:pt idx="0">
                  <c:v>Crest 149.0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'Hawasinah 02'!$P$5:$P$6</c:f>
              <c:numCache>
                <c:formatCode>General</c:formatCode>
                <c:ptCount val="2"/>
                <c:pt idx="0">
                  <c:v>0</c:v>
                </c:pt>
                <c:pt idx="1">
                  <c:v>2.7145260000000002</c:v>
                </c:pt>
              </c:numCache>
            </c:numRef>
          </c:xVal>
          <c:yVal>
            <c:numRef>
              <c:f>'Hawasinah 02'!$O$5:$O$6</c:f>
              <c:numCache>
                <c:formatCode>General</c:formatCode>
                <c:ptCount val="2"/>
                <c:pt idx="0">
                  <c:v>149</c:v>
                </c:pt>
                <c:pt idx="1">
                  <c:v>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3B-44DC-9DA2-FCBACC5BF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Area (km²)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50"/>
          <c:min val="125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Hawasinah 11 - elevation vs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'Hawasinah 11'!$M$9</c:f>
              <c:strCache>
                <c:ptCount val="1"/>
                <c:pt idx="0">
                  <c:v>Elevation-volume curve</c:v>
                </c:pt>
              </c:strCache>
            </c:strRef>
          </c:tx>
          <c:spPr>
            <a:ln w="22225" cap="rnd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'Hawasinah 11'!$E$4:$E$84</c:f>
              <c:numCache>
                <c:formatCode>0.000</c:formatCode>
                <c:ptCount val="81"/>
                <c:pt idx="0">
                  <c:v>0</c:v>
                </c:pt>
                <c:pt idx="1">
                  <c:v>1.0218251071716681E-3</c:v>
                </c:pt>
                <c:pt idx="2">
                  <c:v>4.6306354355320593E-3</c:v>
                </c:pt>
                <c:pt idx="3">
                  <c:v>1.2649666611486091E-2</c:v>
                </c:pt>
                <c:pt idx="4">
                  <c:v>2.5649050484164226E-2</c:v>
                </c:pt>
                <c:pt idx="5">
                  <c:v>4.4375394242588156E-2</c:v>
                </c:pt>
                <c:pt idx="6">
                  <c:v>6.994542310256785E-2</c:v>
                </c:pt>
                <c:pt idx="7">
                  <c:v>0.10277395160523053</c:v>
                </c:pt>
                <c:pt idx="8">
                  <c:v>0.14374512120291236</c:v>
                </c:pt>
                <c:pt idx="9">
                  <c:v>0.19297056012832747</c:v>
                </c:pt>
                <c:pt idx="10">
                  <c:v>0.2506580560566658</c:v>
                </c:pt>
                <c:pt idx="11">
                  <c:v>0.31706687782536258</c:v>
                </c:pt>
                <c:pt idx="12">
                  <c:v>0.3921198740877635</c:v>
                </c:pt>
                <c:pt idx="13">
                  <c:v>0.47662346785506904</c:v>
                </c:pt>
                <c:pt idx="14">
                  <c:v>0.57058592763625293</c:v>
                </c:pt>
                <c:pt idx="15">
                  <c:v>0.6736778197733434</c:v>
                </c:pt>
                <c:pt idx="16">
                  <c:v>0.78742238603565529</c:v>
                </c:pt>
                <c:pt idx="17">
                  <c:v>0.91295537062301468</c:v>
                </c:pt>
                <c:pt idx="18">
                  <c:v>1.0496431449306034</c:v>
                </c:pt>
                <c:pt idx="19">
                  <c:v>1.19745778109856</c:v>
                </c:pt>
                <c:pt idx="20">
                  <c:v>1.357018269245303</c:v>
                </c:pt>
                <c:pt idx="21">
                  <c:v>1.5292026823670408</c:v>
                </c:pt>
                <c:pt idx="22">
                  <c:v>1.7142410731661741</c:v>
                </c:pt>
                <c:pt idx="23">
                  <c:v>1.9122544055733008</c:v>
                </c:pt>
                <c:pt idx="24">
                  <c:v>2.1227768453452507</c:v>
                </c:pt>
                <c:pt idx="25">
                  <c:v>2.3448528864181371</c:v>
                </c:pt>
                <c:pt idx="26">
                  <c:v>2.5787754968393801</c:v>
                </c:pt>
                <c:pt idx="27">
                  <c:v>2.8254217254633263</c:v>
                </c:pt>
                <c:pt idx="28">
                  <c:v>3.0858133117016449</c:v>
                </c:pt>
                <c:pt idx="29">
                  <c:v>3.360160835668605</c:v>
                </c:pt>
                <c:pt idx="30">
                  <c:v>3.6490009523126918</c:v>
                </c:pt>
                <c:pt idx="31">
                  <c:v>3.9523014675628212</c:v>
                </c:pt>
                <c:pt idx="32">
                  <c:v>4.2711105195775421</c:v>
                </c:pt>
                <c:pt idx="33">
                  <c:v>4.6065554831890072</c:v>
                </c:pt>
                <c:pt idx="34">
                  <c:v>4.9586927801442728</c:v>
                </c:pt>
                <c:pt idx="35">
                  <c:v>5.3293265508896868</c:v>
                </c:pt>
                <c:pt idx="36">
                  <c:v>5.7207726604522184</c:v>
                </c:pt>
                <c:pt idx="37">
                  <c:v>6.1346473681734963</c:v>
                </c:pt>
                <c:pt idx="38">
                  <c:v>6.5696842468901577</c:v>
                </c:pt>
                <c:pt idx="39">
                  <c:v>7.025814021544261</c:v>
                </c:pt>
                <c:pt idx="40">
                  <c:v>7.5046175832341957</c:v>
                </c:pt>
                <c:pt idx="41">
                  <c:v>8.0062751587446144</c:v>
                </c:pt>
                <c:pt idx="42">
                  <c:v>8.5319488171532782</c:v>
                </c:pt>
                <c:pt idx="43">
                  <c:v>9.0831492745712055</c:v>
                </c:pt>
                <c:pt idx="44">
                  <c:v>9.6593810465281784</c:v>
                </c:pt>
                <c:pt idx="45">
                  <c:v>10.260188734633177</c:v>
                </c:pt>
                <c:pt idx="46">
                  <c:v>10.884455839193221</c:v>
                </c:pt>
                <c:pt idx="47">
                  <c:v>11.531918149930846</c:v>
                </c:pt>
                <c:pt idx="48">
                  <c:v>12.204277535503476</c:v>
                </c:pt>
                <c:pt idx="49">
                  <c:v>12.900199858851902</c:v>
                </c:pt>
                <c:pt idx="50">
                  <c:v>13.61841890140318</c:v>
                </c:pt>
                <c:pt idx="51">
                  <c:v>14.359241430864458</c:v>
                </c:pt>
                <c:pt idx="52">
                  <c:v>15.122761803815397</c:v>
                </c:pt>
                <c:pt idx="53">
                  <c:v>15.909657685569091</c:v>
                </c:pt>
                <c:pt idx="54">
                  <c:v>16.720079049753579</c:v>
                </c:pt>
                <c:pt idx="55">
                  <c:v>17.553528852769269</c:v>
                </c:pt>
                <c:pt idx="56">
                  <c:v>18.409429316732592</c:v>
                </c:pt>
                <c:pt idx="57">
                  <c:v>19.288278245193688</c:v>
                </c:pt>
                <c:pt idx="58">
                  <c:v>20.190104854861968</c:v>
                </c:pt>
                <c:pt idx="59">
                  <c:v>21.114880183675766</c:v>
                </c:pt>
                <c:pt idx="60">
                  <c:v>22.064250969140023</c:v>
                </c:pt>
                <c:pt idx="61">
                  <c:v>23.039074040377233</c:v>
                </c:pt>
                <c:pt idx="62">
                  <c:v>24.041162977455972</c:v>
                </c:pt>
                <c:pt idx="63">
                  <c:v>25.073996537126678</c:v>
                </c:pt>
                <c:pt idx="64">
                  <c:v>26.138383795553398</c:v>
                </c:pt>
                <c:pt idx="65">
                  <c:v>27.233448862140456</c:v>
                </c:pt>
                <c:pt idx="66">
                  <c:v>28.358665534732257</c:v>
                </c:pt>
                <c:pt idx="67">
                  <c:v>29.513335395493296</c:v>
                </c:pt>
                <c:pt idx="68">
                  <c:v>30.699519429300956</c:v>
                </c:pt>
                <c:pt idx="69">
                  <c:v>31.919307116823759</c:v>
                </c:pt>
                <c:pt idx="70">
                  <c:v>33.172842667697445</c:v>
                </c:pt>
                <c:pt idx="71">
                  <c:v>34.461003494974456</c:v>
                </c:pt>
                <c:pt idx="72">
                  <c:v>35.783268341438706</c:v>
                </c:pt>
                <c:pt idx="73">
                  <c:v>37.1402783260977</c:v>
                </c:pt>
                <c:pt idx="74">
                  <c:v>38.533190201304812</c:v>
                </c:pt>
                <c:pt idx="75">
                  <c:v>39.963122345409353</c:v>
                </c:pt>
                <c:pt idx="76">
                  <c:v>41.430509411775532</c:v>
                </c:pt>
                <c:pt idx="77">
                  <c:v>42.935816659929394</c:v>
                </c:pt>
                <c:pt idx="78">
                  <c:v>44.480375206320517</c:v>
                </c:pt>
                <c:pt idx="79">
                  <c:v>46.064433539588087</c:v>
                </c:pt>
                <c:pt idx="80">
                  <c:v>47.688741046821676</c:v>
                </c:pt>
              </c:numCache>
            </c:numRef>
          </c:xVal>
          <c:yVal>
            <c:numRef>
              <c:f>'Hawasinah 11'!$A$4:$A$84</c:f>
              <c:numCache>
                <c:formatCode>0.0</c:formatCode>
                <c:ptCount val="81"/>
                <c:pt idx="0">
                  <c:v>216</c:v>
                </c:pt>
                <c:pt idx="1">
                  <c:v>216.5</c:v>
                </c:pt>
                <c:pt idx="2">
                  <c:v>217</c:v>
                </c:pt>
                <c:pt idx="3">
                  <c:v>217.5</c:v>
                </c:pt>
                <c:pt idx="4">
                  <c:v>218</c:v>
                </c:pt>
                <c:pt idx="5">
                  <c:v>218.5</c:v>
                </c:pt>
                <c:pt idx="6">
                  <c:v>219</c:v>
                </c:pt>
                <c:pt idx="7">
                  <c:v>219.5</c:v>
                </c:pt>
                <c:pt idx="8">
                  <c:v>220</c:v>
                </c:pt>
                <c:pt idx="9">
                  <c:v>220.5</c:v>
                </c:pt>
                <c:pt idx="10">
                  <c:v>221</c:v>
                </c:pt>
                <c:pt idx="11">
                  <c:v>221.5</c:v>
                </c:pt>
                <c:pt idx="12">
                  <c:v>222</c:v>
                </c:pt>
                <c:pt idx="13">
                  <c:v>222.5</c:v>
                </c:pt>
                <c:pt idx="14">
                  <c:v>223</c:v>
                </c:pt>
                <c:pt idx="15">
                  <c:v>223.5</c:v>
                </c:pt>
                <c:pt idx="16">
                  <c:v>224</c:v>
                </c:pt>
                <c:pt idx="17">
                  <c:v>224.5</c:v>
                </c:pt>
                <c:pt idx="18">
                  <c:v>225</c:v>
                </c:pt>
                <c:pt idx="19">
                  <c:v>225.5</c:v>
                </c:pt>
                <c:pt idx="20">
                  <c:v>226</c:v>
                </c:pt>
                <c:pt idx="21">
                  <c:v>226.5</c:v>
                </c:pt>
                <c:pt idx="22">
                  <c:v>227</c:v>
                </c:pt>
                <c:pt idx="23">
                  <c:v>227.5</c:v>
                </c:pt>
                <c:pt idx="24">
                  <c:v>228</c:v>
                </c:pt>
                <c:pt idx="25">
                  <c:v>228.5</c:v>
                </c:pt>
                <c:pt idx="26">
                  <c:v>229</c:v>
                </c:pt>
                <c:pt idx="27">
                  <c:v>229.5</c:v>
                </c:pt>
                <c:pt idx="28">
                  <c:v>230</c:v>
                </c:pt>
                <c:pt idx="29">
                  <c:v>230.5</c:v>
                </c:pt>
                <c:pt idx="30">
                  <c:v>231</c:v>
                </c:pt>
                <c:pt idx="31">
                  <c:v>231.5</c:v>
                </c:pt>
                <c:pt idx="32">
                  <c:v>232</c:v>
                </c:pt>
                <c:pt idx="33">
                  <c:v>232.5</c:v>
                </c:pt>
                <c:pt idx="34">
                  <c:v>233</c:v>
                </c:pt>
                <c:pt idx="35">
                  <c:v>233.5</c:v>
                </c:pt>
                <c:pt idx="36">
                  <c:v>234</c:v>
                </c:pt>
                <c:pt idx="37">
                  <c:v>234.5</c:v>
                </c:pt>
                <c:pt idx="38">
                  <c:v>235</c:v>
                </c:pt>
                <c:pt idx="39">
                  <c:v>235.5</c:v>
                </c:pt>
                <c:pt idx="40">
                  <c:v>236</c:v>
                </c:pt>
                <c:pt idx="41">
                  <c:v>236.5</c:v>
                </c:pt>
                <c:pt idx="42">
                  <c:v>237</c:v>
                </c:pt>
                <c:pt idx="43">
                  <c:v>237.5</c:v>
                </c:pt>
                <c:pt idx="44">
                  <c:v>238</c:v>
                </c:pt>
                <c:pt idx="45">
                  <c:v>238.5</c:v>
                </c:pt>
                <c:pt idx="46">
                  <c:v>239</c:v>
                </c:pt>
                <c:pt idx="47">
                  <c:v>239.5</c:v>
                </c:pt>
                <c:pt idx="48">
                  <c:v>240</c:v>
                </c:pt>
                <c:pt idx="49">
                  <c:v>240.5</c:v>
                </c:pt>
                <c:pt idx="50">
                  <c:v>241</c:v>
                </c:pt>
                <c:pt idx="51">
                  <c:v>241.5</c:v>
                </c:pt>
                <c:pt idx="52">
                  <c:v>242</c:v>
                </c:pt>
                <c:pt idx="53">
                  <c:v>242.5</c:v>
                </c:pt>
                <c:pt idx="54">
                  <c:v>243</c:v>
                </c:pt>
                <c:pt idx="55">
                  <c:v>243.5</c:v>
                </c:pt>
                <c:pt idx="56">
                  <c:v>244</c:v>
                </c:pt>
                <c:pt idx="57">
                  <c:v>244.5</c:v>
                </c:pt>
                <c:pt idx="58">
                  <c:v>245</c:v>
                </c:pt>
                <c:pt idx="59">
                  <c:v>245.5</c:v>
                </c:pt>
                <c:pt idx="60">
                  <c:v>246</c:v>
                </c:pt>
                <c:pt idx="61">
                  <c:v>246.5</c:v>
                </c:pt>
                <c:pt idx="62">
                  <c:v>247</c:v>
                </c:pt>
                <c:pt idx="63">
                  <c:v>247.5</c:v>
                </c:pt>
                <c:pt idx="64">
                  <c:v>248</c:v>
                </c:pt>
                <c:pt idx="65">
                  <c:v>248.5</c:v>
                </c:pt>
                <c:pt idx="66">
                  <c:v>249</c:v>
                </c:pt>
                <c:pt idx="67">
                  <c:v>249.5</c:v>
                </c:pt>
                <c:pt idx="68">
                  <c:v>250</c:v>
                </c:pt>
                <c:pt idx="69">
                  <c:v>250.5</c:v>
                </c:pt>
                <c:pt idx="70">
                  <c:v>251</c:v>
                </c:pt>
                <c:pt idx="71">
                  <c:v>251.5</c:v>
                </c:pt>
                <c:pt idx="72">
                  <c:v>252</c:v>
                </c:pt>
                <c:pt idx="73">
                  <c:v>252.5</c:v>
                </c:pt>
                <c:pt idx="74">
                  <c:v>253</c:v>
                </c:pt>
                <c:pt idx="75">
                  <c:v>253.5</c:v>
                </c:pt>
                <c:pt idx="76">
                  <c:v>254</c:v>
                </c:pt>
                <c:pt idx="77">
                  <c:v>254.5</c:v>
                </c:pt>
                <c:pt idx="78">
                  <c:v>255</c:v>
                </c:pt>
                <c:pt idx="79">
                  <c:v>255.5</c:v>
                </c:pt>
                <c:pt idx="80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C-407F-B5AA-66219A737F5A}"/>
            </c:ext>
          </c:extLst>
        </c:ser>
        <c:ser>
          <c:idx val="1"/>
          <c:order val="1"/>
          <c:tx>
            <c:strRef>
              <c:f>'Hawasinah 11'!$M$7</c:f>
              <c:strCache>
                <c:ptCount val="1"/>
                <c:pt idx="0">
                  <c:v>FSL 251.0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'Hawasinah 11'!$M$5:$M$6</c:f>
              <c:numCache>
                <c:formatCode>General</c:formatCode>
                <c:ptCount val="2"/>
                <c:pt idx="0">
                  <c:v>0</c:v>
                </c:pt>
                <c:pt idx="1">
                  <c:v>48.642515867758107</c:v>
                </c:pt>
              </c:numCache>
            </c:numRef>
          </c:xVal>
          <c:yVal>
            <c:numRef>
              <c:f>'Hawasinah 11'!$N$5:$N$6</c:f>
              <c:numCache>
                <c:formatCode>General</c:formatCode>
                <c:ptCount val="2"/>
                <c:pt idx="0">
                  <c:v>251</c:v>
                </c:pt>
                <c:pt idx="1">
                  <c:v>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3C-407F-B5AA-66219A737F5A}"/>
            </c:ext>
          </c:extLst>
        </c:ser>
        <c:ser>
          <c:idx val="2"/>
          <c:order val="2"/>
          <c:tx>
            <c:strRef>
              <c:f>'Hawasinah 11'!$M$8</c:f>
              <c:strCache>
                <c:ptCount val="1"/>
                <c:pt idx="0">
                  <c:v>Crest 256.0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'Hawasinah 11'!$M$5:$M$6</c:f>
              <c:numCache>
                <c:formatCode>General</c:formatCode>
                <c:ptCount val="2"/>
                <c:pt idx="0">
                  <c:v>0</c:v>
                </c:pt>
                <c:pt idx="1">
                  <c:v>48.642515867758107</c:v>
                </c:pt>
              </c:numCache>
            </c:numRef>
          </c:xVal>
          <c:yVal>
            <c:numRef>
              <c:f>'Hawasinah 11'!$O$5:$O$6</c:f>
              <c:numCache>
                <c:formatCode>General</c:formatCode>
                <c:ptCount val="2"/>
                <c:pt idx="0">
                  <c:v>256</c:v>
                </c:pt>
                <c:pt idx="1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3C-407F-B5AA-66219A737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Volume (Mm³)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57"/>
          <c:min val="215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Hawasinah 11 - elevation vs area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'Hawasinah 11'!$M$10</c:f>
              <c:strCache>
                <c:ptCount val="1"/>
                <c:pt idx="0">
                  <c:v>Elevation-area curve</c:v>
                </c:pt>
              </c:strCache>
            </c:strRef>
          </c:tx>
          <c:spPr>
            <a:ln w="22225" cap="rnd">
              <a:solidFill>
                <a:srgbClr val="2E75B6"/>
              </a:solidFill>
              <a:prstDash val="solid"/>
            </a:ln>
          </c:spPr>
          <c:marker>
            <c:symbol val="none"/>
          </c:marker>
          <c:xVal>
            <c:numRef>
              <c:f>'Hawasinah 11'!$B$4:$B$84</c:f>
              <c:numCache>
                <c:formatCode>0.0000</c:formatCode>
                <c:ptCount val="81"/>
                <c:pt idx="0">
                  <c:v>6.9999999999999999E-4</c:v>
                </c:pt>
                <c:pt idx="1">
                  <c:v>3.8E-3</c:v>
                </c:pt>
                <c:pt idx="2">
                  <c:v>1.1299999999999999E-2</c:v>
                </c:pt>
                <c:pt idx="3">
                  <c:v>2.1299999999999999E-2</c:v>
                </c:pt>
                <c:pt idx="4">
                  <c:v>3.1E-2</c:v>
                </c:pt>
                <c:pt idx="5">
                  <c:v>4.4299999999999999E-2</c:v>
                </c:pt>
                <c:pt idx="6">
                  <c:v>5.8299999999999998E-2</c:v>
                </c:pt>
                <c:pt idx="7">
                  <c:v>7.3300000000000004E-2</c:v>
                </c:pt>
                <c:pt idx="8">
                  <c:v>9.0899999999999995E-2</c:v>
                </c:pt>
                <c:pt idx="9">
                  <c:v>0.1062</c:v>
                </c:pt>
                <c:pt idx="10">
                  <c:v>0.12479999999999999</c:v>
                </c:pt>
                <c:pt idx="11">
                  <c:v>0.14099999999999999</c:v>
                </c:pt>
                <c:pt idx="12">
                  <c:v>0.15939999999999999</c:v>
                </c:pt>
                <c:pt idx="13">
                  <c:v>0.17879999999999999</c:v>
                </c:pt>
                <c:pt idx="14">
                  <c:v>0.19719999999999999</c:v>
                </c:pt>
                <c:pt idx="15">
                  <c:v>0.21529999999999999</c:v>
                </c:pt>
                <c:pt idx="16">
                  <c:v>0.2399</c:v>
                </c:pt>
                <c:pt idx="17">
                  <c:v>0.26240000000000002</c:v>
                </c:pt>
                <c:pt idx="18">
                  <c:v>0.28449999999999998</c:v>
                </c:pt>
                <c:pt idx="19">
                  <c:v>0.30690000000000001</c:v>
                </c:pt>
                <c:pt idx="20">
                  <c:v>0.33150000000000002</c:v>
                </c:pt>
                <c:pt idx="21">
                  <c:v>0.3574</c:v>
                </c:pt>
                <c:pt idx="22">
                  <c:v>0.38290000000000002</c:v>
                </c:pt>
                <c:pt idx="23">
                  <c:v>0.4093</c:v>
                </c:pt>
                <c:pt idx="24">
                  <c:v>0.43290000000000001</c:v>
                </c:pt>
                <c:pt idx="25">
                  <c:v>0.45550000000000002</c:v>
                </c:pt>
                <c:pt idx="26">
                  <c:v>0.4803</c:v>
                </c:pt>
                <c:pt idx="27">
                  <c:v>0.50639999999999996</c:v>
                </c:pt>
                <c:pt idx="28">
                  <c:v>0.5353</c:v>
                </c:pt>
                <c:pt idx="29">
                  <c:v>0.56220000000000003</c:v>
                </c:pt>
                <c:pt idx="30">
                  <c:v>0.59330000000000005</c:v>
                </c:pt>
                <c:pt idx="31">
                  <c:v>0.62</c:v>
                </c:pt>
                <c:pt idx="32">
                  <c:v>0.65539999999999998</c:v>
                </c:pt>
                <c:pt idx="33">
                  <c:v>0.6865</c:v>
                </c:pt>
                <c:pt idx="34">
                  <c:v>0.72219999999999995</c:v>
                </c:pt>
                <c:pt idx="35">
                  <c:v>0.76049999999999995</c:v>
                </c:pt>
                <c:pt idx="36">
                  <c:v>0.80549999999999999</c:v>
                </c:pt>
                <c:pt idx="37">
                  <c:v>0.85019999999999996</c:v>
                </c:pt>
                <c:pt idx="38">
                  <c:v>0.8901</c:v>
                </c:pt>
                <c:pt idx="39">
                  <c:v>0.93459999999999999</c:v>
                </c:pt>
                <c:pt idx="40">
                  <c:v>0.98080000000000001</c:v>
                </c:pt>
                <c:pt idx="41">
                  <c:v>1.026</c:v>
                </c:pt>
                <c:pt idx="42">
                  <c:v>1.0769</c:v>
                </c:pt>
                <c:pt idx="43">
                  <c:v>1.1281000000000001</c:v>
                </c:pt>
                <c:pt idx="44">
                  <c:v>1.177</c:v>
                </c:pt>
                <c:pt idx="45">
                  <c:v>1.2263999999999999</c:v>
                </c:pt>
                <c:pt idx="46">
                  <c:v>1.2707999999999999</c:v>
                </c:pt>
                <c:pt idx="47">
                  <c:v>1.3191999999999999</c:v>
                </c:pt>
                <c:pt idx="48">
                  <c:v>1.3704000000000001</c:v>
                </c:pt>
                <c:pt idx="49">
                  <c:v>1.4134</c:v>
                </c:pt>
                <c:pt idx="50">
                  <c:v>1.4596</c:v>
                </c:pt>
                <c:pt idx="51">
                  <c:v>1.5038</c:v>
                </c:pt>
                <c:pt idx="52">
                  <c:v>1.5504</c:v>
                </c:pt>
                <c:pt idx="53">
                  <c:v>1.5972999999999999</c:v>
                </c:pt>
                <c:pt idx="54">
                  <c:v>1.6445000000000001</c:v>
                </c:pt>
                <c:pt idx="55">
                  <c:v>1.6894</c:v>
                </c:pt>
                <c:pt idx="56">
                  <c:v>1.7343</c:v>
                </c:pt>
                <c:pt idx="57">
                  <c:v>1.7811999999999999</c:v>
                </c:pt>
                <c:pt idx="58">
                  <c:v>1.8262</c:v>
                </c:pt>
                <c:pt idx="59">
                  <c:v>1.873</c:v>
                </c:pt>
                <c:pt idx="60">
                  <c:v>1.9246000000000001</c:v>
                </c:pt>
                <c:pt idx="61">
                  <c:v>1.9748000000000001</c:v>
                </c:pt>
                <c:pt idx="62">
                  <c:v>2.0337000000000001</c:v>
                </c:pt>
                <c:pt idx="63">
                  <c:v>2.0977999999999999</c:v>
                </c:pt>
                <c:pt idx="64">
                  <c:v>2.1598999999999999</c:v>
                </c:pt>
                <c:pt idx="65">
                  <c:v>2.2204999999999999</c:v>
                </c:pt>
                <c:pt idx="66">
                  <c:v>2.2805</c:v>
                </c:pt>
                <c:pt idx="67">
                  <c:v>2.3382999999999998</c:v>
                </c:pt>
                <c:pt idx="68">
                  <c:v>2.4066000000000001</c:v>
                </c:pt>
                <c:pt idx="69">
                  <c:v>2.4727000000000001</c:v>
                </c:pt>
                <c:pt idx="70">
                  <c:v>2.5415999999999999</c:v>
                </c:pt>
                <c:pt idx="71">
                  <c:v>2.6112000000000002</c:v>
                </c:pt>
                <c:pt idx="72">
                  <c:v>2.6779999999999999</c:v>
                </c:pt>
                <c:pt idx="73">
                  <c:v>2.7502</c:v>
                </c:pt>
                <c:pt idx="74">
                  <c:v>2.8216000000000001</c:v>
                </c:pt>
                <c:pt idx="75">
                  <c:v>2.8982999999999999</c:v>
                </c:pt>
                <c:pt idx="76">
                  <c:v>2.9714</c:v>
                </c:pt>
                <c:pt idx="77">
                  <c:v>3.05</c:v>
                </c:pt>
                <c:pt idx="78">
                  <c:v>3.1284000000000001</c:v>
                </c:pt>
                <c:pt idx="79">
                  <c:v>3.2080000000000002</c:v>
                </c:pt>
                <c:pt idx="80">
                  <c:v>3.2894000000000001</c:v>
                </c:pt>
              </c:numCache>
            </c:numRef>
          </c:xVal>
          <c:yVal>
            <c:numRef>
              <c:f>'Hawasinah 11'!$A$4:$A$84</c:f>
              <c:numCache>
                <c:formatCode>0.0</c:formatCode>
                <c:ptCount val="81"/>
                <c:pt idx="0">
                  <c:v>216</c:v>
                </c:pt>
                <c:pt idx="1">
                  <c:v>216.5</c:v>
                </c:pt>
                <c:pt idx="2">
                  <c:v>217</c:v>
                </c:pt>
                <c:pt idx="3">
                  <c:v>217.5</c:v>
                </c:pt>
                <c:pt idx="4">
                  <c:v>218</c:v>
                </c:pt>
                <c:pt idx="5">
                  <c:v>218.5</c:v>
                </c:pt>
                <c:pt idx="6">
                  <c:v>219</c:v>
                </c:pt>
                <c:pt idx="7">
                  <c:v>219.5</c:v>
                </c:pt>
                <c:pt idx="8">
                  <c:v>220</c:v>
                </c:pt>
                <c:pt idx="9">
                  <c:v>220.5</c:v>
                </c:pt>
                <c:pt idx="10">
                  <c:v>221</c:v>
                </c:pt>
                <c:pt idx="11">
                  <c:v>221.5</c:v>
                </c:pt>
                <c:pt idx="12">
                  <c:v>222</c:v>
                </c:pt>
                <c:pt idx="13">
                  <c:v>222.5</c:v>
                </c:pt>
                <c:pt idx="14">
                  <c:v>223</c:v>
                </c:pt>
                <c:pt idx="15">
                  <c:v>223.5</c:v>
                </c:pt>
                <c:pt idx="16">
                  <c:v>224</c:v>
                </c:pt>
                <c:pt idx="17">
                  <c:v>224.5</c:v>
                </c:pt>
                <c:pt idx="18">
                  <c:v>225</c:v>
                </c:pt>
                <c:pt idx="19">
                  <c:v>225.5</c:v>
                </c:pt>
                <c:pt idx="20">
                  <c:v>226</c:v>
                </c:pt>
                <c:pt idx="21">
                  <c:v>226.5</c:v>
                </c:pt>
                <c:pt idx="22">
                  <c:v>227</c:v>
                </c:pt>
                <c:pt idx="23">
                  <c:v>227.5</c:v>
                </c:pt>
                <c:pt idx="24">
                  <c:v>228</c:v>
                </c:pt>
                <c:pt idx="25">
                  <c:v>228.5</c:v>
                </c:pt>
                <c:pt idx="26">
                  <c:v>229</c:v>
                </c:pt>
                <c:pt idx="27">
                  <c:v>229.5</c:v>
                </c:pt>
                <c:pt idx="28">
                  <c:v>230</c:v>
                </c:pt>
                <c:pt idx="29">
                  <c:v>230.5</c:v>
                </c:pt>
                <c:pt idx="30">
                  <c:v>231</c:v>
                </c:pt>
                <c:pt idx="31">
                  <c:v>231.5</c:v>
                </c:pt>
                <c:pt idx="32">
                  <c:v>232</c:v>
                </c:pt>
                <c:pt idx="33">
                  <c:v>232.5</c:v>
                </c:pt>
                <c:pt idx="34">
                  <c:v>233</c:v>
                </c:pt>
                <c:pt idx="35">
                  <c:v>233.5</c:v>
                </c:pt>
                <c:pt idx="36">
                  <c:v>234</c:v>
                </c:pt>
                <c:pt idx="37">
                  <c:v>234.5</c:v>
                </c:pt>
                <c:pt idx="38">
                  <c:v>235</c:v>
                </c:pt>
                <c:pt idx="39">
                  <c:v>235.5</c:v>
                </c:pt>
                <c:pt idx="40">
                  <c:v>236</c:v>
                </c:pt>
                <c:pt idx="41">
                  <c:v>236.5</c:v>
                </c:pt>
                <c:pt idx="42">
                  <c:v>237</c:v>
                </c:pt>
                <c:pt idx="43">
                  <c:v>237.5</c:v>
                </c:pt>
                <c:pt idx="44">
                  <c:v>238</c:v>
                </c:pt>
                <c:pt idx="45">
                  <c:v>238.5</c:v>
                </c:pt>
                <c:pt idx="46">
                  <c:v>239</c:v>
                </c:pt>
                <c:pt idx="47">
                  <c:v>239.5</c:v>
                </c:pt>
                <c:pt idx="48">
                  <c:v>240</c:v>
                </c:pt>
                <c:pt idx="49">
                  <c:v>240.5</c:v>
                </c:pt>
                <c:pt idx="50">
                  <c:v>241</c:v>
                </c:pt>
                <c:pt idx="51">
                  <c:v>241.5</c:v>
                </c:pt>
                <c:pt idx="52">
                  <c:v>242</c:v>
                </c:pt>
                <c:pt idx="53">
                  <c:v>242.5</c:v>
                </c:pt>
                <c:pt idx="54">
                  <c:v>243</c:v>
                </c:pt>
                <c:pt idx="55">
                  <c:v>243.5</c:v>
                </c:pt>
                <c:pt idx="56">
                  <c:v>244</c:v>
                </c:pt>
                <c:pt idx="57">
                  <c:v>244.5</c:v>
                </c:pt>
                <c:pt idx="58">
                  <c:v>245</c:v>
                </c:pt>
                <c:pt idx="59">
                  <c:v>245.5</c:v>
                </c:pt>
                <c:pt idx="60">
                  <c:v>246</c:v>
                </c:pt>
                <c:pt idx="61">
                  <c:v>246.5</c:v>
                </c:pt>
                <c:pt idx="62">
                  <c:v>247</c:v>
                </c:pt>
                <c:pt idx="63">
                  <c:v>247.5</c:v>
                </c:pt>
                <c:pt idx="64">
                  <c:v>248</c:v>
                </c:pt>
                <c:pt idx="65">
                  <c:v>248.5</c:v>
                </c:pt>
                <c:pt idx="66">
                  <c:v>249</c:v>
                </c:pt>
                <c:pt idx="67">
                  <c:v>249.5</c:v>
                </c:pt>
                <c:pt idx="68">
                  <c:v>250</c:v>
                </c:pt>
                <c:pt idx="69">
                  <c:v>250.5</c:v>
                </c:pt>
                <c:pt idx="70">
                  <c:v>251</c:v>
                </c:pt>
                <c:pt idx="71">
                  <c:v>251.5</c:v>
                </c:pt>
                <c:pt idx="72">
                  <c:v>252</c:v>
                </c:pt>
                <c:pt idx="73">
                  <c:v>252.5</c:v>
                </c:pt>
                <c:pt idx="74">
                  <c:v>253</c:v>
                </c:pt>
                <c:pt idx="75">
                  <c:v>253.5</c:v>
                </c:pt>
                <c:pt idx="76">
                  <c:v>254</c:v>
                </c:pt>
                <c:pt idx="77">
                  <c:v>254.5</c:v>
                </c:pt>
                <c:pt idx="78">
                  <c:v>255</c:v>
                </c:pt>
                <c:pt idx="79">
                  <c:v>255.5</c:v>
                </c:pt>
                <c:pt idx="80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6B-42C7-AD76-95BAF79978B9}"/>
            </c:ext>
          </c:extLst>
        </c:ser>
        <c:ser>
          <c:idx val="1"/>
          <c:order val="1"/>
          <c:tx>
            <c:strRef>
              <c:f>'Hawasinah 11'!$M$7</c:f>
              <c:strCache>
                <c:ptCount val="1"/>
                <c:pt idx="0">
                  <c:v>FSL 251.0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'Hawasinah 11'!$P$5:$P$6</c:f>
              <c:numCache>
                <c:formatCode>General</c:formatCode>
                <c:ptCount val="2"/>
                <c:pt idx="0">
                  <c:v>0</c:v>
                </c:pt>
                <c:pt idx="1">
                  <c:v>3.3551880000000001</c:v>
                </c:pt>
              </c:numCache>
            </c:numRef>
          </c:xVal>
          <c:yVal>
            <c:numRef>
              <c:f>'Hawasinah 11'!$N$5:$N$6</c:f>
              <c:numCache>
                <c:formatCode>General</c:formatCode>
                <c:ptCount val="2"/>
                <c:pt idx="0">
                  <c:v>251</c:v>
                </c:pt>
                <c:pt idx="1">
                  <c:v>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6B-42C7-AD76-95BAF79978B9}"/>
            </c:ext>
          </c:extLst>
        </c:ser>
        <c:ser>
          <c:idx val="2"/>
          <c:order val="2"/>
          <c:tx>
            <c:strRef>
              <c:f>'Hawasinah 11'!$M$8</c:f>
              <c:strCache>
                <c:ptCount val="1"/>
                <c:pt idx="0">
                  <c:v>Crest 256.0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'Hawasinah 11'!$P$5:$P$6</c:f>
              <c:numCache>
                <c:formatCode>General</c:formatCode>
                <c:ptCount val="2"/>
                <c:pt idx="0">
                  <c:v>0</c:v>
                </c:pt>
                <c:pt idx="1">
                  <c:v>3.3551880000000001</c:v>
                </c:pt>
              </c:numCache>
            </c:numRef>
          </c:xVal>
          <c:yVal>
            <c:numRef>
              <c:f>'Hawasinah 11'!$O$5:$O$6</c:f>
              <c:numCache>
                <c:formatCode>General</c:formatCode>
                <c:ptCount val="2"/>
                <c:pt idx="0">
                  <c:v>256</c:v>
                </c:pt>
                <c:pt idx="1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6B-42C7-AD76-95BAF7997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Area (km²)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57"/>
          <c:min val="215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Hawasinah EX - elevation vs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'Hawasinah EX'!$M$9</c:f>
              <c:strCache>
                <c:ptCount val="1"/>
                <c:pt idx="0">
                  <c:v>Elevation-volume curve</c:v>
                </c:pt>
              </c:strCache>
            </c:strRef>
          </c:tx>
          <c:spPr>
            <a:ln w="22225" cap="rnd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'Hawasinah EX'!$E$4:$E$47</c:f>
              <c:numCache>
                <c:formatCode>0.000</c:formatCode>
                <c:ptCount val="44"/>
                <c:pt idx="0">
                  <c:v>0</c:v>
                </c:pt>
                <c:pt idx="1">
                  <c:v>1.7748456260538671E-3</c:v>
                </c:pt>
                <c:pt idx="2">
                  <c:v>9.9720294808869278E-3</c:v>
                </c:pt>
                <c:pt idx="3">
                  <c:v>2.3775815795727889E-2</c:v>
                </c:pt>
                <c:pt idx="4">
                  <c:v>9.570056228358223E-2</c:v>
                </c:pt>
                <c:pt idx="5">
                  <c:v>0.36610231902180357</c:v>
                </c:pt>
                <c:pt idx="6">
                  <c:v>0.84948025867556176</c:v>
                </c:pt>
                <c:pt idx="7">
                  <c:v>1.488847182115117</c:v>
                </c:pt>
                <c:pt idx="8">
                  <c:v>2.2803153148319697</c:v>
                </c:pt>
                <c:pt idx="9">
                  <c:v>3.2330755625739305</c:v>
                </c:pt>
                <c:pt idx="10">
                  <c:v>4.3566446740287281</c:v>
                </c:pt>
                <c:pt idx="11">
                  <c:v>5.6436725763646987</c:v>
                </c:pt>
                <c:pt idx="12">
                  <c:v>7.1000746556118361</c:v>
                </c:pt>
                <c:pt idx="13">
                  <c:v>8.7377506453335627</c:v>
                </c:pt>
                <c:pt idx="14">
                  <c:v>10.560395750512924</c:v>
                </c:pt>
                <c:pt idx="15">
                  <c:v>12.561902264204734</c:v>
                </c:pt>
                <c:pt idx="16">
                  <c:v>14.738372578826491</c:v>
                </c:pt>
                <c:pt idx="17">
                  <c:v>17.088737641999696</c:v>
                </c:pt>
                <c:pt idx="18">
                  <c:v>19.608685804995641</c:v>
                </c:pt>
                <c:pt idx="19">
                  <c:v>22.297945174560663</c:v>
                </c:pt>
                <c:pt idx="20">
                  <c:v>25.165927462666126</c:v>
                </c:pt>
                <c:pt idx="21">
                  <c:v>28.219920983741893</c:v>
                </c:pt>
                <c:pt idx="22">
                  <c:v>31.455327461597079</c:v>
                </c:pt>
                <c:pt idx="23">
                  <c:v>34.869940880656245</c:v>
                </c:pt>
                <c:pt idx="24">
                  <c:v>38.471026230745977</c:v>
                </c:pt>
                <c:pt idx="25">
                  <c:v>42.259324575211188</c:v>
                </c:pt>
                <c:pt idx="26">
                  <c:v>46.232219100483931</c:v>
                </c:pt>
                <c:pt idx="27">
                  <c:v>50.386598448155993</c:v>
                </c:pt>
                <c:pt idx="28">
                  <c:v>54.718276323858547</c:v>
                </c:pt>
                <c:pt idx="29">
                  <c:v>59.233885448525413</c:v>
                </c:pt>
                <c:pt idx="30">
                  <c:v>63.942726551788077</c:v>
                </c:pt>
                <c:pt idx="31">
                  <c:v>68.842750839948437</c:v>
                </c:pt>
                <c:pt idx="32">
                  <c:v>73.931035021405464</c:v>
                </c:pt>
                <c:pt idx="33">
                  <c:v>79.215780125263706</c:v>
                </c:pt>
                <c:pt idx="34">
                  <c:v>84.696612852106412</c:v>
                </c:pt>
                <c:pt idx="35">
                  <c:v>90.36542681704988</c:v>
                </c:pt>
                <c:pt idx="36">
                  <c:v>96.227547593759908</c:v>
                </c:pt>
                <c:pt idx="37">
                  <c:v>102.28926988167049</c:v>
                </c:pt>
                <c:pt idx="38">
                  <c:v>108.54737520159468</c:v>
                </c:pt>
                <c:pt idx="39">
                  <c:v>114.99701365413659</c:v>
                </c:pt>
                <c:pt idx="40">
                  <c:v>121.638556293145</c:v>
                </c:pt>
                <c:pt idx="41">
                  <c:v>128.47865104039514</c:v>
                </c:pt>
                <c:pt idx="42">
                  <c:v>135.52367712207121</c:v>
                </c:pt>
                <c:pt idx="43">
                  <c:v>142.77510435901178</c:v>
                </c:pt>
              </c:numCache>
            </c:numRef>
          </c:xVal>
          <c:yVal>
            <c:numRef>
              <c:f>'Hawasinah EX'!$A$4:$A$47</c:f>
              <c:numCache>
                <c:formatCode>0.0</c:formatCode>
                <c:ptCount val="44"/>
                <c:pt idx="0">
                  <c:v>43.5</c:v>
                </c:pt>
                <c:pt idx="1">
                  <c:v>44</c:v>
                </c:pt>
                <c:pt idx="2">
                  <c:v>44.5</c:v>
                </c:pt>
                <c:pt idx="3">
                  <c:v>45</c:v>
                </c:pt>
                <c:pt idx="4">
                  <c:v>45.5</c:v>
                </c:pt>
                <c:pt idx="5">
                  <c:v>46</c:v>
                </c:pt>
                <c:pt idx="6">
                  <c:v>46.5</c:v>
                </c:pt>
                <c:pt idx="7">
                  <c:v>47</c:v>
                </c:pt>
                <c:pt idx="8">
                  <c:v>47.5</c:v>
                </c:pt>
                <c:pt idx="9">
                  <c:v>48</c:v>
                </c:pt>
                <c:pt idx="10">
                  <c:v>48.5</c:v>
                </c:pt>
                <c:pt idx="11">
                  <c:v>49</c:v>
                </c:pt>
                <c:pt idx="12">
                  <c:v>49.5</c:v>
                </c:pt>
                <c:pt idx="13">
                  <c:v>50</c:v>
                </c:pt>
                <c:pt idx="14">
                  <c:v>50.5</c:v>
                </c:pt>
                <c:pt idx="15">
                  <c:v>51</c:v>
                </c:pt>
                <c:pt idx="16">
                  <c:v>51.5</c:v>
                </c:pt>
                <c:pt idx="17">
                  <c:v>52</c:v>
                </c:pt>
                <c:pt idx="18">
                  <c:v>52.5</c:v>
                </c:pt>
                <c:pt idx="19">
                  <c:v>53</c:v>
                </c:pt>
                <c:pt idx="20">
                  <c:v>53.5</c:v>
                </c:pt>
                <c:pt idx="21">
                  <c:v>54</c:v>
                </c:pt>
                <c:pt idx="22">
                  <c:v>54.5</c:v>
                </c:pt>
                <c:pt idx="23">
                  <c:v>55</c:v>
                </c:pt>
                <c:pt idx="24">
                  <c:v>55.5</c:v>
                </c:pt>
                <c:pt idx="25">
                  <c:v>56</c:v>
                </c:pt>
                <c:pt idx="26">
                  <c:v>56.5</c:v>
                </c:pt>
                <c:pt idx="27">
                  <c:v>57</c:v>
                </c:pt>
                <c:pt idx="28">
                  <c:v>57.5</c:v>
                </c:pt>
                <c:pt idx="29">
                  <c:v>58</c:v>
                </c:pt>
                <c:pt idx="30">
                  <c:v>58.5</c:v>
                </c:pt>
                <c:pt idx="31">
                  <c:v>59</c:v>
                </c:pt>
                <c:pt idx="32">
                  <c:v>59.5</c:v>
                </c:pt>
                <c:pt idx="33">
                  <c:v>60</c:v>
                </c:pt>
                <c:pt idx="34">
                  <c:v>60.5</c:v>
                </c:pt>
                <c:pt idx="35">
                  <c:v>61</c:v>
                </c:pt>
                <c:pt idx="36">
                  <c:v>61.5</c:v>
                </c:pt>
                <c:pt idx="37">
                  <c:v>62</c:v>
                </c:pt>
                <c:pt idx="38">
                  <c:v>62.5</c:v>
                </c:pt>
                <c:pt idx="39">
                  <c:v>63</c:v>
                </c:pt>
                <c:pt idx="40">
                  <c:v>63.5</c:v>
                </c:pt>
                <c:pt idx="41">
                  <c:v>64</c:v>
                </c:pt>
                <c:pt idx="42">
                  <c:v>64.5</c:v>
                </c:pt>
                <c:pt idx="43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1-462A-8B89-AF45C9EB62A3}"/>
            </c:ext>
          </c:extLst>
        </c:ser>
        <c:ser>
          <c:idx val="1"/>
          <c:order val="1"/>
          <c:tx>
            <c:strRef>
              <c:f>'Hawasinah EX'!$M$7</c:f>
              <c:strCache>
                <c:ptCount val="1"/>
                <c:pt idx="0">
                  <c:v>FSL 60.0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'Hawasinah EX'!$M$5:$M$6</c:f>
              <c:numCache>
                <c:formatCode>General</c:formatCode>
                <c:ptCount val="2"/>
                <c:pt idx="0">
                  <c:v>0</c:v>
                </c:pt>
                <c:pt idx="1">
                  <c:v>145.63060644619202</c:v>
                </c:pt>
              </c:numCache>
            </c:numRef>
          </c:xVal>
          <c:yVal>
            <c:numRef>
              <c:f>'Hawasinah EX'!$N$5:$N$6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21-462A-8B89-AF45C9EB62A3}"/>
            </c:ext>
          </c:extLst>
        </c:ser>
        <c:ser>
          <c:idx val="2"/>
          <c:order val="2"/>
          <c:tx>
            <c:strRef>
              <c:f>'Hawasinah EX'!$M$8</c:f>
              <c:strCache>
                <c:ptCount val="1"/>
                <c:pt idx="0">
                  <c:v>Crest 65.0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'Hawasinah EX'!$M$5:$M$6</c:f>
              <c:numCache>
                <c:formatCode>General</c:formatCode>
                <c:ptCount val="2"/>
                <c:pt idx="0">
                  <c:v>0</c:v>
                </c:pt>
                <c:pt idx="1">
                  <c:v>145.63060644619202</c:v>
                </c:pt>
              </c:numCache>
            </c:numRef>
          </c:xVal>
          <c:yVal>
            <c:numRef>
              <c:f>'Hawasinah EX'!$O$5:$O$6</c:f>
              <c:numCache>
                <c:formatCode>General</c:formatCode>
                <c:ptCount val="2"/>
                <c:pt idx="0">
                  <c:v>65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21-462A-8B89-AF45C9EB6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Volume (Mm³)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66"/>
          <c:min val="4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Hawasinah EX - elevation vs area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'Hawasinah EX'!$M$10</c:f>
              <c:strCache>
                <c:ptCount val="1"/>
                <c:pt idx="0">
                  <c:v>Elevation-area curve</c:v>
                </c:pt>
              </c:strCache>
            </c:strRef>
          </c:tx>
          <c:spPr>
            <a:ln w="22225" cap="rnd">
              <a:solidFill>
                <a:srgbClr val="2E75B6"/>
              </a:solidFill>
              <a:prstDash val="solid"/>
            </a:ln>
          </c:spPr>
          <c:marker>
            <c:symbol val="none"/>
          </c:marker>
          <c:xVal>
            <c:numRef>
              <c:f>'Hawasinah EX'!$B$4:$B$47</c:f>
              <c:numCache>
                <c:formatCode>0.0000</c:formatCode>
                <c:ptCount val="44"/>
                <c:pt idx="0">
                  <c:v>2.0000000000000001E-4</c:v>
                </c:pt>
                <c:pt idx="1">
                  <c:v>9.1000000000000004E-3</c:v>
                </c:pt>
                <c:pt idx="2">
                  <c:v>2.5000000000000001E-2</c:v>
                </c:pt>
                <c:pt idx="3">
                  <c:v>3.0300000000000001E-2</c:v>
                </c:pt>
                <c:pt idx="4">
                  <c:v>0.30509999999999998</c:v>
                </c:pt>
                <c:pt idx="5">
                  <c:v>0.81779999999999997</c:v>
                </c:pt>
                <c:pt idx="6">
                  <c:v>1.1237999999999999</c:v>
                </c:pt>
                <c:pt idx="7">
                  <c:v>1.4401999999999999</c:v>
                </c:pt>
                <c:pt idx="8">
                  <c:v>1.7301</c:v>
                </c:pt>
                <c:pt idx="9">
                  <c:v>2.0865</c:v>
                </c:pt>
                <c:pt idx="10">
                  <c:v>2.4117000000000002</c:v>
                </c:pt>
                <c:pt idx="11">
                  <c:v>2.7399</c:v>
                </c:pt>
                <c:pt idx="12">
                  <c:v>3.0891999999999999</c:v>
                </c:pt>
                <c:pt idx="13">
                  <c:v>3.4651000000000001</c:v>
                </c:pt>
                <c:pt idx="14">
                  <c:v>3.8285</c:v>
                </c:pt>
                <c:pt idx="15">
                  <c:v>4.1801000000000004</c:v>
                </c:pt>
                <c:pt idx="16">
                  <c:v>4.5281000000000002</c:v>
                </c:pt>
                <c:pt idx="17">
                  <c:v>4.8754999999999997</c:v>
                </c:pt>
                <c:pt idx="18">
                  <c:v>5.2061000000000002</c:v>
                </c:pt>
                <c:pt idx="19">
                  <c:v>5.5528000000000004</c:v>
                </c:pt>
                <c:pt idx="20">
                  <c:v>5.9211</c:v>
                </c:pt>
                <c:pt idx="21">
                  <c:v>6.2968000000000002</c:v>
                </c:pt>
                <c:pt idx="22">
                  <c:v>6.6463999999999999</c:v>
                </c:pt>
                <c:pt idx="23">
                  <c:v>7.0137</c:v>
                </c:pt>
                <c:pt idx="24">
                  <c:v>7.3922999999999996</c:v>
                </c:pt>
                <c:pt idx="25">
                  <c:v>7.7624000000000004</c:v>
                </c:pt>
                <c:pt idx="26">
                  <c:v>8.1305999999999994</c:v>
                </c:pt>
                <c:pt idx="27">
                  <c:v>8.4882000000000009</c:v>
                </c:pt>
                <c:pt idx="28">
                  <c:v>8.8397000000000006</c:v>
                </c:pt>
                <c:pt idx="29">
                  <c:v>9.2241</c:v>
                </c:pt>
                <c:pt idx="30">
                  <c:v>9.6126000000000005</c:v>
                </c:pt>
                <c:pt idx="31">
                  <c:v>9.9886999999999997</c:v>
                </c:pt>
                <c:pt idx="32">
                  <c:v>10.365600000000001</c:v>
                </c:pt>
                <c:pt idx="33">
                  <c:v>10.774699999999999</c:v>
                </c:pt>
                <c:pt idx="34">
                  <c:v>11.149699999999999</c:v>
                </c:pt>
                <c:pt idx="35">
                  <c:v>11.5266</c:v>
                </c:pt>
                <c:pt idx="36">
                  <c:v>11.923</c:v>
                </c:pt>
                <c:pt idx="37">
                  <c:v>12.324999999999999</c:v>
                </c:pt>
                <c:pt idx="38">
                  <c:v>12.708399999999999</c:v>
                </c:pt>
                <c:pt idx="39">
                  <c:v>13.091100000000001</c:v>
                </c:pt>
                <c:pt idx="40">
                  <c:v>13.476000000000001</c:v>
                </c:pt>
                <c:pt idx="41">
                  <c:v>13.885400000000001</c:v>
                </c:pt>
                <c:pt idx="42">
                  <c:v>14.2957</c:v>
                </c:pt>
                <c:pt idx="43">
                  <c:v>14.711</c:v>
                </c:pt>
              </c:numCache>
            </c:numRef>
          </c:xVal>
          <c:yVal>
            <c:numRef>
              <c:f>'Hawasinah EX'!$A$4:$A$47</c:f>
              <c:numCache>
                <c:formatCode>0.0</c:formatCode>
                <c:ptCount val="44"/>
                <c:pt idx="0">
                  <c:v>43.5</c:v>
                </c:pt>
                <c:pt idx="1">
                  <c:v>44</c:v>
                </c:pt>
                <c:pt idx="2">
                  <c:v>44.5</c:v>
                </c:pt>
                <c:pt idx="3">
                  <c:v>45</c:v>
                </c:pt>
                <c:pt idx="4">
                  <c:v>45.5</c:v>
                </c:pt>
                <c:pt idx="5">
                  <c:v>46</c:v>
                </c:pt>
                <c:pt idx="6">
                  <c:v>46.5</c:v>
                </c:pt>
                <c:pt idx="7">
                  <c:v>47</c:v>
                </c:pt>
                <c:pt idx="8">
                  <c:v>47.5</c:v>
                </c:pt>
                <c:pt idx="9">
                  <c:v>48</c:v>
                </c:pt>
                <c:pt idx="10">
                  <c:v>48.5</c:v>
                </c:pt>
                <c:pt idx="11">
                  <c:v>49</c:v>
                </c:pt>
                <c:pt idx="12">
                  <c:v>49.5</c:v>
                </c:pt>
                <c:pt idx="13">
                  <c:v>50</c:v>
                </c:pt>
                <c:pt idx="14">
                  <c:v>50.5</c:v>
                </c:pt>
                <c:pt idx="15">
                  <c:v>51</c:v>
                </c:pt>
                <c:pt idx="16">
                  <c:v>51.5</c:v>
                </c:pt>
                <c:pt idx="17">
                  <c:v>52</c:v>
                </c:pt>
                <c:pt idx="18">
                  <c:v>52.5</c:v>
                </c:pt>
                <c:pt idx="19">
                  <c:v>53</c:v>
                </c:pt>
                <c:pt idx="20">
                  <c:v>53.5</c:v>
                </c:pt>
                <c:pt idx="21">
                  <c:v>54</c:v>
                </c:pt>
                <c:pt idx="22">
                  <c:v>54.5</c:v>
                </c:pt>
                <c:pt idx="23">
                  <c:v>55</c:v>
                </c:pt>
                <c:pt idx="24">
                  <c:v>55.5</c:v>
                </c:pt>
                <c:pt idx="25">
                  <c:v>56</c:v>
                </c:pt>
                <c:pt idx="26">
                  <c:v>56.5</c:v>
                </c:pt>
                <c:pt idx="27">
                  <c:v>57</c:v>
                </c:pt>
                <c:pt idx="28">
                  <c:v>57.5</c:v>
                </c:pt>
                <c:pt idx="29">
                  <c:v>58</c:v>
                </c:pt>
                <c:pt idx="30">
                  <c:v>58.5</c:v>
                </c:pt>
                <c:pt idx="31">
                  <c:v>59</c:v>
                </c:pt>
                <c:pt idx="32">
                  <c:v>59.5</c:v>
                </c:pt>
                <c:pt idx="33">
                  <c:v>60</c:v>
                </c:pt>
                <c:pt idx="34">
                  <c:v>60.5</c:v>
                </c:pt>
                <c:pt idx="35">
                  <c:v>61</c:v>
                </c:pt>
                <c:pt idx="36">
                  <c:v>61.5</c:v>
                </c:pt>
                <c:pt idx="37">
                  <c:v>62</c:v>
                </c:pt>
                <c:pt idx="38">
                  <c:v>62.5</c:v>
                </c:pt>
                <c:pt idx="39">
                  <c:v>63</c:v>
                </c:pt>
                <c:pt idx="40">
                  <c:v>63.5</c:v>
                </c:pt>
                <c:pt idx="41">
                  <c:v>64</c:v>
                </c:pt>
                <c:pt idx="42">
                  <c:v>64.5</c:v>
                </c:pt>
                <c:pt idx="43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D-47BF-BD95-8179CF885372}"/>
            </c:ext>
          </c:extLst>
        </c:ser>
        <c:ser>
          <c:idx val="1"/>
          <c:order val="1"/>
          <c:tx>
            <c:strRef>
              <c:f>'Hawasinah EX'!$M$7</c:f>
              <c:strCache>
                <c:ptCount val="1"/>
                <c:pt idx="0">
                  <c:v>FSL 60.0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'Hawasinah EX'!$P$5:$P$6</c:f>
              <c:numCache>
                <c:formatCode>General</c:formatCode>
                <c:ptCount val="2"/>
                <c:pt idx="0">
                  <c:v>0</c:v>
                </c:pt>
                <c:pt idx="1">
                  <c:v>15.005220000000001</c:v>
                </c:pt>
              </c:numCache>
            </c:numRef>
          </c:xVal>
          <c:yVal>
            <c:numRef>
              <c:f>'Hawasinah EX'!$N$5:$N$6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9D-47BF-BD95-8179CF885372}"/>
            </c:ext>
          </c:extLst>
        </c:ser>
        <c:ser>
          <c:idx val="2"/>
          <c:order val="2"/>
          <c:tx>
            <c:strRef>
              <c:f>'Hawasinah EX'!$M$8</c:f>
              <c:strCache>
                <c:ptCount val="1"/>
                <c:pt idx="0">
                  <c:v>Crest 65.0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'Hawasinah EX'!$P$5:$P$6</c:f>
              <c:numCache>
                <c:formatCode>General</c:formatCode>
                <c:ptCount val="2"/>
                <c:pt idx="0">
                  <c:v>0</c:v>
                </c:pt>
                <c:pt idx="1">
                  <c:v>15.005220000000001</c:v>
                </c:pt>
              </c:numCache>
            </c:numRef>
          </c:xVal>
          <c:yVal>
            <c:numRef>
              <c:f>'Hawasinah EX'!$O$5:$O$6</c:f>
              <c:numCache>
                <c:formatCode>General</c:formatCode>
                <c:ptCount val="2"/>
                <c:pt idx="0">
                  <c:v>65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9D-47BF-BD95-8179CF885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Area (km²)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66"/>
          <c:min val="4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Shafan 02 - elevation vs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'Shafan 02'!$M$9</c:f>
              <c:strCache>
                <c:ptCount val="1"/>
                <c:pt idx="0">
                  <c:v>Elevation-volume curve</c:v>
                </c:pt>
              </c:strCache>
            </c:strRef>
          </c:tx>
          <c:spPr>
            <a:ln w="22225" cap="rnd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'Shafan 02'!$E$4:$E$80</c:f>
              <c:numCache>
                <c:formatCode>0.000</c:formatCode>
                <c:ptCount val="77"/>
                <c:pt idx="0">
                  <c:v>0</c:v>
                </c:pt>
                <c:pt idx="1">
                  <c:v>1.411973569810276E-3</c:v>
                </c:pt>
                <c:pt idx="2">
                  <c:v>4.7792810725775497E-3</c:v>
                </c:pt>
                <c:pt idx="3">
                  <c:v>1.0366398379664934E-2</c:v>
                </c:pt>
                <c:pt idx="4">
                  <c:v>1.8664822722261144E-2</c:v>
                </c:pt>
                <c:pt idx="5">
                  <c:v>3.0057951578155537E-2</c:v>
                </c:pt>
                <c:pt idx="6">
                  <c:v>4.4019149078681166E-2</c:v>
                </c:pt>
                <c:pt idx="7">
                  <c:v>6.0570714512466553E-2</c:v>
                </c:pt>
                <c:pt idx="8">
                  <c:v>8.0927357334328764E-2</c:v>
                </c:pt>
                <c:pt idx="9">
                  <c:v>0.10783624906937211</c:v>
                </c:pt>
                <c:pt idx="10">
                  <c:v>0.14315877012928069</c:v>
                </c:pt>
                <c:pt idx="11">
                  <c:v>0.18794810673850668</c:v>
                </c:pt>
                <c:pt idx="12">
                  <c:v>0.24331976216124465</c:v>
                </c:pt>
                <c:pt idx="13">
                  <c:v>0.30892800481092264</c:v>
                </c:pt>
                <c:pt idx="14">
                  <c:v>0.38472190543879348</c:v>
                </c:pt>
                <c:pt idx="15">
                  <c:v>0.47096553502819338</c:v>
                </c:pt>
                <c:pt idx="16">
                  <c:v>0.56779442791801626</c:v>
                </c:pt>
                <c:pt idx="17">
                  <c:v>0.67603426313159931</c:v>
                </c:pt>
                <c:pt idx="18">
                  <c:v>0.79648526713509993</c:v>
                </c:pt>
                <c:pt idx="19">
                  <c:v>0.92891457371370112</c:v>
                </c:pt>
                <c:pt idx="20">
                  <c:v>1.0732990447097182</c:v>
                </c:pt>
                <c:pt idx="21">
                  <c:v>1.2291908123175135</c:v>
                </c:pt>
                <c:pt idx="22">
                  <c:v>1.3979381711842194</c:v>
                </c:pt>
                <c:pt idx="23">
                  <c:v>1.5802277381895906</c:v>
                </c:pt>
                <c:pt idx="24">
                  <c:v>1.7756618372380704</c:v>
                </c:pt>
                <c:pt idx="25">
                  <c:v>1.9885738641133159</c:v>
                </c:pt>
                <c:pt idx="26">
                  <c:v>2.2219299101903633</c:v>
                </c:pt>
                <c:pt idx="27">
                  <c:v>2.4759280077988119</c:v>
                </c:pt>
                <c:pt idx="28">
                  <c:v>2.7518535755153075</c:v>
                </c:pt>
                <c:pt idx="29">
                  <c:v>3.0518843200207169</c:v>
                </c:pt>
                <c:pt idx="30">
                  <c:v>3.3801169838906184</c:v>
                </c:pt>
                <c:pt idx="31">
                  <c:v>3.73912935142762</c:v>
                </c:pt>
                <c:pt idx="32">
                  <c:v>4.1296954342152601</c:v>
                </c:pt>
                <c:pt idx="33">
                  <c:v>4.5533303785061765</c:v>
                </c:pt>
                <c:pt idx="34">
                  <c:v>5.0138384698833915</c:v>
                </c:pt>
                <c:pt idx="35">
                  <c:v>5.5127481950242032</c:v>
                </c:pt>
                <c:pt idx="36">
                  <c:v>6.0514831495159065</c:v>
                </c:pt>
                <c:pt idx="37">
                  <c:v>6.633395767313683</c:v>
                </c:pt>
                <c:pt idx="38">
                  <c:v>7.2589944353886366</c:v>
                </c:pt>
                <c:pt idx="39">
                  <c:v>7.9294370581157283</c:v>
                </c:pt>
                <c:pt idx="40">
                  <c:v>8.645815575137588</c:v>
                </c:pt>
                <c:pt idx="41">
                  <c:v>9.4060936634927188</c:v>
                </c:pt>
                <c:pt idx="42">
                  <c:v>10.207881514835094</c:v>
                </c:pt>
                <c:pt idx="43">
                  <c:v>11.049780266936072</c:v>
                </c:pt>
                <c:pt idx="44">
                  <c:v>11.931428699527844</c:v>
                </c:pt>
                <c:pt idx="45">
                  <c:v>12.853777201295319</c:v>
                </c:pt>
                <c:pt idx="46">
                  <c:v>13.817427910514395</c:v>
                </c:pt>
                <c:pt idx="47">
                  <c:v>14.823400609223967</c:v>
                </c:pt>
                <c:pt idx="48">
                  <c:v>15.873594368592487</c:v>
                </c:pt>
                <c:pt idx="49">
                  <c:v>16.967402329995366</c:v>
                </c:pt>
                <c:pt idx="50">
                  <c:v>18.101671598822101</c:v>
                </c:pt>
                <c:pt idx="51">
                  <c:v>19.273748847068227</c:v>
                </c:pt>
                <c:pt idx="52">
                  <c:v>20.482651661488685</c:v>
                </c:pt>
                <c:pt idx="53">
                  <c:v>21.727709959597078</c:v>
                </c:pt>
                <c:pt idx="54">
                  <c:v>23.008616859200394</c:v>
                </c:pt>
                <c:pt idx="55">
                  <c:v>24.32647239701409</c:v>
                </c:pt>
                <c:pt idx="56">
                  <c:v>25.682501019296161</c:v>
                </c:pt>
                <c:pt idx="57">
                  <c:v>27.078376207289054</c:v>
                </c:pt>
                <c:pt idx="58">
                  <c:v>28.516222375476367</c:v>
                </c:pt>
                <c:pt idx="59">
                  <c:v>29.998786996819678</c:v>
                </c:pt>
                <c:pt idx="60">
                  <c:v>31.526285379689966</c:v>
                </c:pt>
                <c:pt idx="61">
                  <c:v>33.097534039640088</c:v>
                </c:pt>
                <c:pt idx="62">
                  <c:v>34.712535219278401</c:v>
                </c:pt>
                <c:pt idx="63">
                  <c:v>36.371361257662834</c:v>
                </c:pt>
                <c:pt idx="64">
                  <c:v>38.074288779875211</c:v>
                </c:pt>
                <c:pt idx="65">
                  <c:v>39.820072376713092</c:v>
                </c:pt>
                <c:pt idx="66">
                  <c:v>41.607208088495923</c:v>
                </c:pt>
                <c:pt idx="67">
                  <c:v>43.436540284977937</c:v>
                </c:pt>
                <c:pt idx="68">
                  <c:v>45.309945645593018</c:v>
                </c:pt>
                <c:pt idx="69">
                  <c:v>47.228948898533481</c:v>
                </c:pt>
                <c:pt idx="70">
                  <c:v>49.194701875913331</c:v>
                </c:pt>
                <c:pt idx="71">
                  <c:v>51.206908439711704</c:v>
                </c:pt>
                <c:pt idx="72">
                  <c:v>53.266061623615997</c:v>
                </c:pt>
                <c:pt idx="73">
                  <c:v>55.371198565128296</c:v>
                </c:pt>
                <c:pt idx="74">
                  <c:v>57.520435432602071</c:v>
                </c:pt>
                <c:pt idx="75">
                  <c:v>59.7125030107265</c:v>
                </c:pt>
                <c:pt idx="76">
                  <c:v>61.945173300029097</c:v>
                </c:pt>
              </c:numCache>
            </c:numRef>
          </c:xVal>
          <c:yVal>
            <c:numRef>
              <c:f>'Shafan 02'!$A$4:$A$80</c:f>
              <c:numCache>
                <c:formatCode>0.0</c:formatCode>
                <c:ptCount val="77"/>
                <c:pt idx="0">
                  <c:v>202</c:v>
                </c:pt>
                <c:pt idx="1">
                  <c:v>202.5</c:v>
                </c:pt>
                <c:pt idx="2">
                  <c:v>203</c:v>
                </c:pt>
                <c:pt idx="3">
                  <c:v>203.5</c:v>
                </c:pt>
                <c:pt idx="4">
                  <c:v>204</c:v>
                </c:pt>
                <c:pt idx="5">
                  <c:v>204.5</c:v>
                </c:pt>
                <c:pt idx="6">
                  <c:v>205</c:v>
                </c:pt>
                <c:pt idx="7">
                  <c:v>205.5</c:v>
                </c:pt>
                <c:pt idx="8">
                  <c:v>206</c:v>
                </c:pt>
                <c:pt idx="9">
                  <c:v>206.5</c:v>
                </c:pt>
                <c:pt idx="10">
                  <c:v>207</c:v>
                </c:pt>
                <c:pt idx="11">
                  <c:v>207.5</c:v>
                </c:pt>
                <c:pt idx="12">
                  <c:v>208</c:v>
                </c:pt>
                <c:pt idx="13">
                  <c:v>208.5</c:v>
                </c:pt>
                <c:pt idx="14">
                  <c:v>209</c:v>
                </c:pt>
                <c:pt idx="15">
                  <c:v>209.5</c:v>
                </c:pt>
                <c:pt idx="16">
                  <c:v>210</c:v>
                </c:pt>
                <c:pt idx="17">
                  <c:v>210.5</c:v>
                </c:pt>
                <c:pt idx="18">
                  <c:v>211</c:v>
                </c:pt>
                <c:pt idx="19">
                  <c:v>211.5</c:v>
                </c:pt>
                <c:pt idx="20">
                  <c:v>212</c:v>
                </c:pt>
                <c:pt idx="21">
                  <c:v>212.5</c:v>
                </c:pt>
                <c:pt idx="22">
                  <c:v>213</c:v>
                </c:pt>
                <c:pt idx="23">
                  <c:v>213.5</c:v>
                </c:pt>
                <c:pt idx="24">
                  <c:v>214</c:v>
                </c:pt>
                <c:pt idx="25">
                  <c:v>214.5</c:v>
                </c:pt>
                <c:pt idx="26">
                  <c:v>215</c:v>
                </c:pt>
                <c:pt idx="27">
                  <c:v>215.5</c:v>
                </c:pt>
                <c:pt idx="28">
                  <c:v>216</c:v>
                </c:pt>
                <c:pt idx="29">
                  <c:v>216.5</c:v>
                </c:pt>
                <c:pt idx="30">
                  <c:v>217</c:v>
                </c:pt>
                <c:pt idx="31">
                  <c:v>217.5</c:v>
                </c:pt>
                <c:pt idx="32">
                  <c:v>218</c:v>
                </c:pt>
                <c:pt idx="33">
                  <c:v>218.5</c:v>
                </c:pt>
                <c:pt idx="34">
                  <c:v>219</c:v>
                </c:pt>
                <c:pt idx="35">
                  <c:v>219.5</c:v>
                </c:pt>
                <c:pt idx="36">
                  <c:v>220</c:v>
                </c:pt>
                <c:pt idx="37">
                  <c:v>220.5</c:v>
                </c:pt>
                <c:pt idx="38">
                  <c:v>221</c:v>
                </c:pt>
                <c:pt idx="39">
                  <c:v>221.5</c:v>
                </c:pt>
                <c:pt idx="40">
                  <c:v>222</c:v>
                </c:pt>
                <c:pt idx="41">
                  <c:v>222.5</c:v>
                </c:pt>
                <c:pt idx="42">
                  <c:v>223</c:v>
                </c:pt>
                <c:pt idx="43">
                  <c:v>223.5</c:v>
                </c:pt>
                <c:pt idx="44">
                  <c:v>224</c:v>
                </c:pt>
                <c:pt idx="45">
                  <c:v>224.5</c:v>
                </c:pt>
                <c:pt idx="46">
                  <c:v>225</c:v>
                </c:pt>
                <c:pt idx="47">
                  <c:v>225.5</c:v>
                </c:pt>
                <c:pt idx="48">
                  <c:v>226</c:v>
                </c:pt>
                <c:pt idx="49">
                  <c:v>226.5</c:v>
                </c:pt>
                <c:pt idx="50">
                  <c:v>227</c:v>
                </c:pt>
                <c:pt idx="51">
                  <c:v>227.5</c:v>
                </c:pt>
                <c:pt idx="52">
                  <c:v>228</c:v>
                </c:pt>
                <c:pt idx="53">
                  <c:v>228.5</c:v>
                </c:pt>
                <c:pt idx="54">
                  <c:v>229</c:v>
                </c:pt>
                <c:pt idx="55">
                  <c:v>229.5</c:v>
                </c:pt>
                <c:pt idx="56">
                  <c:v>230</c:v>
                </c:pt>
                <c:pt idx="57">
                  <c:v>230.5</c:v>
                </c:pt>
                <c:pt idx="58">
                  <c:v>231</c:v>
                </c:pt>
                <c:pt idx="59">
                  <c:v>231.5</c:v>
                </c:pt>
                <c:pt idx="60">
                  <c:v>232</c:v>
                </c:pt>
                <c:pt idx="61">
                  <c:v>232.5</c:v>
                </c:pt>
                <c:pt idx="62">
                  <c:v>233</c:v>
                </c:pt>
                <c:pt idx="63">
                  <c:v>233.5</c:v>
                </c:pt>
                <c:pt idx="64">
                  <c:v>234</c:v>
                </c:pt>
                <c:pt idx="65">
                  <c:v>234.5</c:v>
                </c:pt>
                <c:pt idx="66">
                  <c:v>235</c:v>
                </c:pt>
                <c:pt idx="67">
                  <c:v>235.5</c:v>
                </c:pt>
                <c:pt idx="68">
                  <c:v>236</c:v>
                </c:pt>
                <c:pt idx="69">
                  <c:v>236.5</c:v>
                </c:pt>
                <c:pt idx="70">
                  <c:v>237</c:v>
                </c:pt>
                <c:pt idx="71">
                  <c:v>237.5</c:v>
                </c:pt>
                <c:pt idx="72">
                  <c:v>238</c:v>
                </c:pt>
                <c:pt idx="73">
                  <c:v>238.5</c:v>
                </c:pt>
                <c:pt idx="74">
                  <c:v>239</c:v>
                </c:pt>
                <c:pt idx="75">
                  <c:v>239.5</c:v>
                </c:pt>
                <c:pt idx="76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8-4B28-984A-7852FF5DAE47}"/>
            </c:ext>
          </c:extLst>
        </c:ser>
        <c:ser>
          <c:idx val="1"/>
          <c:order val="1"/>
          <c:tx>
            <c:strRef>
              <c:f>'Shafan 02'!$M$7</c:f>
              <c:strCache>
                <c:ptCount val="1"/>
                <c:pt idx="0">
                  <c:v>FSL 235.0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'Shafan 02'!$M$5:$M$6</c:f>
              <c:numCache>
                <c:formatCode>General</c:formatCode>
                <c:ptCount val="2"/>
                <c:pt idx="0">
                  <c:v>0</c:v>
                </c:pt>
                <c:pt idx="1">
                  <c:v>63.184076766029683</c:v>
                </c:pt>
              </c:numCache>
            </c:numRef>
          </c:xVal>
          <c:yVal>
            <c:numRef>
              <c:f>'Shafan 02'!$N$5:$N$6</c:f>
              <c:numCache>
                <c:formatCode>General</c:formatCode>
                <c:ptCount val="2"/>
                <c:pt idx="0">
                  <c:v>235</c:v>
                </c:pt>
                <c:pt idx="1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08-4B28-984A-7852FF5DAE47}"/>
            </c:ext>
          </c:extLst>
        </c:ser>
        <c:ser>
          <c:idx val="2"/>
          <c:order val="2"/>
          <c:tx>
            <c:strRef>
              <c:f>'Shafan 02'!$M$8</c:f>
              <c:strCache>
                <c:ptCount val="1"/>
                <c:pt idx="0">
                  <c:v>Crest 240.0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'Shafan 02'!$M$5:$M$6</c:f>
              <c:numCache>
                <c:formatCode>General</c:formatCode>
                <c:ptCount val="2"/>
                <c:pt idx="0">
                  <c:v>0</c:v>
                </c:pt>
                <c:pt idx="1">
                  <c:v>63.184076766029683</c:v>
                </c:pt>
              </c:numCache>
            </c:numRef>
          </c:xVal>
          <c:yVal>
            <c:numRef>
              <c:f>'Shafan 02'!$O$5:$O$6</c:f>
              <c:numCache>
                <c:formatCode>General</c:formatCode>
                <c:ptCount val="2"/>
                <c:pt idx="0">
                  <c:v>240</c:v>
                </c:pt>
                <c:pt idx="1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08-4B28-984A-7852FF5DA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Volume (Mm³)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41"/>
          <c:min val="20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Shafan 02 - elevation vs area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'Shafan 02'!$M$10</c:f>
              <c:strCache>
                <c:ptCount val="1"/>
                <c:pt idx="0">
                  <c:v>Elevation-area curve</c:v>
                </c:pt>
              </c:strCache>
            </c:strRef>
          </c:tx>
          <c:spPr>
            <a:ln w="22225" cap="rnd">
              <a:solidFill>
                <a:srgbClr val="2E75B6"/>
              </a:solidFill>
              <a:prstDash val="solid"/>
            </a:ln>
          </c:spPr>
          <c:marker>
            <c:symbol val="none"/>
          </c:marker>
          <c:xVal>
            <c:numRef>
              <c:f>'Shafan 02'!$B$4:$B$80</c:f>
              <c:numCache>
                <c:formatCode>0.0000</c:formatCode>
                <c:ptCount val="77"/>
                <c:pt idx="0">
                  <c:v>1.2999999999999999E-3</c:v>
                </c:pt>
                <c:pt idx="1">
                  <c:v>4.7000000000000002E-3</c:v>
                </c:pt>
                <c:pt idx="2">
                  <c:v>8.9999999999999993E-3</c:v>
                </c:pt>
                <c:pt idx="3">
                  <c:v>1.35E-2</c:v>
                </c:pt>
                <c:pt idx="4">
                  <c:v>1.9900000000000001E-2</c:v>
                </c:pt>
                <c:pt idx="5">
                  <c:v>2.58E-2</c:v>
                </c:pt>
                <c:pt idx="6">
                  <c:v>3.0099999999999998E-2</c:v>
                </c:pt>
                <c:pt idx="7">
                  <c:v>3.6200000000000003E-2</c:v>
                </c:pt>
                <c:pt idx="8">
                  <c:v>4.5400000000000003E-2</c:v>
                </c:pt>
                <c:pt idx="9">
                  <c:v>6.2700000000000006E-2</c:v>
                </c:pt>
                <c:pt idx="10">
                  <c:v>7.8899999999999998E-2</c:v>
                </c:pt>
                <c:pt idx="11">
                  <c:v>0.1007</c:v>
                </c:pt>
                <c:pt idx="12">
                  <c:v>0.1211</c:v>
                </c:pt>
                <c:pt idx="13">
                  <c:v>0.1416</c:v>
                </c:pt>
                <c:pt idx="14">
                  <c:v>0.1618</c:v>
                </c:pt>
                <c:pt idx="15">
                  <c:v>0.18340000000000001</c:v>
                </c:pt>
                <c:pt idx="16">
                  <c:v>0.2041</c:v>
                </c:pt>
                <c:pt idx="17">
                  <c:v>0.2291</c:v>
                </c:pt>
                <c:pt idx="18">
                  <c:v>0.25290000000000001</c:v>
                </c:pt>
                <c:pt idx="19">
                  <c:v>0.27700000000000002</c:v>
                </c:pt>
                <c:pt idx="20">
                  <c:v>0.30070000000000002</c:v>
                </c:pt>
                <c:pt idx="21">
                  <c:v>0.32300000000000001</c:v>
                </c:pt>
                <c:pt idx="22">
                  <c:v>0.35220000000000001</c:v>
                </c:pt>
                <c:pt idx="23">
                  <c:v>0.37709999999999999</c:v>
                </c:pt>
                <c:pt idx="24">
                  <c:v>0.40479999999999999</c:v>
                </c:pt>
                <c:pt idx="25">
                  <c:v>0.44719999999999999</c:v>
                </c:pt>
                <c:pt idx="26">
                  <c:v>0.48649999999999999</c:v>
                </c:pt>
                <c:pt idx="27">
                  <c:v>0.52980000000000005</c:v>
                </c:pt>
                <c:pt idx="28">
                  <c:v>0.57420000000000004</c:v>
                </c:pt>
                <c:pt idx="29">
                  <c:v>0.62629999999999997</c:v>
                </c:pt>
                <c:pt idx="30">
                  <c:v>0.68710000000000004</c:v>
                </c:pt>
                <c:pt idx="31">
                  <c:v>0.74939999999999996</c:v>
                </c:pt>
                <c:pt idx="32">
                  <c:v>0.81330000000000002</c:v>
                </c:pt>
                <c:pt idx="33">
                  <c:v>0.88170000000000004</c:v>
                </c:pt>
                <c:pt idx="34">
                  <c:v>0.96089999999999998</c:v>
                </c:pt>
                <c:pt idx="35">
                  <c:v>1.0351999999999999</c:v>
                </c:pt>
                <c:pt idx="36">
                  <c:v>1.1203000000000001</c:v>
                </c:pt>
                <c:pt idx="37">
                  <c:v>1.2079</c:v>
                </c:pt>
                <c:pt idx="38">
                  <c:v>1.2949999999999999</c:v>
                </c:pt>
                <c:pt idx="39">
                  <c:v>1.3873</c:v>
                </c:pt>
                <c:pt idx="40">
                  <c:v>1.4786999999999999</c:v>
                </c:pt>
                <c:pt idx="41">
                  <c:v>1.5628</c:v>
                </c:pt>
                <c:pt idx="42">
                  <c:v>1.6447000000000001</c:v>
                </c:pt>
                <c:pt idx="43">
                  <c:v>1.7232000000000001</c:v>
                </c:pt>
                <c:pt idx="44">
                  <c:v>1.8037000000000001</c:v>
                </c:pt>
                <c:pt idx="45">
                  <c:v>1.8859999999999999</c:v>
                </c:pt>
                <c:pt idx="46">
                  <c:v>1.9689000000000001</c:v>
                </c:pt>
                <c:pt idx="47">
                  <c:v>2.0552999999999999</c:v>
                </c:pt>
                <c:pt idx="48">
                  <c:v>2.1457999999999999</c:v>
                </c:pt>
                <c:pt idx="49">
                  <c:v>2.2296999999999998</c:v>
                </c:pt>
                <c:pt idx="50">
                  <c:v>2.3075999999999999</c:v>
                </c:pt>
                <c:pt idx="51">
                  <c:v>2.3809</c:v>
                </c:pt>
                <c:pt idx="52">
                  <c:v>2.4548999999999999</c:v>
                </c:pt>
                <c:pt idx="53">
                  <c:v>2.5255000000000001</c:v>
                </c:pt>
                <c:pt idx="54">
                  <c:v>2.5983000000000001</c:v>
                </c:pt>
                <c:pt idx="55">
                  <c:v>2.6732999999999998</c:v>
                </c:pt>
                <c:pt idx="56">
                  <c:v>2.7509999999999999</c:v>
                </c:pt>
                <c:pt idx="57">
                  <c:v>2.8327</c:v>
                </c:pt>
                <c:pt idx="58">
                  <c:v>2.9188999999999998</c:v>
                </c:pt>
                <c:pt idx="59">
                  <c:v>3.0116000000000001</c:v>
                </c:pt>
                <c:pt idx="60">
                  <c:v>3.0985999999999998</c:v>
                </c:pt>
                <c:pt idx="61">
                  <c:v>3.1865999999999999</c:v>
                </c:pt>
                <c:pt idx="62">
                  <c:v>3.2736000000000001</c:v>
                </c:pt>
                <c:pt idx="63">
                  <c:v>3.3618999999999999</c:v>
                </c:pt>
                <c:pt idx="64">
                  <c:v>3.45</c:v>
                </c:pt>
                <c:pt idx="65">
                  <c:v>3.5333000000000001</c:v>
                </c:pt>
                <c:pt idx="66">
                  <c:v>3.6154000000000002</c:v>
                </c:pt>
                <c:pt idx="67">
                  <c:v>3.7021000000000002</c:v>
                </c:pt>
                <c:pt idx="68">
                  <c:v>3.7917000000000001</c:v>
                </c:pt>
                <c:pt idx="69">
                  <c:v>3.8845000000000001</c:v>
                </c:pt>
                <c:pt idx="70">
                  <c:v>3.9786999999999999</c:v>
                </c:pt>
                <c:pt idx="71">
                  <c:v>4.0702999999999996</c:v>
                </c:pt>
                <c:pt idx="72">
                  <c:v>4.1665000000000001</c:v>
                </c:pt>
                <c:pt idx="73">
                  <c:v>4.2542</c:v>
                </c:pt>
                <c:pt idx="74">
                  <c:v>4.3429000000000002</c:v>
                </c:pt>
                <c:pt idx="75">
                  <c:v>4.4255000000000004</c:v>
                </c:pt>
                <c:pt idx="76">
                  <c:v>4.5053000000000001</c:v>
                </c:pt>
              </c:numCache>
            </c:numRef>
          </c:xVal>
          <c:yVal>
            <c:numRef>
              <c:f>'Shafan 02'!$A$4:$A$80</c:f>
              <c:numCache>
                <c:formatCode>0.0</c:formatCode>
                <c:ptCount val="77"/>
                <c:pt idx="0">
                  <c:v>202</c:v>
                </c:pt>
                <c:pt idx="1">
                  <c:v>202.5</c:v>
                </c:pt>
                <c:pt idx="2">
                  <c:v>203</c:v>
                </c:pt>
                <c:pt idx="3">
                  <c:v>203.5</c:v>
                </c:pt>
                <c:pt idx="4">
                  <c:v>204</c:v>
                </c:pt>
                <c:pt idx="5">
                  <c:v>204.5</c:v>
                </c:pt>
                <c:pt idx="6">
                  <c:v>205</c:v>
                </c:pt>
                <c:pt idx="7">
                  <c:v>205.5</c:v>
                </c:pt>
                <c:pt idx="8">
                  <c:v>206</c:v>
                </c:pt>
                <c:pt idx="9">
                  <c:v>206.5</c:v>
                </c:pt>
                <c:pt idx="10">
                  <c:v>207</c:v>
                </c:pt>
                <c:pt idx="11">
                  <c:v>207.5</c:v>
                </c:pt>
                <c:pt idx="12">
                  <c:v>208</c:v>
                </c:pt>
                <c:pt idx="13">
                  <c:v>208.5</c:v>
                </c:pt>
                <c:pt idx="14">
                  <c:v>209</c:v>
                </c:pt>
                <c:pt idx="15">
                  <c:v>209.5</c:v>
                </c:pt>
                <c:pt idx="16">
                  <c:v>210</c:v>
                </c:pt>
                <c:pt idx="17">
                  <c:v>210.5</c:v>
                </c:pt>
                <c:pt idx="18">
                  <c:v>211</c:v>
                </c:pt>
                <c:pt idx="19">
                  <c:v>211.5</c:v>
                </c:pt>
                <c:pt idx="20">
                  <c:v>212</c:v>
                </c:pt>
                <c:pt idx="21">
                  <c:v>212.5</c:v>
                </c:pt>
                <c:pt idx="22">
                  <c:v>213</c:v>
                </c:pt>
                <c:pt idx="23">
                  <c:v>213.5</c:v>
                </c:pt>
                <c:pt idx="24">
                  <c:v>214</c:v>
                </c:pt>
                <c:pt idx="25">
                  <c:v>214.5</c:v>
                </c:pt>
                <c:pt idx="26">
                  <c:v>215</c:v>
                </c:pt>
                <c:pt idx="27">
                  <c:v>215.5</c:v>
                </c:pt>
                <c:pt idx="28">
                  <c:v>216</c:v>
                </c:pt>
                <c:pt idx="29">
                  <c:v>216.5</c:v>
                </c:pt>
                <c:pt idx="30">
                  <c:v>217</c:v>
                </c:pt>
                <c:pt idx="31">
                  <c:v>217.5</c:v>
                </c:pt>
                <c:pt idx="32">
                  <c:v>218</c:v>
                </c:pt>
                <c:pt idx="33">
                  <c:v>218.5</c:v>
                </c:pt>
                <c:pt idx="34">
                  <c:v>219</c:v>
                </c:pt>
                <c:pt idx="35">
                  <c:v>219.5</c:v>
                </c:pt>
                <c:pt idx="36">
                  <c:v>220</c:v>
                </c:pt>
                <c:pt idx="37">
                  <c:v>220.5</c:v>
                </c:pt>
                <c:pt idx="38">
                  <c:v>221</c:v>
                </c:pt>
                <c:pt idx="39">
                  <c:v>221.5</c:v>
                </c:pt>
                <c:pt idx="40">
                  <c:v>222</c:v>
                </c:pt>
                <c:pt idx="41">
                  <c:v>222.5</c:v>
                </c:pt>
                <c:pt idx="42">
                  <c:v>223</c:v>
                </c:pt>
                <c:pt idx="43">
                  <c:v>223.5</c:v>
                </c:pt>
                <c:pt idx="44">
                  <c:v>224</c:v>
                </c:pt>
                <c:pt idx="45">
                  <c:v>224.5</c:v>
                </c:pt>
                <c:pt idx="46">
                  <c:v>225</c:v>
                </c:pt>
                <c:pt idx="47">
                  <c:v>225.5</c:v>
                </c:pt>
                <c:pt idx="48">
                  <c:v>226</c:v>
                </c:pt>
                <c:pt idx="49">
                  <c:v>226.5</c:v>
                </c:pt>
                <c:pt idx="50">
                  <c:v>227</c:v>
                </c:pt>
                <c:pt idx="51">
                  <c:v>227.5</c:v>
                </c:pt>
                <c:pt idx="52">
                  <c:v>228</c:v>
                </c:pt>
                <c:pt idx="53">
                  <c:v>228.5</c:v>
                </c:pt>
                <c:pt idx="54">
                  <c:v>229</c:v>
                </c:pt>
                <c:pt idx="55">
                  <c:v>229.5</c:v>
                </c:pt>
                <c:pt idx="56">
                  <c:v>230</c:v>
                </c:pt>
                <c:pt idx="57">
                  <c:v>230.5</c:v>
                </c:pt>
                <c:pt idx="58">
                  <c:v>231</c:v>
                </c:pt>
                <c:pt idx="59">
                  <c:v>231.5</c:v>
                </c:pt>
                <c:pt idx="60">
                  <c:v>232</c:v>
                </c:pt>
                <c:pt idx="61">
                  <c:v>232.5</c:v>
                </c:pt>
                <c:pt idx="62">
                  <c:v>233</c:v>
                </c:pt>
                <c:pt idx="63">
                  <c:v>233.5</c:v>
                </c:pt>
                <c:pt idx="64">
                  <c:v>234</c:v>
                </c:pt>
                <c:pt idx="65">
                  <c:v>234.5</c:v>
                </c:pt>
                <c:pt idx="66">
                  <c:v>235</c:v>
                </c:pt>
                <c:pt idx="67">
                  <c:v>235.5</c:v>
                </c:pt>
                <c:pt idx="68">
                  <c:v>236</c:v>
                </c:pt>
                <c:pt idx="69">
                  <c:v>236.5</c:v>
                </c:pt>
                <c:pt idx="70">
                  <c:v>237</c:v>
                </c:pt>
                <c:pt idx="71">
                  <c:v>237.5</c:v>
                </c:pt>
                <c:pt idx="72">
                  <c:v>238</c:v>
                </c:pt>
                <c:pt idx="73">
                  <c:v>238.5</c:v>
                </c:pt>
                <c:pt idx="74">
                  <c:v>239</c:v>
                </c:pt>
                <c:pt idx="75">
                  <c:v>239.5</c:v>
                </c:pt>
                <c:pt idx="76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F-4251-9079-605ABB2253B8}"/>
            </c:ext>
          </c:extLst>
        </c:ser>
        <c:ser>
          <c:idx val="1"/>
          <c:order val="1"/>
          <c:tx>
            <c:strRef>
              <c:f>'Shafan 02'!$M$7</c:f>
              <c:strCache>
                <c:ptCount val="1"/>
                <c:pt idx="0">
                  <c:v>FSL 235.0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'Shafan 02'!$P$5:$P$6</c:f>
              <c:numCache>
                <c:formatCode>General</c:formatCode>
                <c:ptCount val="2"/>
                <c:pt idx="0">
                  <c:v>0</c:v>
                </c:pt>
                <c:pt idx="1">
                  <c:v>4.5954060000000005</c:v>
                </c:pt>
              </c:numCache>
            </c:numRef>
          </c:xVal>
          <c:yVal>
            <c:numRef>
              <c:f>'Shafan 02'!$N$5:$N$6</c:f>
              <c:numCache>
                <c:formatCode>General</c:formatCode>
                <c:ptCount val="2"/>
                <c:pt idx="0">
                  <c:v>235</c:v>
                </c:pt>
                <c:pt idx="1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DF-4251-9079-605ABB2253B8}"/>
            </c:ext>
          </c:extLst>
        </c:ser>
        <c:ser>
          <c:idx val="2"/>
          <c:order val="2"/>
          <c:tx>
            <c:strRef>
              <c:f>'Shafan 02'!$M$8</c:f>
              <c:strCache>
                <c:ptCount val="1"/>
                <c:pt idx="0">
                  <c:v>Crest 240.0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'Shafan 02'!$P$5:$P$6</c:f>
              <c:numCache>
                <c:formatCode>General</c:formatCode>
                <c:ptCount val="2"/>
                <c:pt idx="0">
                  <c:v>0</c:v>
                </c:pt>
                <c:pt idx="1">
                  <c:v>4.5954060000000005</c:v>
                </c:pt>
              </c:numCache>
            </c:numRef>
          </c:xVal>
          <c:yVal>
            <c:numRef>
              <c:f>'Shafan 02'!$O$5:$O$6</c:f>
              <c:numCache>
                <c:formatCode>General</c:formatCode>
                <c:ptCount val="2"/>
                <c:pt idx="0">
                  <c:v>240</c:v>
                </c:pt>
                <c:pt idx="1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DF-4251-9079-605ABB225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Area (km²)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41"/>
          <c:min val="20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Shafan 08 - elevation vs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'Shafan 08'!$M$9</c:f>
              <c:strCache>
                <c:ptCount val="1"/>
                <c:pt idx="0">
                  <c:v>Elevation-volume curve</c:v>
                </c:pt>
              </c:strCache>
            </c:strRef>
          </c:tx>
          <c:spPr>
            <a:ln w="22225" cap="rnd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'Shafan 08'!$E$4:$E$44</c:f>
              <c:numCache>
                <c:formatCode>0.000</c:formatCode>
                <c:ptCount val="41"/>
                <c:pt idx="0">
                  <c:v>0</c:v>
                </c:pt>
                <c:pt idx="1">
                  <c:v>1.4422166387140533E-3</c:v>
                </c:pt>
                <c:pt idx="2">
                  <c:v>4.8364319637303607E-3</c:v>
                </c:pt>
                <c:pt idx="3">
                  <c:v>1.2760744438383112E-2</c:v>
                </c:pt>
                <c:pt idx="4">
                  <c:v>2.8417270304150147E-2</c:v>
                </c:pt>
                <c:pt idx="5">
                  <c:v>5.3396528928698728E-2</c:v>
                </c:pt>
                <c:pt idx="6">
                  <c:v>9.1126815292694244E-2</c:v>
                </c:pt>
                <c:pt idx="7">
                  <c:v>0.14475128099625068</c:v>
                </c:pt>
                <c:pt idx="8">
                  <c:v>0.21560189608164226</c:v>
                </c:pt>
                <c:pt idx="9">
                  <c:v>0.30648575456241983</c:v>
                </c:pt>
                <c:pt idx="10">
                  <c:v>0.42102115929920719</c:v>
                </c:pt>
                <c:pt idx="11">
                  <c:v>0.563188270133687</c:v>
                </c:pt>
                <c:pt idx="12">
                  <c:v>0.73711273840809732</c:v>
                </c:pt>
                <c:pt idx="13">
                  <c:v>0.94639294193052326</c:v>
                </c:pt>
                <c:pt idx="14">
                  <c:v>1.1950714988260431</c:v>
                </c:pt>
                <c:pt idx="15">
                  <c:v>1.4863068445223817</c:v>
                </c:pt>
                <c:pt idx="16">
                  <c:v>1.8234123669223461</c:v>
                </c:pt>
                <c:pt idx="17">
                  <c:v>2.2117039537863183</c:v>
                </c:pt>
                <c:pt idx="18">
                  <c:v>2.6523088806141368</c:v>
                </c:pt>
                <c:pt idx="19">
                  <c:v>3.1462952393865962</c:v>
                </c:pt>
                <c:pt idx="20">
                  <c:v>3.6990827529211647</c:v>
                </c:pt>
                <c:pt idx="21">
                  <c:v>4.3168925996973044</c:v>
                </c:pt>
                <c:pt idx="22">
                  <c:v>5.0102294733163655</c:v>
                </c:pt>
                <c:pt idx="23">
                  <c:v>5.7872965156966156</c:v>
                </c:pt>
                <c:pt idx="24">
                  <c:v>6.6473262302032747</c:v>
                </c:pt>
                <c:pt idx="25">
                  <c:v>7.5917383824887636</c:v>
                </c:pt>
                <c:pt idx="26">
                  <c:v>8.625700203803758</c:v>
                </c:pt>
                <c:pt idx="27">
                  <c:v>9.7509195284430987</c:v>
                </c:pt>
                <c:pt idx="28">
                  <c:v>10.969455667484228</c:v>
                </c:pt>
                <c:pt idx="29">
                  <c:v>12.287987183143606</c:v>
                </c:pt>
                <c:pt idx="30">
                  <c:v>13.708940982367986</c:v>
                </c:pt>
                <c:pt idx="31">
                  <c:v>15.230760550971022</c:v>
                </c:pt>
                <c:pt idx="32">
                  <c:v>16.857779862019662</c:v>
                </c:pt>
                <c:pt idx="33">
                  <c:v>18.59349932142565</c:v>
                </c:pt>
                <c:pt idx="34">
                  <c:v>20.438127474025695</c:v>
                </c:pt>
                <c:pt idx="35">
                  <c:v>22.39128184542081</c:v>
                </c:pt>
                <c:pt idx="36">
                  <c:v>24.453657232962378</c:v>
                </c:pt>
                <c:pt idx="37">
                  <c:v>26.62726975643794</c:v>
                </c:pt>
                <c:pt idx="38">
                  <c:v>28.914846896677748</c:v>
                </c:pt>
                <c:pt idx="39">
                  <c:v>31.320375566719555</c:v>
                </c:pt>
                <c:pt idx="40">
                  <c:v>33.842287906585476</c:v>
                </c:pt>
              </c:numCache>
            </c:numRef>
          </c:xVal>
          <c:yVal>
            <c:numRef>
              <c:f>'Shafan 08'!$A$4:$A$44</c:f>
              <c:numCache>
                <c:formatCode>0.0</c:formatCode>
                <c:ptCount val="41"/>
                <c:pt idx="0">
                  <c:v>153</c:v>
                </c:pt>
                <c:pt idx="1">
                  <c:v>153.5</c:v>
                </c:pt>
                <c:pt idx="2">
                  <c:v>154</c:v>
                </c:pt>
                <c:pt idx="3">
                  <c:v>154.5</c:v>
                </c:pt>
                <c:pt idx="4">
                  <c:v>155</c:v>
                </c:pt>
                <c:pt idx="5">
                  <c:v>155.5</c:v>
                </c:pt>
                <c:pt idx="6">
                  <c:v>156</c:v>
                </c:pt>
                <c:pt idx="7">
                  <c:v>156.5</c:v>
                </c:pt>
                <c:pt idx="8">
                  <c:v>157</c:v>
                </c:pt>
                <c:pt idx="9">
                  <c:v>157.5</c:v>
                </c:pt>
                <c:pt idx="10">
                  <c:v>158</c:v>
                </c:pt>
                <c:pt idx="11">
                  <c:v>158.5</c:v>
                </c:pt>
                <c:pt idx="12">
                  <c:v>159</c:v>
                </c:pt>
                <c:pt idx="13">
                  <c:v>159.5</c:v>
                </c:pt>
                <c:pt idx="14">
                  <c:v>160</c:v>
                </c:pt>
                <c:pt idx="15">
                  <c:v>160.5</c:v>
                </c:pt>
                <c:pt idx="16">
                  <c:v>161</c:v>
                </c:pt>
                <c:pt idx="17">
                  <c:v>161.5</c:v>
                </c:pt>
                <c:pt idx="18">
                  <c:v>162</c:v>
                </c:pt>
                <c:pt idx="19">
                  <c:v>162.5</c:v>
                </c:pt>
                <c:pt idx="20">
                  <c:v>163</c:v>
                </c:pt>
                <c:pt idx="21">
                  <c:v>163.5</c:v>
                </c:pt>
                <c:pt idx="22">
                  <c:v>164</c:v>
                </c:pt>
                <c:pt idx="23">
                  <c:v>164.5</c:v>
                </c:pt>
                <c:pt idx="24">
                  <c:v>165</c:v>
                </c:pt>
                <c:pt idx="25">
                  <c:v>165.5</c:v>
                </c:pt>
                <c:pt idx="26">
                  <c:v>166</c:v>
                </c:pt>
                <c:pt idx="27">
                  <c:v>166.5</c:v>
                </c:pt>
                <c:pt idx="28">
                  <c:v>167</c:v>
                </c:pt>
                <c:pt idx="29">
                  <c:v>167.5</c:v>
                </c:pt>
                <c:pt idx="30">
                  <c:v>168</c:v>
                </c:pt>
                <c:pt idx="31">
                  <c:v>168.5</c:v>
                </c:pt>
                <c:pt idx="32">
                  <c:v>169</c:v>
                </c:pt>
                <c:pt idx="33">
                  <c:v>169.5</c:v>
                </c:pt>
                <c:pt idx="34">
                  <c:v>170</c:v>
                </c:pt>
                <c:pt idx="35">
                  <c:v>170.5</c:v>
                </c:pt>
                <c:pt idx="36">
                  <c:v>171</c:v>
                </c:pt>
                <c:pt idx="37">
                  <c:v>171.5</c:v>
                </c:pt>
                <c:pt idx="38">
                  <c:v>172</c:v>
                </c:pt>
                <c:pt idx="39">
                  <c:v>172.5</c:v>
                </c:pt>
                <c:pt idx="40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4-4DEC-9B56-4F80C7568F23}"/>
            </c:ext>
          </c:extLst>
        </c:ser>
        <c:ser>
          <c:idx val="1"/>
          <c:order val="1"/>
          <c:tx>
            <c:strRef>
              <c:f>'Shafan 08'!$M$7</c:f>
              <c:strCache>
                <c:ptCount val="1"/>
                <c:pt idx="0">
                  <c:v>FSL 168.0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'Shafan 08'!$M$5:$M$6</c:f>
              <c:numCache>
                <c:formatCode>General</c:formatCode>
                <c:ptCount val="2"/>
                <c:pt idx="0">
                  <c:v>0</c:v>
                </c:pt>
                <c:pt idx="1">
                  <c:v>34.519133664717188</c:v>
                </c:pt>
              </c:numCache>
            </c:numRef>
          </c:xVal>
          <c:yVal>
            <c:numRef>
              <c:f>'Shafan 08'!$N$5:$N$6</c:f>
              <c:numCache>
                <c:formatCode>General</c:formatCode>
                <c:ptCount val="2"/>
                <c:pt idx="0">
                  <c:v>168</c:v>
                </c:pt>
                <c:pt idx="1">
                  <c:v>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D4-4DEC-9B56-4F80C7568F23}"/>
            </c:ext>
          </c:extLst>
        </c:ser>
        <c:ser>
          <c:idx val="2"/>
          <c:order val="2"/>
          <c:tx>
            <c:strRef>
              <c:f>'Shafan 08'!$M$8</c:f>
              <c:strCache>
                <c:ptCount val="1"/>
                <c:pt idx="0">
                  <c:v>Crest 173.0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'Shafan 08'!$M$5:$M$6</c:f>
              <c:numCache>
                <c:formatCode>General</c:formatCode>
                <c:ptCount val="2"/>
                <c:pt idx="0">
                  <c:v>0</c:v>
                </c:pt>
                <c:pt idx="1">
                  <c:v>34.519133664717188</c:v>
                </c:pt>
              </c:numCache>
            </c:numRef>
          </c:xVal>
          <c:yVal>
            <c:numRef>
              <c:f>'Shafan 08'!$O$5:$O$6</c:f>
              <c:numCache>
                <c:formatCode>General</c:formatCode>
                <c:ptCount val="2"/>
                <c:pt idx="0">
                  <c:v>173</c:v>
                </c:pt>
                <c:pt idx="1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D4-4DEC-9B56-4F80C7568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Volume (Mm³)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74"/>
          <c:min val="15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Shafan 08 - elevation vs area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'Shafan 08'!$M$10</c:f>
              <c:strCache>
                <c:ptCount val="1"/>
                <c:pt idx="0">
                  <c:v>Elevation-area curve</c:v>
                </c:pt>
              </c:strCache>
            </c:strRef>
          </c:tx>
          <c:spPr>
            <a:ln w="22225" cap="rnd">
              <a:solidFill>
                <a:srgbClr val="2E75B6"/>
              </a:solidFill>
              <a:prstDash val="solid"/>
            </a:ln>
          </c:spPr>
          <c:marker>
            <c:symbol val="none"/>
          </c:marker>
          <c:xVal>
            <c:numRef>
              <c:f>'Shafan 08'!$B$4:$B$44</c:f>
              <c:numCache>
                <c:formatCode>0.0000</c:formatCode>
                <c:ptCount val="41"/>
                <c:pt idx="0">
                  <c:v>1.6000000000000001E-3</c:v>
                </c:pt>
                <c:pt idx="1">
                  <c:v>4.4000000000000003E-3</c:v>
                </c:pt>
                <c:pt idx="2">
                  <c:v>9.4999999999999998E-3</c:v>
                </c:pt>
                <c:pt idx="3">
                  <c:v>2.3199999999999998E-2</c:v>
                </c:pt>
                <c:pt idx="4">
                  <c:v>4.02E-2</c:v>
                </c:pt>
                <c:pt idx="5">
                  <c:v>6.0400000000000002E-2</c:v>
                </c:pt>
                <c:pt idx="6">
                  <c:v>9.1600000000000001E-2</c:v>
                </c:pt>
                <c:pt idx="7">
                  <c:v>0.1237</c:v>
                </c:pt>
                <c:pt idx="8">
                  <c:v>0.1605</c:v>
                </c:pt>
                <c:pt idx="9">
                  <c:v>0.2039</c:v>
                </c:pt>
                <c:pt idx="10">
                  <c:v>0.25519999999999998</c:v>
                </c:pt>
                <c:pt idx="11">
                  <c:v>0.3145</c:v>
                </c:pt>
                <c:pt idx="12">
                  <c:v>0.38229999999999997</c:v>
                </c:pt>
                <c:pt idx="13">
                  <c:v>0.45590000000000003</c:v>
                </c:pt>
                <c:pt idx="14">
                  <c:v>0.54</c:v>
                </c:pt>
                <c:pt idx="15">
                  <c:v>0.626</c:v>
                </c:pt>
                <c:pt idx="16">
                  <c:v>0.72360000000000002</c:v>
                </c:pt>
                <c:pt idx="17">
                  <c:v>0.83079999999999998</c:v>
                </c:pt>
                <c:pt idx="18">
                  <c:v>0.93259999999999998</c:v>
                </c:pt>
                <c:pt idx="19">
                  <c:v>1.0444</c:v>
                </c:pt>
                <c:pt idx="20">
                  <c:v>1.1678999999999999</c:v>
                </c:pt>
                <c:pt idx="21">
                  <c:v>1.3046</c:v>
                </c:pt>
                <c:pt idx="22">
                  <c:v>1.4703999999999999</c:v>
                </c:pt>
                <c:pt idx="23">
                  <c:v>1.6394</c:v>
                </c:pt>
                <c:pt idx="24">
                  <c:v>1.802</c:v>
                </c:pt>
                <c:pt idx="25">
                  <c:v>1.9770000000000001</c:v>
                </c:pt>
                <c:pt idx="26">
                  <c:v>2.1602000000000001</c:v>
                </c:pt>
                <c:pt idx="27">
                  <c:v>2.3418999999999999</c:v>
                </c:pt>
                <c:pt idx="28">
                  <c:v>2.5335000000000001</c:v>
                </c:pt>
                <c:pt idx="29">
                  <c:v>2.742</c:v>
                </c:pt>
                <c:pt idx="30">
                  <c:v>2.9430000000000001</c:v>
                </c:pt>
                <c:pt idx="31">
                  <c:v>3.1454</c:v>
                </c:pt>
                <c:pt idx="32">
                  <c:v>3.3639000000000001</c:v>
                </c:pt>
                <c:pt idx="33">
                  <c:v>3.5800999999999998</c:v>
                </c:pt>
                <c:pt idx="34">
                  <c:v>3.7995000000000001</c:v>
                </c:pt>
                <c:pt idx="35">
                  <c:v>4.0141</c:v>
                </c:pt>
                <c:pt idx="36">
                  <c:v>4.2363999999999997</c:v>
                </c:pt>
                <c:pt idx="37">
                  <c:v>4.4589999999999996</c:v>
                </c:pt>
                <c:pt idx="38">
                  <c:v>4.6923000000000004</c:v>
                </c:pt>
                <c:pt idx="39">
                  <c:v>4.9307999999999996</c:v>
                </c:pt>
                <c:pt idx="40">
                  <c:v>5.1577000000000002</c:v>
                </c:pt>
              </c:numCache>
            </c:numRef>
          </c:xVal>
          <c:yVal>
            <c:numRef>
              <c:f>'Shafan 08'!$A$4:$A$44</c:f>
              <c:numCache>
                <c:formatCode>0.0</c:formatCode>
                <c:ptCount val="41"/>
                <c:pt idx="0">
                  <c:v>153</c:v>
                </c:pt>
                <c:pt idx="1">
                  <c:v>153.5</c:v>
                </c:pt>
                <c:pt idx="2">
                  <c:v>154</c:v>
                </c:pt>
                <c:pt idx="3">
                  <c:v>154.5</c:v>
                </c:pt>
                <c:pt idx="4">
                  <c:v>155</c:v>
                </c:pt>
                <c:pt idx="5">
                  <c:v>155.5</c:v>
                </c:pt>
                <c:pt idx="6">
                  <c:v>156</c:v>
                </c:pt>
                <c:pt idx="7">
                  <c:v>156.5</c:v>
                </c:pt>
                <c:pt idx="8">
                  <c:v>157</c:v>
                </c:pt>
                <c:pt idx="9">
                  <c:v>157.5</c:v>
                </c:pt>
                <c:pt idx="10">
                  <c:v>158</c:v>
                </c:pt>
                <c:pt idx="11">
                  <c:v>158.5</c:v>
                </c:pt>
                <c:pt idx="12">
                  <c:v>159</c:v>
                </c:pt>
                <c:pt idx="13">
                  <c:v>159.5</c:v>
                </c:pt>
                <c:pt idx="14">
                  <c:v>160</c:v>
                </c:pt>
                <c:pt idx="15">
                  <c:v>160.5</c:v>
                </c:pt>
                <c:pt idx="16">
                  <c:v>161</c:v>
                </c:pt>
                <c:pt idx="17">
                  <c:v>161.5</c:v>
                </c:pt>
                <c:pt idx="18">
                  <c:v>162</c:v>
                </c:pt>
                <c:pt idx="19">
                  <c:v>162.5</c:v>
                </c:pt>
                <c:pt idx="20">
                  <c:v>163</c:v>
                </c:pt>
                <c:pt idx="21">
                  <c:v>163.5</c:v>
                </c:pt>
                <c:pt idx="22">
                  <c:v>164</c:v>
                </c:pt>
                <c:pt idx="23">
                  <c:v>164.5</c:v>
                </c:pt>
                <c:pt idx="24">
                  <c:v>165</c:v>
                </c:pt>
                <c:pt idx="25">
                  <c:v>165.5</c:v>
                </c:pt>
                <c:pt idx="26">
                  <c:v>166</c:v>
                </c:pt>
                <c:pt idx="27">
                  <c:v>166.5</c:v>
                </c:pt>
                <c:pt idx="28">
                  <c:v>167</c:v>
                </c:pt>
                <c:pt idx="29">
                  <c:v>167.5</c:v>
                </c:pt>
                <c:pt idx="30">
                  <c:v>168</c:v>
                </c:pt>
                <c:pt idx="31">
                  <c:v>168.5</c:v>
                </c:pt>
                <c:pt idx="32">
                  <c:v>169</c:v>
                </c:pt>
                <c:pt idx="33">
                  <c:v>169.5</c:v>
                </c:pt>
                <c:pt idx="34">
                  <c:v>170</c:v>
                </c:pt>
                <c:pt idx="35">
                  <c:v>170.5</c:v>
                </c:pt>
                <c:pt idx="36">
                  <c:v>171</c:v>
                </c:pt>
                <c:pt idx="37">
                  <c:v>171.5</c:v>
                </c:pt>
                <c:pt idx="38">
                  <c:v>172</c:v>
                </c:pt>
                <c:pt idx="39">
                  <c:v>172.5</c:v>
                </c:pt>
                <c:pt idx="40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D-45C1-AA99-AF254ADEC0E5}"/>
            </c:ext>
          </c:extLst>
        </c:ser>
        <c:ser>
          <c:idx val="1"/>
          <c:order val="1"/>
          <c:tx>
            <c:strRef>
              <c:f>'Shafan 08'!$M$7</c:f>
              <c:strCache>
                <c:ptCount val="1"/>
                <c:pt idx="0">
                  <c:v>FSL 168.0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'Shafan 08'!$P$5:$P$6</c:f>
              <c:numCache>
                <c:formatCode>General</c:formatCode>
                <c:ptCount val="2"/>
                <c:pt idx="0">
                  <c:v>0</c:v>
                </c:pt>
                <c:pt idx="1">
                  <c:v>5.2608540000000001</c:v>
                </c:pt>
              </c:numCache>
            </c:numRef>
          </c:xVal>
          <c:yVal>
            <c:numRef>
              <c:f>'Shafan 08'!$N$5:$N$6</c:f>
              <c:numCache>
                <c:formatCode>General</c:formatCode>
                <c:ptCount val="2"/>
                <c:pt idx="0">
                  <c:v>168</c:v>
                </c:pt>
                <c:pt idx="1">
                  <c:v>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D-45C1-AA99-AF254ADEC0E5}"/>
            </c:ext>
          </c:extLst>
        </c:ser>
        <c:ser>
          <c:idx val="2"/>
          <c:order val="2"/>
          <c:tx>
            <c:strRef>
              <c:f>'Shafan 08'!$M$8</c:f>
              <c:strCache>
                <c:ptCount val="1"/>
                <c:pt idx="0">
                  <c:v>Crest 173.0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'Shafan 08'!$P$5:$P$6</c:f>
              <c:numCache>
                <c:formatCode>General</c:formatCode>
                <c:ptCount val="2"/>
                <c:pt idx="0">
                  <c:v>0</c:v>
                </c:pt>
                <c:pt idx="1">
                  <c:v>5.2608540000000001</c:v>
                </c:pt>
              </c:numCache>
            </c:numRef>
          </c:xVal>
          <c:yVal>
            <c:numRef>
              <c:f>'Shafan 08'!$O$5:$O$6</c:f>
              <c:numCache>
                <c:formatCode>General</c:formatCode>
                <c:ptCount val="2"/>
                <c:pt idx="0">
                  <c:v>173</c:v>
                </c:pt>
                <c:pt idx="1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9D-45C1-AA99-AF254ADEC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Area (km²)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74"/>
          <c:min val="15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Sarami 03 - elevation vs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'Sarami 03'!$M$9</c:f>
              <c:strCache>
                <c:ptCount val="1"/>
                <c:pt idx="0">
                  <c:v>Elevation-volume curve</c:v>
                </c:pt>
              </c:strCache>
            </c:strRef>
          </c:tx>
          <c:spPr>
            <a:ln w="22225" cap="rnd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'Sarami 03'!$E$4:$E$95</c:f>
              <c:numCache>
                <c:formatCode>0.000</c:formatCode>
                <c:ptCount val="92"/>
                <c:pt idx="0">
                  <c:v>0</c:v>
                </c:pt>
                <c:pt idx="1">
                  <c:v>1.7818608319271055E-3</c:v>
                </c:pt>
                <c:pt idx="2">
                  <c:v>5.3471982279346244E-3</c:v>
                </c:pt>
                <c:pt idx="3">
                  <c:v>1.1813137255312127E-2</c:v>
                </c:pt>
                <c:pt idx="4">
                  <c:v>2.1121099946482286E-2</c:v>
                </c:pt>
                <c:pt idx="5">
                  <c:v>3.2454875731705399E-2</c:v>
                </c:pt>
                <c:pt idx="6">
                  <c:v>4.6688650740472244E-2</c:v>
                </c:pt>
                <c:pt idx="7">
                  <c:v>6.497047289658113E-2</c:v>
                </c:pt>
                <c:pt idx="8">
                  <c:v>8.6438091325853325E-2</c:v>
                </c:pt>
                <c:pt idx="9">
                  <c:v>0.10973292150794807</c:v>
                </c:pt>
                <c:pt idx="10">
                  <c:v>0.13573537780659528</c:v>
                </c:pt>
                <c:pt idx="11">
                  <c:v>0.16465432217400425</c:v>
                </c:pt>
                <c:pt idx="12">
                  <c:v>0.19621537455814839</c:v>
                </c:pt>
                <c:pt idx="13">
                  <c:v>0.23058367866231716</c:v>
                </c:pt>
                <c:pt idx="14">
                  <c:v>0.26742603268244797</c:v>
                </c:pt>
                <c:pt idx="15">
                  <c:v>0.30726394018534897</c:v>
                </c:pt>
                <c:pt idx="16">
                  <c:v>0.35060147806408715</c:v>
                </c:pt>
                <c:pt idx="17">
                  <c:v>0.39766335299626399</c:v>
                </c:pt>
                <c:pt idx="18">
                  <c:v>0.44803209666119181</c:v>
                </c:pt>
                <c:pt idx="19">
                  <c:v>0.50176968926431897</c:v>
                </c:pt>
                <c:pt idx="20">
                  <c:v>0.55950814178928976</c:v>
                </c:pt>
                <c:pt idx="21">
                  <c:v>0.62139569188352406</c:v>
                </c:pt>
                <c:pt idx="22">
                  <c:v>0.68797941339277491</c:v>
                </c:pt>
                <c:pt idx="23">
                  <c:v>0.75991124575189328</c:v>
                </c:pt>
                <c:pt idx="24">
                  <c:v>0.83756788149867545</c:v>
                </c:pt>
                <c:pt idx="25">
                  <c:v>0.92102637340712357</c:v>
                </c:pt>
                <c:pt idx="26">
                  <c:v>1.0107302075169886</c:v>
                </c:pt>
                <c:pt idx="27">
                  <c:v>1.1074819396317732</c:v>
                </c:pt>
                <c:pt idx="28">
                  <c:v>1.211535889727239</c:v>
                </c:pt>
                <c:pt idx="29">
                  <c:v>1.3227175248660084</c:v>
                </c:pt>
                <c:pt idx="30">
                  <c:v>1.4420373185934625</c:v>
                </c:pt>
                <c:pt idx="31">
                  <c:v>1.5712270934792845</c:v>
                </c:pt>
                <c:pt idx="32">
                  <c:v>1.7111657327911893</c:v>
                </c:pt>
                <c:pt idx="33">
                  <c:v>1.8626014364025052</c:v>
                </c:pt>
                <c:pt idx="34">
                  <c:v>2.0264344364014875</c:v>
                </c:pt>
                <c:pt idx="35">
                  <c:v>2.2038610712066444</c:v>
                </c:pt>
                <c:pt idx="36">
                  <c:v>2.3979581515738193</c:v>
                </c:pt>
                <c:pt idx="37">
                  <c:v>2.610569998468665</c:v>
                </c:pt>
                <c:pt idx="38">
                  <c:v>2.8426654373655302</c:v>
                </c:pt>
                <c:pt idx="39">
                  <c:v>3.0952994571647112</c:v>
                </c:pt>
                <c:pt idx="40">
                  <c:v>3.3677406980982578</c:v>
                </c:pt>
                <c:pt idx="41">
                  <c:v>3.6608731383672124</c:v>
                </c:pt>
                <c:pt idx="42">
                  <c:v>3.9761562271077389</c:v>
                </c:pt>
                <c:pt idx="43">
                  <c:v>4.3141168492631206</c:v>
                </c:pt>
                <c:pt idx="44">
                  <c:v>4.6764149911329378</c:v>
                </c:pt>
                <c:pt idx="45">
                  <c:v>5.0647660537251742</c:v>
                </c:pt>
                <c:pt idx="46">
                  <c:v>5.4796686486375306</c:v>
                </c:pt>
                <c:pt idx="47">
                  <c:v>5.9224400448563443</c:v>
                </c:pt>
                <c:pt idx="48">
                  <c:v>6.3936212048384728</c:v>
                </c:pt>
                <c:pt idx="49">
                  <c:v>6.8933253476822092</c:v>
                </c:pt>
                <c:pt idx="50">
                  <c:v>7.4236196314402401</c:v>
                </c:pt>
                <c:pt idx="51">
                  <c:v>7.9846802182921053</c:v>
                </c:pt>
                <c:pt idx="52">
                  <c:v>8.5768545150195941</c:v>
                </c:pt>
                <c:pt idx="53">
                  <c:v>9.2020062670122265</c:v>
                </c:pt>
                <c:pt idx="54">
                  <c:v>9.8596917947177651</c:v>
                </c:pt>
                <c:pt idx="55">
                  <c:v>10.550991472187457</c:v>
                </c:pt>
                <c:pt idx="56">
                  <c:v>11.277991984099048</c:v>
                </c:pt>
                <c:pt idx="57">
                  <c:v>12.044020800080494</c:v>
                </c:pt>
                <c:pt idx="58">
                  <c:v>12.849798467121815</c:v>
                </c:pt>
                <c:pt idx="59">
                  <c:v>13.693922226338842</c:v>
                </c:pt>
                <c:pt idx="60">
                  <c:v>14.576505480347556</c:v>
                </c:pt>
                <c:pt idx="61">
                  <c:v>15.497759014145482</c:v>
                </c:pt>
                <c:pt idx="62">
                  <c:v>16.458988960716557</c:v>
                </c:pt>
                <c:pt idx="63">
                  <c:v>17.461390109380083</c:v>
                </c:pt>
                <c:pt idx="64">
                  <c:v>18.506440871015133</c:v>
                </c:pt>
                <c:pt idx="65">
                  <c:v>19.594967434409032</c:v>
                </c:pt>
                <c:pt idx="66">
                  <c:v>20.72466276310999</c:v>
                </c:pt>
                <c:pt idx="67">
                  <c:v>21.892113902084066</c:v>
                </c:pt>
                <c:pt idx="68">
                  <c:v>23.097063968136542</c:v>
                </c:pt>
                <c:pt idx="69">
                  <c:v>24.339343914991154</c:v>
                </c:pt>
                <c:pt idx="70">
                  <c:v>25.619369783449361</c:v>
                </c:pt>
                <c:pt idx="71">
                  <c:v>26.938993375033093</c:v>
                </c:pt>
                <c:pt idx="72">
                  <c:v>28.300659803919228</c:v>
                </c:pt>
                <c:pt idx="73">
                  <c:v>29.706575453370391</c:v>
                </c:pt>
                <c:pt idx="74">
                  <c:v>31.159008527058035</c:v>
                </c:pt>
                <c:pt idx="75">
                  <c:v>32.659271258269428</c:v>
                </c:pt>
                <c:pt idx="76">
                  <c:v>34.207283853812939</c:v>
                </c:pt>
                <c:pt idx="77">
                  <c:v>35.805239021831426</c:v>
                </c:pt>
                <c:pt idx="78">
                  <c:v>37.454722542864936</c:v>
                </c:pt>
                <c:pt idx="79">
                  <c:v>39.155134926937841</c:v>
                </c:pt>
                <c:pt idx="80">
                  <c:v>40.904780286202239</c:v>
                </c:pt>
                <c:pt idx="81">
                  <c:v>42.701356317329441</c:v>
                </c:pt>
                <c:pt idx="82">
                  <c:v>44.543510106348087</c:v>
                </c:pt>
                <c:pt idx="83">
                  <c:v>46.429121681420497</c:v>
                </c:pt>
                <c:pt idx="84">
                  <c:v>48.355437589921024</c:v>
                </c:pt>
                <c:pt idx="85">
                  <c:v>50.322176715438871</c:v>
                </c:pt>
                <c:pt idx="86">
                  <c:v>52.330265893285201</c:v>
                </c:pt>
                <c:pt idx="87">
                  <c:v>54.379332703924526</c:v>
                </c:pt>
                <c:pt idx="88">
                  <c:v>56.468127285391574</c:v>
                </c:pt>
                <c:pt idx="89">
                  <c:v>58.59477596795093</c:v>
                </c:pt>
                <c:pt idx="90">
                  <c:v>60.757975376798896</c:v>
                </c:pt>
                <c:pt idx="91">
                  <c:v>62.955780042730268</c:v>
                </c:pt>
              </c:numCache>
            </c:numRef>
          </c:xVal>
          <c:yVal>
            <c:numRef>
              <c:f>'Sarami 03'!$A$4:$A$95</c:f>
              <c:numCache>
                <c:formatCode>0.0</c:formatCode>
                <c:ptCount val="92"/>
                <c:pt idx="0">
                  <c:v>196.5</c:v>
                </c:pt>
                <c:pt idx="1">
                  <c:v>197</c:v>
                </c:pt>
                <c:pt idx="2">
                  <c:v>197.5</c:v>
                </c:pt>
                <c:pt idx="3">
                  <c:v>198</c:v>
                </c:pt>
                <c:pt idx="4">
                  <c:v>198.5</c:v>
                </c:pt>
                <c:pt idx="5">
                  <c:v>199</c:v>
                </c:pt>
                <c:pt idx="6">
                  <c:v>199.5</c:v>
                </c:pt>
                <c:pt idx="7">
                  <c:v>200</c:v>
                </c:pt>
                <c:pt idx="8">
                  <c:v>200.5</c:v>
                </c:pt>
                <c:pt idx="9">
                  <c:v>201</c:v>
                </c:pt>
                <c:pt idx="10">
                  <c:v>201.5</c:v>
                </c:pt>
                <c:pt idx="11">
                  <c:v>202</c:v>
                </c:pt>
                <c:pt idx="12">
                  <c:v>202.5</c:v>
                </c:pt>
                <c:pt idx="13">
                  <c:v>203</c:v>
                </c:pt>
                <c:pt idx="14">
                  <c:v>203.5</c:v>
                </c:pt>
                <c:pt idx="15">
                  <c:v>204</c:v>
                </c:pt>
                <c:pt idx="16">
                  <c:v>204.5</c:v>
                </c:pt>
                <c:pt idx="17">
                  <c:v>205</c:v>
                </c:pt>
                <c:pt idx="18">
                  <c:v>205.5</c:v>
                </c:pt>
                <c:pt idx="19">
                  <c:v>206</c:v>
                </c:pt>
                <c:pt idx="20">
                  <c:v>206.5</c:v>
                </c:pt>
                <c:pt idx="21">
                  <c:v>207</c:v>
                </c:pt>
                <c:pt idx="22">
                  <c:v>207.5</c:v>
                </c:pt>
                <c:pt idx="23">
                  <c:v>208</c:v>
                </c:pt>
                <c:pt idx="24">
                  <c:v>208.5</c:v>
                </c:pt>
                <c:pt idx="25">
                  <c:v>209</c:v>
                </c:pt>
                <c:pt idx="26">
                  <c:v>209.5</c:v>
                </c:pt>
                <c:pt idx="27">
                  <c:v>210</c:v>
                </c:pt>
                <c:pt idx="28">
                  <c:v>210.5</c:v>
                </c:pt>
                <c:pt idx="29">
                  <c:v>211</c:v>
                </c:pt>
                <c:pt idx="30">
                  <c:v>211.5</c:v>
                </c:pt>
                <c:pt idx="31">
                  <c:v>212</c:v>
                </c:pt>
                <c:pt idx="32">
                  <c:v>212.5</c:v>
                </c:pt>
                <c:pt idx="33">
                  <c:v>213</c:v>
                </c:pt>
                <c:pt idx="34">
                  <c:v>213.5</c:v>
                </c:pt>
                <c:pt idx="35">
                  <c:v>214</c:v>
                </c:pt>
                <c:pt idx="36">
                  <c:v>214.5</c:v>
                </c:pt>
                <c:pt idx="37">
                  <c:v>215</c:v>
                </c:pt>
                <c:pt idx="38">
                  <c:v>215.5</c:v>
                </c:pt>
                <c:pt idx="39">
                  <c:v>216</c:v>
                </c:pt>
                <c:pt idx="40">
                  <c:v>216.5</c:v>
                </c:pt>
                <c:pt idx="41">
                  <c:v>217</c:v>
                </c:pt>
                <c:pt idx="42">
                  <c:v>217.5</c:v>
                </c:pt>
                <c:pt idx="43">
                  <c:v>218</c:v>
                </c:pt>
                <c:pt idx="44">
                  <c:v>218.5</c:v>
                </c:pt>
                <c:pt idx="45">
                  <c:v>219</c:v>
                </c:pt>
                <c:pt idx="46">
                  <c:v>219.5</c:v>
                </c:pt>
                <c:pt idx="47">
                  <c:v>220</c:v>
                </c:pt>
                <c:pt idx="48">
                  <c:v>220.5</c:v>
                </c:pt>
                <c:pt idx="49">
                  <c:v>221</c:v>
                </c:pt>
                <c:pt idx="50">
                  <c:v>221.5</c:v>
                </c:pt>
                <c:pt idx="51">
                  <c:v>222</c:v>
                </c:pt>
                <c:pt idx="52">
                  <c:v>222.5</c:v>
                </c:pt>
                <c:pt idx="53">
                  <c:v>223</c:v>
                </c:pt>
                <c:pt idx="54">
                  <c:v>223.5</c:v>
                </c:pt>
                <c:pt idx="55">
                  <c:v>224</c:v>
                </c:pt>
                <c:pt idx="56">
                  <c:v>224.5</c:v>
                </c:pt>
                <c:pt idx="57">
                  <c:v>225</c:v>
                </c:pt>
                <c:pt idx="58">
                  <c:v>225.5</c:v>
                </c:pt>
                <c:pt idx="59">
                  <c:v>226</c:v>
                </c:pt>
                <c:pt idx="60">
                  <c:v>226.5</c:v>
                </c:pt>
                <c:pt idx="61">
                  <c:v>227</c:v>
                </c:pt>
                <c:pt idx="62">
                  <c:v>227.5</c:v>
                </c:pt>
                <c:pt idx="63">
                  <c:v>228</c:v>
                </c:pt>
                <c:pt idx="64">
                  <c:v>228.5</c:v>
                </c:pt>
                <c:pt idx="65">
                  <c:v>229</c:v>
                </c:pt>
                <c:pt idx="66">
                  <c:v>229.5</c:v>
                </c:pt>
                <c:pt idx="67">
                  <c:v>230</c:v>
                </c:pt>
                <c:pt idx="68">
                  <c:v>230.5</c:v>
                </c:pt>
                <c:pt idx="69">
                  <c:v>231</c:v>
                </c:pt>
                <c:pt idx="70">
                  <c:v>231.5</c:v>
                </c:pt>
                <c:pt idx="71">
                  <c:v>232</c:v>
                </c:pt>
                <c:pt idx="72">
                  <c:v>232.5</c:v>
                </c:pt>
                <c:pt idx="73">
                  <c:v>233</c:v>
                </c:pt>
                <c:pt idx="74">
                  <c:v>233.5</c:v>
                </c:pt>
                <c:pt idx="75">
                  <c:v>234</c:v>
                </c:pt>
                <c:pt idx="76">
                  <c:v>234.5</c:v>
                </c:pt>
                <c:pt idx="77">
                  <c:v>235</c:v>
                </c:pt>
                <c:pt idx="78">
                  <c:v>235.5</c:v>
                </c:pt>
                <c:pt idx="79">
                  <c:v>236</c:v>
                </c:pt>
                <c:pt idx="80">
                  <c:v>236.5</c:v>
                </c:pt>
                <c:pt idx="81">
                  <c:v>237</c:v>
                </c:pt>
                <c:pt idx="82">
                  <c:v>237.5</c:v>
                </c:pt>
                <c:pt idx="83">
                  <c:v>238</c:v>
                </c:pt>
                <c:pt idx="84">
                  <c:v>238.5</c:v>
                </c:pt>
                <c:pt idx="85">
                  <c:v>239</c:v>
                </c:pt>
                <c:pt idx="86">
                  <c:v>239.5</c:v>
                </c:pt>
                <c:pt idx="87">
                  <c:v>240</c:v>
                </c:pt>
                <c:pt idx="88">
                  <c:v>240.5</c:v>
                </c:pt>
                <c:pt idx="89">
                  <c:v>241</c:v>
                </c:pt>
                <c:pt idx="90">
                  <c:v>241.5</c:v>
                </c:pt>
                <c:pt idx="91">
                  <c:v>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B-46C3-8326-C797EBA51F15}"/>
            </c:ext>
          </c:extLst>
        </c:ser>
        <c:ser>
          <c:idx val="1"/>
          <c:order val="1"/>
          <c:tx>
            <c:strRef>
              <c:f>'Sarami 03'!$M$7</c:f>
              <c:strCache>
                <c:ptCount val="1"/>
                <c:pt idx="0">
                  <c:v>FSL 237.0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'Sarami 03'!$M$5:$M$6</c:f>
              <c:numCache>
                <c:formatCode>General</c:formatCode>
                <c:ptCount val="2"/>
                <c:pt idx="0">
                  <c:v>0</c:v>
                </c:pt>
                <c:pt idx="1">
                  <c:v>64.214895643584867</c:v>
                </c:pt>
              </c:numCache>
            </c:numRef>
          </c:xVal>
          <c:yVal>
            <c:numRef>
              <c:f>'Sarami 03'!$N$5:$N$6</c:f>
              <c:numCache>
                <c:formatCode>General</c:formatCode>
                <c:ptCount val="2"/>
                <c:pt idx="0">
                  <c:v>237</c:v>
                </c:pt>
                <c:pt idx="1">
                  <c:v>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B-46C3-8326-C797EBA51F15}"/>
            </c:ext>
          </c:extLst>
        </c:ser>
        <c:ser>
          <c:idx val="2"/>
          <c:order val="2"/>
          <c:tx>
            <c:strRef>
              <c:f>'Sarami 03'!$M$8</c:f>
              <c:strCache>
                <c:ptCount val="1"/>
                <c:pt idx="0">
                  <c:v>Crest 242.0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'Sarami 03'!$M$5:$M$6</c:f>
              <c:numCache>
                <c:formatCode>General</c:formatCode>
                <c:ptCount val="2"/>
                <c:pt idx="0">
                  <c:v>0</c:v>
                </c:pt>
                <c:pt idx="1">
                  <c:v>64.214895643584867</c:v>
                </c:pt>
              </c:numCache>
            </c:numRef>
          </c:xVal>
          <c:yVal>
            <c:numRef>
              <c:f>'Sarami 03'!$O$5:$O$6</c:f>
              <c:numCache>
                <c:formatCode>General</c:formatCode>
                <c:ptCount val="2"/>
                <c:pt idx="0">
                  <c:v>242</c:v>
                </c:pt>
                <c:pt idx="1">
                  <c:v>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DB-46C3-8326-C797EBA51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Volume (Mm³)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43"/>
          <c:min val="195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Sarami 03 - elevation vs area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'Sarami 03'!$M$10</c:f>
              <c:strCache>
                <c:ptCount val="1"/>
                <c:pt idx="0">
                  <c:v>Elevation-area curve</c:v>
                </c:pt>
              </c:strCache>
            </c:strRef>
          </c:tx>
          <c:spPr>
            <a:ln w="22225" cap="rnd">
              <a:solidFill>
                <a:srgbClr val="2E75B6"/>
              </a:solidFill>
              <a:prstDash val="solid"/>
            </a:ln>
          </c:spPr>
          <c:marker>
            <c:symbol val="none"/>
          </c:marker>
          <c:xVal>
            <c:numRef>
              <c:f>'Sarami 03'!$B$4:$B$95</c:f>
              <c:numCache>
                <c:formatCode>0.0000</c:formatCode>
                <c:ptCount val="92"/>
                <c:pt idx="0">
                  <c:v>2.3E-3</c:v>
                </c:pt>
                <c:pt idx="1">
                  <c:v>5.0000000000000001E-3</c:v>
                </c:pt>
                <c:pt idx="2">
                  <c:v>9.4999999999999998E-3</c:v>
                </c:pt>
                <c:pt idx="3">
                  <c:v>1.67E-2</c:v>
                </c:pt>
                <c:pt idx="4">
                  <c:v>2.06E-2</c:v>
                </c:pt>
                <c:pt idx="5">
                  <c:v>2.4799999999999999E-2</c:v>
                </c:pt>
                <c:pt idx="6">
                  <c:v>3.2300000000000002E-2</c:v>
                </c:pt>
                <c:pt idx="7">
                  <c:v>4.1000000000000002E-2</c:v>
                </c:pt>
                <c:pt idx="8">
                  <c:v>4.4900000000000002E-2</c:v>
                </c:pt>
                <c:pt idx="9">
                  <c:v>4.8300000000000003E-2</c:v>
                </c:pt>
                <c:pt idx="10">
                  <c:v>5.5800000000000002E-2</c:v>
                </c:pt>
                <c:pt idx="11">
                  <c:v>5.9900000000000002E-2</c:v>
                </c:pt>
                <c:pt idx="12">
                  <c:v>6.6400000000000001E-2</c:v>
                </c:pt>
                <c:pt idx="13">
                  <c:v>7.1099999999999997E-2</c:v>
                </c:pt>
                <c:pt idx="14">
                  <c:v>7.6300000000000007E-2</c:v>
                </c:pt>
                <c:pt idx="15">
                  <c:v>8.3099999999999993E-2</c:v>
                </c:pt>
                <c:pt idx="16">
                  <c:v>9.0300000000000005E-2</c:v>
                </c:pt>
                <c:pt idx="17">
                  <c:v>9.8000000000000004E-2</c:v>
                </c:pt>
                <c:pt idx="18">
                  <c:v>0.10349999999999999</c:v>
                </c:pt>
                <c:pt idx="19">
                  <c:v>0.1115</c:v>
                </c:pt>
                <c:pt idx="20">
                  <c:v>0.1195</c:v>
                </c:pt>
                <c:pt idx="21">
                  <c:v>0.12809999999999999</c:v>
                </c:pt>
                <c:pt idx="22">
                  <c:v>0.13830000000000001</c:v>
                </c:pt>
                <c:pt idx="23">
                  <c:v>0.14949999999999999</c:v>
                </c:pt>
                <c:pt idx="24">
                  <c:v>0.16120000000000001</c:v>
                </c:pt>
                <c:pt idx="25">
                  <c:v>0.17269999999999999</c:v>
                </c:pt>
                <c:pt idx="26">
                  <c:v>0.1862</c:v>
                </c:pt>
                <c:pt idx="27">
                  <c:v>0.2009</c:v>
                </c:pt>
                <c:pt idx="28">
                  <c:v>0.21540000000000001</c:v>
                </c:pt>
                <c:pt idx="29">
                  <c:v>0.22939999999999999</c:v>
                </c:pt>
                <c:pt idx="30">
                  <c:v>0.248</c:v>
                </c:pt>
                <c:pt idx="31">
                  <c:v>0.26889999999999997</c:v>
                </c:pt>
                <c:pt idx="32">
                  <c:v>0.29099999999999998</c:v>
                </c:pt>
                <c:pt idx="33">
                  <c:v>0.31490000000000001</c:v>
                </c:pt>
                <c:pt idx="34">
                  <c:v>0.34060000000000001</c:v>
                </c:pt>
                <c:pt idx="35">
                  <c:v>0.36930000000000002</c:v>
                </c:pt>
                <c:pt idx="36">
                  <c:v>0.40739999999999998</c:v>
                </c:pt>
                <c:pt idx="37">
                  <c:v>0.44330000000000003</c:v>
                </c:pt>
                <c:pt idx="38">
                  <c:v>0.4854</c:v>
                </c:pt>
                <c:pt idx="39">
                  <c:v>0.52539999999999998</c:v>
                </c:pt>
                <c:pt idx="40">
                  <c:v>0.56459999999999999</c:v>
                </c:pt>
                <c:pt idx="41">
                  <c:v>0.60819999999999996</c:v>
                </c:pt>
                <c:pt idx="42">
                  <c:v>0.6532</c:v>
                </c:pt>
                <c:pt idx="43">
                  <c:v>0.69889999999999997</c:v>
                </c:pt>
                <c:pt idx="44">
                  <c:v>0.75060000000000004</c:v>
                </c:pt>
                <c:pt idx="45">
                  <c:v>0.80310000000000004</c:v>
                </c:pt>
                <c:pt idx="46">
                  <c:v>0.85680000000000001</c:v>
                </c:pt>
                <c:pt idx="47">
                  <c:v>0.91459999999999997</c:v>
                </c:pt>
                <c:pt idx="48">
                  <c:v>0.97040000000000004</c:v>
                </c:pt>
                <c:pt idx="49">
                  <c:v>1.0286999999999999</c:v>
                </c:pt>
                <c:pt idx="50">
                  <c:v>1.0928</c:v>
                </c:pt>
                <c:pt idx="51">
                  <c:v>1.1516999999999999</c:v>
                </c:pt>
                <c:pt idx="52">
                  <c:v>1.2173</c:v>
                </c:pt>
                <c:pt idx="53">
                  <c:v>1.2836000000000001</c:v>
                </c:pt>
                <c:pt idx="54">
                  <c:v>1.3473999999999999</c:v>
                </c:pt>
                <c:pt idx="55">
                  <c:v>1.4180999999999999</c:v>
                </c:pt>
                <c:pt idx="56">
                  <c:v>1.4902</c:v>
                </c:pt>
                <c:pt idx="57">
                  <c:v>1.5743</c:v>
                </c:pt>
                <c:pt idx="58">
                  <c:v>1.6491</c:v>
                </c:pt>
                <c:pt idx="59">
                  <c:v>1.7277</c:v>
                </c:pt>
                <c:pt idx="60">
                  <c:v>1.8028999999999999</c:v>
                </c:pt>
                <c:pt idx="61">
                  <c:v>1.8824000000000001</c:v>
                </c:pt>
                <c:pt idx="62">
                  <c:v>1.9628000000000001</c:v>
                </c:pt>
                <c:pt idx="63">
                  <c:v>2.0470999999999999</c:v>
                </c:pt>
                <c:pt idx="64">
                  <c:v>2.1334</c:v>
                </c:pt>
                <c:pt idx="65">
                  <c:v>2.2210000000000001</c:v>
                </c:pt>
                <c:pt idx="66">
                  <c:v>2.298</c:v>
                </c:pt>
                <c:pt idx="67">
                  <c:v>2.3719999999999999</c:v>
                </c:pt>
                <c:pt idx="68">
                  <c:v>2.448</c:v>
                </c:pt>
                <c:pt idx="69">
                  <c:v>2.5213000000000001</c:v>
                </c:pt>
                <c:pt idx="70">
                  <c:v>2.5990000000000002</c:v>
                </c:pt>
                <c:pt idx="71">
                  <c:v>2.6797</c:v>
                </c:pt>
                <c:pt idx="72">
                  <c:v>2.7671999999999999</c:v>
                </c:pt>
                <c:pt idx="73">
                  <c:v>2.8567</c:v>
                </c:pt>
                <c:pt idx="74">
                  <c:v>2.9533</c:v>
                </c:pt>
                <c:pt idx="75">
                  <c:v>3.048</c:v>
                </c:pt>
                <c:pt idx="76">
                  <c:v>3.1442999999999999</c:v>
                </c:pt>
                <c:pt idx="77">
                  <c:v>3.2477999999999998</c:v>
                </c:pt>
                <c:pt idx="78">
                  <c:v>3.3504</c:v>
                </c:pt>
                <c:pt idx="79">
                  <c:v>3.4514999999999998</c:v>
                </c:pt>
                <c:pt idx="80">
                  <c:v>3.5472999999999999</c:v>
                </c:pt>
                <c:pt idx="81">
                  <c:v>3.6392000000000002</c:v>
                </c:pt>
                <c:pt idx="82">
                  <c:v>3.7296</c:v>
                </c:pt>
                <c:pt idx="83">
                  <c:v>3.8130000000000002</c:v>
                </c:pt>
                <c:pt idx="84">
                  <c:v>3.8923999999999999</c:v>
                </c:pt>
                <c:pt idx="85">
                  <c:v>3.9746999999999999</c:v>
                </c:pt>
                <c:pt idx="86">
                  <c:v>4.0578000000000003</c:v>
                </c:pt>
                <c:pt idx="87">
                  <c:v>4.1386000000000003</c:v>
                </c:pt>
                <c:pt idx="88">
                  <c:v>4.2167000000000003</c:v>
                </c:pt>
                <c:pt idx="89">
                  <c:v>4.29</c:v>
                </c:pt>
                <c:pt idx="90">
                  <c:v>4.3628999999999998</c:v>
                </c:pt>
                <c:pt idx="91">
                  <c:v>4.4283999999999999</c:v>
                </c:pt>
              </c:numCache>
            </c:numRef>
          </c:xVal>
          <c:yVal>
            <c:numRef>
              <c:f>'Sarami 03'!$A$4:$A$95</c:f>
              <c:numCache>
                <c:formatCode>0.0</c:formatCode>
                <c:ptCount val="92"/>
                <c:pt idx="0">
                  <c:v>196.5</c:v>
                </c:pt>
                <c:pt idx="1">
                  <c:v>197</c:v>
                </c:pt>
                <c:pt idx="2">
                  <c:v>197.5</c:v>
                </c:pt>
                <c:pt idx="3">
                  <c:v>198</c:v>
                </c:pt>
                <c:pt idx="4">
                  <c:v>198.5</c:v>
                </c:pt>
                <c:pt idx="5">
                  <c:v>199</c:v>
                </c:pt>
                <c:pt idx="6">
                  <c:v>199.5</c:v>
                </c:pt>
                <c:pt idx="7">
                  <c:v>200</c:v>
                </c:pt>
                <c:pt idx="8">
                  <c:v>200.5</c:v>
                </c:pt>
                <c:pt idx="9">
                  <c:v>201</c:v>
                </c:pt>
                <c:pt idx="10">
                  <c:v>201.5</c:v>
                </c:pt>
                <c:pt idx="11">
                  <c:v>202</c:v>
                </c:pt>
                <c:pt idx="12">
                  <c:v>202.5</c:v>
                </c:pt>
                <c:pt idx="13">
                  <c:v>203</c:v>
                </c:pt>
                <c:pt idx="14">
                  <c:v>203.5</c:v>
                </c:pt>
                <c:pt idx="15">
                  <c:v>204</c:v>
                </c:pt>
                <c:pt idx="16">
                  <c:v>204.5</c:v>
                </c:pt>
                <c:pt idx="17">
                  <c:v>205</c:v>
                </c:pt>
                <c:pt idx="18">
                  <c:v>205.5</c:v>
                </c:pt>
                <c:pt idx="19">
                  <c:v>206</c:v>
                </c:pt>
                <c:pt idx="20">
                  <c:v>206.5</c:v>
                </c:pt>
                <c:pt idx="21">
                  <c:v>207</c:v>
                </c:pt>
                <c:pt idx="22">
                  <c:v>207.5</c:v>
                </c:pt>
                <c:pt idx="23">
                  <c:v>208</c:v>
                </c:pt>
                <c:pt idx="24">
                  <c:v>208.5</c:v>
                </c:pt>
                <c:pt idx="25">
                  <c:v>209</c:v>
                </c:pt>
                <c:pt idx="26">
                  <c:v>209.5</c:v>
                </c:pt>
                <c:pt idx="27">
                  <c:v>210</c:v>
                </c:pt>
                <c:pt idx="28">
                  <c:v>210.5</c:v>
                </c:pt>
                <c:pt idx="29">
                  <c:v>211</c:v>
                </c:pt>
                <c:pt idx="30">
                  <c:v>211.5</c:v>
                </c:pt>
                <c:pt idx="31">
                  <c:v>212</c:v>
                </c:pt>
                <c:pt idx="32">
                  <c:v>212.5</c:v>
                </c:pt>
                <c:pt idx="33">
                  <c:v>213</c:v>
                </c:pt>
                <c:pt idx="34">
                  <c:v>213.5</c:v>
                </c:pt>
                <c:pt idx="35">
                  <c:v>214</c:v>
                </c:pt>
                <c:pt idx="36">
                  <c:v>214.5</c:v>
                </c:pt>
                <c:pt idx="37">
                  <c:v>215</c:v>
                </c:pt>
                <c:pt idx="38">
                  <c:v>215.5</c:v>
                </c:pt>
                <c:pt idx="39">
                  <c:v>216</c:v>
                </c:pt>
                <c:pt idx="40">
                  <c:v>216.5</c:v>
                </c:pt>
                <c:pt idx="41">
                  <c:v>217</c:v>
                </c:pt>
                <c:pt idx="42">
                  <c:v>217.5</c:v>
                </c:pt>
                <c:pt idx="43">
                  <c:v>218</c:v>
                </c:pt>
                <c:pt idx="44">
                  <c:v>218.5</c:v>
                </c:pt>
                <c:pt idx="45">
                  <c:v>219</c:v>
                </c:pt>
                <c:pt idx="46">
                  <c:v>219.5</c:v>
                </c:pt>
                <c:pt idx="47">
                  <c:v>220</c:v>
                </c:pt>
                <c:pt idx="48">
                  <c:v>220.5</c:v>
                </c:pt>
                <c:pt idx="49">
                  <c:v>221</c:v>
                </c:pt>
                <c:pt idx="50">
                  <c:v>221.5</c:v>
                </c:pt>
                <c:pt idx="51">
                  <c:v>222</c:v>
                </c:pt>
                <c:pt idx="52">
                  <c:v>222.5</c:v>
                </c:pt>
                <c:pt idx="53">
                  <c:v>223</c:v>
                </c:pt>
                <c:pt idx="54">
                  <c:v>223.5</c:v>
                </c:pt>
                <c:pt idx="55">
                  <c:v>224</c:v>
                </c:pt>
                <c:pt idx="56">
                  <c:v>224.5</c:v>
                </c:pt>
                <c:pt idx="57">
                  <c:v>225</c:v>
                </c:pt>
                <c:pt idx="58">
                  <c:v>225.5</c:v>
                </c:pt>
                <c:pt idx="59">
                  <c:v>226</c:v>
                </c:pt>
                <c:pt idx="60">
                  <c:v>226.5</c:v>
                </c:pt>
                <c:pt idx="61">
                  <c:v>227</c:v>
                </c:pt>
                <c:pt idx="62">
                  <c:v>227.5</c:v>
                </c:pt>
                <c:pt idx="63">
                  <c:v>228</c:v>
                </c:pt>
                <c:pt idx="64">
                  <c:v>228.5</c:v>
                </c:pt>
                <c:pt idx="65">
                  <c:v>229</c:v>
                </c:pt>
                <c:pt idx="66">
                  <c:v>229.5</c:v>
                </c:pt>
                <c:pt idx="67">
                  <c:v>230</c:v>
                </c:pt>
                <c:pt idx="68">
                  <c:v>230.5</c:v>
                </c:pt>
                <c:pt idx="69">
                  <c:v>231</c:v>
                </c:pt>
                <c:pt idx="70">
                  <c:v>231.5</c:v>
                </c:pt>
                <c:pt idx="71">
                  <c:v>232</c:v>
                </c:pt>
                <c:pt idx="72">
                  <c:v>232.5</c:v>
                </c:pt>
                <c:pt idx="73">
                  <c:v>233</c:v>
                </c:pt>
                <c:pt idx="74">
                  <c:v>233.5</c:v>
                </c:pt>
                <c:pt idx="75">
                  <c:v>234</c:v>
                </c:pt>
                <c:pt idx="76">
                  <c:v>234.5</c:v>
                </c:pt>
                <c:pt idx="77">
                  <c:v>235</c:v>
                </c:pt>
                <c:pt idx="78">
                  <c:v>235.5</c:v>
                </c:pt>
                <c:pt idx="79">
                  <c:v>236</c:v>
                </c:pt>
                <c:pt idx="80">
                  <c:v>236.5</c:v>
                </c:pt>
                <c:pt idx="81">
                  <c:v>237</c:v>
                </c:pt>
                <c:pt idx="82">
                  <c:v>237.5</c:v>
                </c:pt>
                <c:pt idx="83">
                  <c:v>238</c:v>
                </c:pt>
                <c:pt idx="84">
                  <c:v>238.5</c:v>
                </c:pt>
                <c:pt idx="85">
                  <c:v>239</c:v>
                </c:pt>
                <c:pt idx="86">
                  <c:v>239.5</c:v>
                </c:pt>
                <c:pt idx="87">
                  <c:v>240</c:v>
                </c:pt>
                <c:pt idx="88">
                  <c:v>240.5</c:v>
                </c:pt>
                <c:pt idx="89">
                  <c:v>241</c:v>
                </c:pt>
                <c:pt idx="90">
                  <c:v>241.5</c:v>
                </c:pt>
                <c:pt idx="91">
                  <c:v>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4E-4C15-8B11-0380197A7E67}"/>
            </c:ext>
          </c:extLst>
        </c:ser>
        <c:ser>
          <c:idx val="1"/>
          <c:order val="1"/>
          <c:tx>
            <c:strRef>
              <c:f>'Sarami 03'!$M$7</c:f>
              <c:strCache>
                <c:ptCount val="1"/>
                <c:pt idx="0">
                  <c:v>FSL 237.0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'Sarami 03'!$P$5:$P$6</c:f>
              <c:numCache>
                <c:formatCode>General</c:formatCode>
                <c:ptCount val="2"/>
                <c:pt idx="0">
                  <c:v>0</c:v>
                </c:pt>
                <c:pt idx="1">
                  <c:v>4.5169680000000003</c:v>
                </c:pt>
              </c:numCache>
            </c:numRef>
          </c:xVal>
          <c:yVal>
            <c:numRef>
              <c:f>'Sarami 03'!$N$5:$N$6</c:f>
              <c:numCache>
                <c:formatCode>General</c:formatCode>
                <c:ptCount val="2"/>
                <c:pt idx="0">
                  <c:v>237</c:v>
                </c:pt>
                <c:pt idx="1">
                  <c:v>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4E-4C15-8B11-0380197A7E67}"/>
            </c:ext>
          </c:extLst>
        </c:ser>
        <c:ser>
          <c:idx val="2"/>
          <c:order val="2"/>
          <c:tx>
            <c:strRef>
              <c:f>'Sarami 03'!$M$8</c:f>
              <c:strCache>
                <c:ptCount val="1"/>
                <c:pt idx="0">
                  <c:v>Crest 242.0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'Sarami 03'!$P$5:$P$6</c:f>
              <c:numCache>
                <c:formatCode>General</c:formatCode>
                <c:ptCount val="2"/>
                <c:pt idx="0">
                  <c:v>0</c:v>
                </c:pt>
                <c:pt idx="1">
                  <c:v>4.5169680000000003</c:v>
                </c:pt>
              </c:numCache>
            </c:numRef>
          </c:xVal>
          <c:yVal>
            <c:numRef>
              <c:f>'Sarami 03'!$O$5:$O$6</c:f>
              <c:numCache>
                <c:formatCode>General</c:formatCode>
                <c:ptCount val="2"/>
                <c:pt idx="0">
                  <c:v>242</c:v>
                </c:pt>
                <c:pt idx="1">
                  <c:v>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4E-4C15-8B11-0380197A7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Area (km²)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43"/>
          <c:min val="195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Sarami 05 - elevation vs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'Sarami 05'!$M$9</c:f>
              <c:strCache>
                <c:ptCount val="1"/>
                <c:pt idx="0">
                  <c:v>Elevation-volume curve</c:v>
                </c:pt>
              </c:strCache>
            </c:strRef>
          </c:tx>
          <c:spPr>
            <a:ln w="22225" cap="rnd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'Sarami 05'!$E$4:$E$56</c:f>
              <c:numCache>
                <c:formatCode>0.000</c:formatCode>
                <c:ptCount val="53"/>
                <c:pt idx="0">
                  <c:v>0</c:v>
                </c:pt>
                <c:pt idx="1">
                  <c:v>9.248562791031573E-4</c:v>
                </c:pt>
                <c:pt idx="2">
                  <c:v>3.9217260299282131E-3</c:v>
                </c:pt>
                <c:pt idx="3">
                  <c:v>1.0265755275207143E-2</c:v>
                </c:pt>
                <c:pt idx="4">
                  <c:v>2.3238119753135909E-2</c:v>
                </c:pt>
                <c:pt idx="5">
                  <c:v>4.7085174870544894E-2</c:v>
                </c:pt>
                <c:pt idx="6">
                  <c:v>8.2518899378002664E-2</c:v>
                </c:pt>
                <c:pt idx="7">
                  <c:v>0.12908050408634211</c:v>
                </c:pt>
                <c:pt idx="8">
                  <c:v>0.18676883676767161</c:v>
                </c:pt>
                <c:pt idx="9">
                  <c:v>0.25546974241468895</c:v>
                </c:pt>
                <c:pt idx="10">
                  <c:v>0.33564611564811198</c:v>
                </c:pt>
                <c:pt idx="11">
                  <c:v>0.4277075389806605</c:v>
                </c:pt>
                <c:pt idx="12">
                  <c:v>0.53336397114068235</c:v>
                </c:pt>
                <c:pt idx="13">
                  <c:v>0.65611830424410811</c:v>
                </c:pt>
                <c:pt idx="14">
                  <c:v>0.7982521661157147</c:v>
                </c:pt>
                <c:pt idx="15">
                  <c:v>0.96059426904379186</c:v>
                </c:pt>
                <c:pt idx="16">
                  <c:v>1.1441353578405504</c:v>
                </c:pt>
                <c:pt idx="17">
                  <c:v>1.3496863297515143</c:v>
                </c:pt>
                <c:pt idx="18">
                  <c:v>1.5771254439423725</c:v>
                </c:pt>
                <c:pt idx="19">
                  <c:v>1.827920753400998</c:v>
                </c:pt>
                <c:pt idx="20">
                  <c:v>2.1046133796883129</c:v>
                </c:pt>
                <c:pt idx="21">
                  <c:v>2.4077936656709436</c:v>
                </c:pt>
                <c:pt idx="22">
                  <c:v>2.7368613204754495</c:v>
                </c:pt>
                <c:pt idx="23">
                  <c:v>3.0903225922258639</c:v>
                </c:pt>
                <c:pt idx="24">
                  <c:v>3.4667408002064728</c:v>
                </c:pt>
                <c:pt idx="25">
                  <c:v>3.8655397676800973</c:v>
                </c:pt>
                <c:pt idx="26">
                  <c:v>4.2857720745905334</c:v>
                </c:pt>
                <c:pt idx="27">
                  <c:v>4.7274259944417061</c:v>
                </c:pt>
                <c:pt idx="28">
                  <c:v>5.1906363239384721</c:v>
                </c:pt>
                <c:pt idx="29">
                  <c:v>5.6762873142213728</c:v>
                </c:pt>
                <c:pt idx="30">
                  <c:v>6.186163059442304</c:v>
                </c:pt>
                <c:pt idx="31">
                  <c:v>6.7222525554021875</c:v>
                </c:pt>
                <c:pt idx="32">
                  <c:v>7.287112703585036</c:v>
                </c:pt>
                <c:pt idx="33">
                  <c:v>7.881477312324872</c:v>
                </c:pt>
                <c:pt idx="34">
                  <c:v>8.5049218759017844</c:v>
                </c:pt>
                <c:pt idx="35">
                  <c:v>9.1568958709458013</c:v>
                </c:pt>
                <c:pt idx="36">
                  <c:v>9.8379659917066551</c:v>
                </c:pt>
                <c:pt idx="37">
                  <c:v>10.548069658344918</c:v>
                </c:pt>
                <c:pt idx="38">
                  <c:v>11.287814826620428</c:v>
                </c:pt>
                <c:pt idx="39">
                  <c:v>12.056774736792784</c:v>
                </c:pt>
                <c:pt idx="40">
                  <c:v>12.8527371378139</c:v>
                </c:pt>
                <c:pt idx="41">
                  <c:v>13.675053147238469</c:v>
                </c:pt>
                <c:pt idx="42">
                  <c:v>14.523170697794248</c:v>
                </c:pt>
                <c:pt idx="43">
                  <c:v>15.396292518281991</c:v>
                </c:pt>
                <c:pt idx="44">
                  <c:v>16.293391539609559</c:v>
                </c:pt>
                <c:pt idx="45">
                  <c:v>17.214464827178411</c:v>
                </c:pt>
                <c:pt idx="46">
                  <c:v>18.159390682118381</c:v>
                </c:pt>
                <c:pt idx="47">
                  <c:v>19.128762731920506</c:v>
                </c:pt>
                <c:pt idx="48">
                  <c:v>20.122340740030278</c:v>
                </c:pt>
                <c:pt idx="49">
                  <c:v>21.140089222716611</c:v>
                </c:pt>
                <c:pt idx="50">
                  <c:v>22.182441674817074</c:v>
                </c:pt>
                <c:pt idx="51">
                  <c:v>23.249515883968588</c:v>
                </c:pt>
                <c:pt idx="52">
                  <c:v>24.341194805757446</c:v>
                </c:pt>
              </c:numCache>
            </c:numRef>
          </c:xVal>
          <c:yVal>
            <c:numRef>
              <c:f>'Sarami 05'!$A$4:$A$56</c:f>
              <c:numCache>
                <c:formatCode>0.0</c:formatCode>
                <c:ptCount val="53"/>
                <c:pt idx="0">
                  <c:v>163</c:v>
                </c:pt>
                <c:pt idx="1">
                  <c:v>163.5</c:v>
                </c:pt>
                <c:pt idx="2">
                  <c:v>164</c:v>
                </c:pt>
                <c:pt idx="3">
                  <c:v>164.5</c:v>
                </c:pt>
                <c:pt idx="4">
                  <c:v>165</c:v>
                </c:pt>
                <c:pt idx="5">
                  <c:v>165.5</c:v>
                </c:pt>
                <c:pt idx="6">
                  <c:v>166</c:v>
                </c:pt>
                <c:pt idx="7">
                  <c:v>166.5</c:v>
                </c:pt>
                <c:pt idx="8">
                  <c:v>167</c:v>
                </c:pt>
                <c:pt idx="9">
                  <c:v>167.5</c:v>
                </c:pt>
                <c:pt idx="10">
                  <c:v>168</c:v>
                </c:pt>
                <c:pt idx="11">
                  <c:v>168.5</c:v>
                </c:pt>
                <c:pt idx="12">
                  <c:v>169</c:v>
                </c:pt>
                <c:pt idx="13">
                  <c:v>169.5</c:v>
                </c:pt>
                <c:pt idx="14">
                  <c:v>170</c:v>
                </c:pt>
                <c:pt idx="15">
                  <c:v>170.5</c:v>
                </c:pt>
                <c:pt idx="16">
                  <c:v>171</c:v>
                </c:pt>
                <c:pt idx="17">
                  <c:v>171.5</c:v>
                </c:pt>
                <c:pt idx="18">
                  <c:v>172</c:v>
                </c:pt>
                <c:pt idx="19">
                  <c:v>172.5</c:v>
                </c:pt>
                <c:pt idx="20">
                  <c:v>173</c:v>
                </c:pt>
                <c:pt idx="21">
                  <c:v>173.5</c:v>
                </c:pt>
                <c:pt idx="22">
                  <c:v>174</c:v>
                </c:pt>
                <c:pt idx="23">
                  <c:v>174.5</c:v>
                </c:pt>
                <c:pt idx="24">
                  <c:v>175</c:v>
                </c:pt>
                <c:pt idx="25">
                  <c:v>175.5</c:v>
                </c:pt>
                <c:pt idx="26">
                  <c:v>176</c:v>
                </c:pt>
                <c:pt idx="27">
                  <c:v>176.5</c:v>
                </c:pt>
                <c:pt idx="28">
                  <c:v>177</c:v>
                </c:pt>
                <c:pt idx="29">
                  <c:v>177.5</c:v>
                </c:pt>
                <c:pt idx="30">
                  <c:v>178</c:v>
                </c:pt>
                <c:pt idx="31">
                  <c:v>178.5</c:v>
                </c:pt>
                <c:pt idx="32">
                  <c:v>179</c:v>
                </c:pt>
                <c:pt idx="33">
                  <c:v>179.5</c:v>
                </c:pt>
                <c:pt idx="34">
                  <c:v>180</c:v>
                </c:pt>
                <c:pt idx="35">
                  <c:v>180.5</c:v>
                </c:pt>
                <c:pt idx="36">
                  <c:v>181</c:v>
                </c:pt>
                <c:pt idx="37">
                  <c:v>181.5</c:v>
                </c:pt>
                <c:pt idx="38">
                  <c:v>182</c:v>
                </c:pt>
                <c:pt idx="39">
                  <c:v>182.5</c:v>
                </c:pt>
                <c:pt idx="40">
                  <c:v>183</c:v>
                </c:pt>
                <c:pt idx="41">
                  <c:v>183.5</c:v>
                </c:pt>
                <c:pt idx="42">
                  <c:v>184</c:v>
                </c:pt>
                <c:pt idx="43">
                  <c:v>184.5</c:v>
                </c:pt>
                <c:pt idx="44">
                  <c:v>185</c:v>
                </c:pt>
                <c:pt idx="45">
                  <c:v>185.5</c:v>
                </c:pt>
                <c:pt idx="46">
                  <c:v>186</c:v>
                </c:pt>
                <c:pt idx="47">
                  <c:v>186.5</c:v>
                </c:pt>
                <c:pt idx="48">
                  <c:v>187</c:v>
                </c:pt>
                <c:pt idx="49">
                  <c:v>187.5</c:v>
                </c:pt>
                <c:pt idx="50">
                  <c:v>188</c:v>
                </c:pt>
                <c:pt idx="51">
                  <c:v>188.5</c:v>
                </c:pt>
                <c:pt idx="52">
                  <c:v>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0-43DD-ABBA-A4C8C614C351}"/>
            </c:ext>
          </c:extLst>
        </c:ser>
        <c:ser>
          <c:idx val="1"/>
          <c:order val="1"/>
          <c:tx>
            <c:strRef>
              <c:f>'Sarami 05'!$M$7</c:f>
              <c:strCache>
                <c:ptCount val="1"/>
                <c:pt idx="0">
                  <c:v>FSL 184.0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'Sarami 05'!$M$5:$M$6</c:f>
              <c:numCache>
                <c:formatCode>General</c:formatCode>
                <c:ptCount val="2"/>
                <c:pt idx="0">
                  <c:v>0</c:v>
                </c:pt>
                <c:pt idx="1">
                  <c:v>24.828018701872594</c:v>
                </c:pt>
              </c:numCache>
            </c:numRef>
          </c:xVal>
          <c:yVal>
            <c:numRef>
              <c:f>'Sarami 05'!$N$5:$N$6</c:f>
              <c:numCache>
                <c:formatCode>General</c:formatCode>
                <c:ptCount val="2"/>
                <c:pt idx="0">
                  <c:v>184</c:v>
                </c:pt>
                <c:pt idx="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00-43DD-ABBA-A4C8C614C351}"/>
            </c:ext>
          </c:extLst>
        </c:ser>
        <c:ser>
          <c:idx val="2"/>
          <c:order val="2"/>
          <c:tx>
            <c:strRef>
              <c:f>'Sarami 05'!$M$8</c:f>
              <c:strCache>
                <c:ptCount val="1"/>
                <c:pt idx="0">
                  <c:v>Crest 189.0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'Sarami 05'!$M$5:$M$6</c:f>
              <c:numCache>
                <c:formatCode>General</c:formatCode>
                <c:ptCount val="2"/>
                <c:pt idx="0">
                  <c:v>0</c:v>
                </c:pt>
                <c:pt idx="1">
                  <c:v>24.828018701872594</c:v>
                </c:pt>
              </c:numCache>
            </c:numRef>
          </c:xVal>
          <c:yVal>
            <c:numRef>
              <c:f>'Sarami 05'!$O$5:$O$6</c:f>
              <c:numCache>
                <c:formatCode>General</c:formatCode>
                <c:ptCount val="2"/>
                <c:pt idx="0">
                  <c:v>189</c:v>
                </c:pt>
                <c:pt idx="1">
                  <c:v>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00-43DD-ABBA-A4C8C614C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Volume (Mm³)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90"/>
          <c:min val="16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Sarami 05 - elevation vs area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'Sarami 05'!$M$10</c:f>
              <c:strCache>
                <c:ptCount val="1"/>
                <c:pt idx="0">
                  <c:v>Elevation-area curve</c:v>
                </c:pt>
              </c:strCache>
            </c:strRef>
          </c:tx>
          <c:spPr>
            <a:ln w="22225" cap="rnd">
              <a:solidFill>
                <a:srgbClr val="2E75B6"/>
              </a:solidFill>
              <a:prstDash val="solid"/>
            </a:ln>
          </c:spPr>
          <c:marker>
            <c:symbol val="none"/>
          </c:marker>
          <c:xVal>
            <c:numRef>
              <c:f>'Sarami 05'!$B$4:$B$56</c:f>
              <c:numCache>
                <c:formatCode>0.0000</c:formatCode>
                <c:ptCount val="53"/>
                <c:pt idx="0">
                  <c:v>5.9999999999999995E-4</c:v>
                </c:pt>
                <c:pt idx="1">
                  <c:v>3.5000000000000001E-3</c:v>
                </c:pt>
                <c:pt idx="2">
                  <c:v>8.8999999999999999E-3</c:v>
                </c:pt>
                <c:pt idx="3">
                  <c:v>1.6899999999999998E-2</c:v>
                </c:pt>
                <c:pt idx="4">
                  <c:v>3.6200000000000003E-2</c:v>
                </c:pt>
                <c:pt idx="5">
                  <c:v>6.0199999999999997E-2</c:v>
                </c:pt>
                <c:pt idx="6">
                  <c:v>8.2100000000000006E-2</c:v>
                </c:pt>
                <c:pt idx="7">
                  <c:v>0.1046</c:v>
                </c:pt>
                <c:pt idx="8">
                  <c:v>0.1265</c:v>
                </c:pt>
                <c:pt idx="9">
                  <c:v>0.14860000000000001</c:v>
                </c:pt>
                <c:pt idx="10">
                  <c:v>0.1724</c:v>
                </c:pt>
                <c:pt idx="11">
                  <c:v>0.1961</c:v>
                </c:pt>
                <c:pt idx="12">
                  <c:v>0.22689999999999999</c:v>
                </c:pt>
                <c:pt idx="13">
                  <c:v>0.2646</c:v>
                </c:pt>
                <c:pt idx="14">
                  <c:v>0.3044</c:v>
                </c:pt>
                <c:pt idx="15">
                  <c:v>0.34539999999999998</c:v>
                </c:pt>
                <c:pt idx="16">
                  <c:v>0.38919999999999999</c:v>
                </c:pt>
                <c:pt idx="17">
                  <c:v>0.43340000000000001</c:v>
                </c:pt>
                <c:pt idx="18">
                  <c:v>0.47670000000000001</c:v>
                </c:pt>
                <c:pt idx="19">
                  <c:v>0.52690000000000003</c:v>
                </c:pt>
                <c:pt idx="20">
                  <c:v>0.58030000000000004</c:v>
                </c:pt>
                <c:pt idx="21">
                  <c:v>0.63280000000000003</c:v>
                </c:pt>
                <c:pt idx="22">
                  <c:v>0.68379999999999996</c:v>
                </c:pt>
                <c:pt idx="23">
                  <c:v>0.73029999999999995</c:v>
                </c:pt>
                <c:pt idx="24">
                  <c:v>0.77559999999999996</c:v>
                </c:pt>
                <c:pt idx="25">
                  <c:v>0.81979999999999997</c:v>
                </c:pt>
                <c:pt idx="26">
                  <c:v>0.86129999999999995</c:v>
                </c:pt>
                <c:pt idx="27">
                  <c:v>0.90549999999999997</c:v>
                </c:pt>
                <c:pt idx="28">
                  <c:v>0.94750000000000001</c:v>
                </c:pt>
                <c:pt idx="29">
                  <c:v>0.99529999999999996</c:v>
                </c:pt>
                <c:pt idx="30">
                  <c:v>1.0444</c:v>
                </c:pt>
                <c:pt idx="31">
                  <c:v>1.1002000000000001</c:v>
                </c:pt>
                <c:pt idx="32">
                  <c:v>1.1595</c:v>
                </c:pt>
                <c:pt idx="33">
                  <c:v>1.2181999999999999</c:v>
                </c:pt>
                <c:pt idx="34">
                  <c:v>1.2758</c:v>
                </c:pt>
                <c:pt idx="35">
                  <c:v>1.3323</c:v>
                </c:pt>
                <c:pt idx="36">
                  <c:v>1.3922000000000001</c:v>
                </c:pt>
                <c:pt idx="37">
                  <c:v>1.4483999999999999</c:v>
                </c:pt>
                <c:pt idx="38">
                  <c:v>1.5107999999999999</c:v>
                </c:pt>
                <c:pt idx="39">
                  <c:v>1.5651999999999999</c:v>
                </c:pt>
                <c:pt idx="40">
                  <c:v>1.6188</c:v>
                </c:pt>
                <c:pt idx="41">
                  <c:v>1.6706000000000001</c:v>
                </c:pt>
                <c:pt idx="42">
                  <c:v>1.722</c:v>
                </c:pt>
                <c:pt idx="43">
                  <c:v>1.7706</c:v>
                </c:pt>
                <c:pt idx="44">
                  <c:v>1.8179000000000001</c:v>
                </c:pt>
                <c:pt idx="45">
                  <c:v>1.8665</c:v>
                </c:pt>
                <c:pt idx="46">
                  <c:v>1.9133</c:v>
                </c:pt>
                <c:pt idx="47">
                  <c:v>1.9642999999999999</c:v>
                </c:pt>
                <c:pt idx="48">
                  <c:v>2.0101</c:v>
                </c:pt>
                <c:pt idx="49">
                  <c:v>2.0609999999999999</c:v>
                </c:pt>
                <c:pt idx="50">
                  <c:v>2.1084999999999998</c:v>
                </c:pt>
                <c:pt idx="51">
                  <c:v>2.1598999999999999</c:v>
                </c:pt>
                <c:pt idx="52">
                  <c:v>2.2069000000000001</c:v>
                </c:pt>
              </c:numCache>
            </c:numRef>
          </c:xVal>
          <c:yVal>
            <c:numRef>
              <c:f>'Sarami 05'!$A$4:$A$56</c:f>
              <c:numCache>
                <c:formatCode>0.0</c:formatCode>
                <c:ptCount val="53"/>
                <c:pt idx="0">
                  <c:v>163</c:v>
                </c:pt>
                <c:pt idx="1">
                  <c:v>163.5</c:v>
                </c:pt>
                <c:pt idx="2">
                  <c:v>164</c:v>
                </c:pt>
                <c:pt idx="3">
                  <c:v>164.5</c:v>
                </c:pt>
                <c:pt idx="4">
                  <c:v>165</c:v>
                </c:pt>
                <c:pt idx="5">
                  <c:v>165.5</c:v>
                </c:pt>
                <c:pt idx="6">
                  <c:v>166</c:v>
                </c:pt>
                <c:pt idx="7">
                  <c:v>166.5</c:v>
                </c:pt>
                <c:pt idx="8">
                  <c:v>167</c:v>
                </c:pt>
                <c:pt idx="9">
                  <c:v>167.5</c:v>
                </c:pt>
                <c:pt idx="10">
                  <c:v>168</c:v>
                </c:pt>
                <c:pt idx="11">
                  <c:v>168.5</c:v>
                </c:pt>
                <c:pt idx="12">
                  <c:v>169</c:v>
                </c:pt>
                <c:pt idx="13">
                  <c:v>169.5</c:v>
                </c:pt>
                <c:pt idx="14">
                  <c:v>170</c:v>
                </c:pt>
                <c:pt idx="15">
                  <c:v>170.5</c:v>
                </c:pt>
                <c:pt idx="16">
                  <c:v>171</c:v>
                </c:pt>
                <c:pt idx="17">
                  <c:v>171.5</c:v>
                </c:pt>
                <c:pt idx="18">
                  <c:v>172</c:v>
                </c:pt>
                <c:pt idx="19">
                  <c:v>172.5</c:v>
                </c:pt>
                <c:pt idx="20">
                  <c:v>173</c:v>
                </c:pt>
                <c:pt idx="21">
                  <c:v>173.5</c:v>
                </c:pt>
                <c:pt idx="22">
                  <c:v>174</c:v>
                </c:pt>
                <c:pt idx="23">
                  <c:v>174.5</c:v>
                </c:pt>
                <c:pt idx="24">
                  <c:v>175</c:v>
                </c:pt>
                <c:pt idx="25">
                  <c:v>175.5</c:v>
                </c:pt>
                <c:pt idx="26">
                  <c:v>176</c:v>
                </c:pt>
                <c:pt idx="27">
                  <c:v>176.5</c:v>
                </c:pt>
                <c:pt idx="28">
                  <c:v>177</c:v>
                </c:pt>
                <c:pt idx="29">
                  <c:v>177.5</c:v>
                </c:pt>
                <c:pt idx="30">
                  <c:v>178</c:v>
                </c:pt>
                <c:pt idx="31">
                  <c:v>178.5</c:v>
                </c:pt>
                <c:pt idx="32">
                  <c:v>179</c:v>
                </c:pt>
                <c:pt idx="33">
                  <c:v>179.5</c:v>
                </c:pt>
                <c:pt idx="34">
                  <c:v>180</c:v>
                </c:pt>
                <c:pt idx="35">
                  <c:v>180.5</c:v>
                </c:pt>
                <c:pt idx="36">
                  <c:v>181</c:v>
                </c:pt>
                <c:pt idx="37">
                  <c:v>181.5</c:v>
                </c:pt>
                <c:pt idx="38">
                  <c:v>182</c:v>
                </c:pt>
                <c:pt idx="39">
                  <c:v>182.5</c:v>
                </c:pt>
                <c:pt idx="40">
                  <c:v>183</c:v>
                </c:pt>
                <c:pt idx="41">
                  <c:v>183.5</c:v>
                </c:pt>
                <c:pt idx="42">
                  <c:v>184</c:v>
                </c:pt>
                <c:pt idx="43">
                  <c:v>184.5</c:v>
                </c:pt>
                <c:pt idx="44">
                  <c:v>185</c:v>
                </c:pt>
                <c:pt idx="45">
                  <c:v>185.5</c:v>
                </c:pt>
                <c:pt idx="46">
                  <c:v>186</c:v>
                </c:pt>
                <c:pt idx="47">
                  <c:v>186.5</c:v>
                </c:pt>
                <c:pt idx="48">
                  <c:v>187</c:v>
                </c:pt>
                <c:pt idx="49">
                  <c:v>187.5</c:v>
                </c:pt>
                <c:pt idx="50">
                  <c:v>188</c:v>
                </c:pt>
                <c:pt idx="51">
                  <c:v>188.5</c:v>
                </c:pt>
                <c:pt idx="52">
                  <c:v>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5-486D-9A25-98244335DBC8}"/>
            </c:ext>
          </c:extLst>
        </c:ser>
        <c:ser>
          <c:idx val="1"/>
          <c:order val="1"/>
          <c:tx>
            <c:strRef>
              <c:f>'Sarami 05'!$M$7</c:f>
              <c:strCache>
                <c:ptCount val="1"/>
                <c:pt idx="0">
                  <c:v>FSL 184.0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'Sarami 05'!$P$5:$P$6</c:f>
              <c:numCache>
                <c:formatCode>General</c:formatCode>
                <c:ptCount val="2"/>
                <c:pt idx="0">
                  <c:v>0</c:v>
                </c:pt>
                <c:pt idx="1">
                  <c:v>2.2510380000000003</c:v>
                </c:pt>
              </c:numCache>
            </c:numRef>
          </c:xVal>
          <c:yVal>
            <c:numRef>
              <c:f>'Sarami 05'!$N$5:$N$6</c:f>
              <c:numCache>
                <c:formatCode>General</c:formatCode>
                <c:ptCount val="2"/>
                <c:pt idx="0">
                  <c:v>184</c:v>
                </c:pt>
                <c:pt idx="1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85-486D-9A25-98244335DBC8}"/>
            </c:ext>
          </c:extLst>
        </c:ser>
        <c:ser>
          <c:idx val="2"/>
          <c:order val="2"/>
          <c:tx>
            <c:strRef>
              <c:f>'Sarami 05'!$M$8</c:f>
              <c:strCache>
                <c:ptCount val="1"/>
                <c:pt idx="0">
                  <c:v>Crest 189.0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'Sarami 05'!$P$5:$P$6</c:f>
              <c:numCache>
                <c:formatCode>General</c:formatCode>
                <c:ptCount val="2"/>
                <c:pt idx="0">
                  <c:v>0</c:v>
                </c:pt>
                <c:pt idx="1">
                  <c:v>2.2510380000000003</c:v>
                </c:pt>
              </c:numCache>
            </c:numRef>
          </c:xVal>
          <c:yVal>
            <c:numRef>
              <c:f>'Sarami 05'!$O$5:$O$6</c:f>
              <c:numCache>
                <c:formatCode>General</c:formatCode>
                <c:ptCount val="2"/>
                <c:pt idx="0">
                  <c:v>189</c:v>
                </c:pt>
                <c:pt idx="1">
                  <c:v>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85-486D-9A25-98244335D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Area (km²)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90"/>
          <c:min val="16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Sakhin 04 - elevation vs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'Sakhin 04'!$M$9</c:f>
              <c:strCache>
                <c:ptCount val="1"/>
                <c:pt idx="0">
                  <c:v>Elevation-volume curve</c:v>
                </c:pt>
              </c:strCache>
            </c:strRef>
          </c:tx>
          <c:spPr>
            <a:ln w="22225" cap="rnd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'Sakhin 04'!$E$4:$E$54</c:f>
              <c:numCache>
                <c:formatCode>0.000</c:formatCode>
                <c:ptCount val="51"/>
                <c:pt idx="0">
                  <c:v>0</c:v>
                </c:pt>
                <c:pt idx="1">
                  <c:v>5.7437386911571844E-3</c:v>
                </c:pt>
                <c:pt idx="2">
                  <c:v>1.9739773128970531E-2</c:v>
                </c:pt>
                <c:pt idx="3">
                  <c:v>4.5953607294285798E-2</c:v>
                </c:pt>
                <c:pt idx="4">
                  <c:v>8.7452681336953386E-2</c:v>
                </c:pt>
                <c:pt idx="5">
                  <c:v>0.14648693266748436</c:v>
                </c:pt>
                <c:pt idx="6">
                  <c:v>0.22642478672349697</c:v>
                </c:pt>
                <c:pt idx="7">
                  <c:v>0.32808979654966686</c:v>
                </c:pt>
                <c:pt idx="8">
                  <c:v>0.45026069292360499</c:v>
                </c:pt>
                <c:pt idx="9">
                  <c:v>0.5964785769961487</c:v>
                </c:pt>
                <c:pt idx="10">
                  <c:v>0.76711355349820265</c:v>
                </c:pt>
                <c:pt idx="11">
                  <c:v>0.95928969892789562</c:v>
                </c:pt>
                <c:pt idx="12">
                  <c:v>1.1739806598949998</c:v>
                </c:pt>
                <c:pt idx="13">
                  <c:v>1.4125792109863771</c:v>
                </c:pt>
                <c:pt idx="14">
                  <c:v>1.6769845755147363</c:v>
                </c:pt>
                <c:pt idx="15">
                  <c:v>1.9686311772166087</c:v>
                </c:pt>
                <c:pt idx="16">
                  <c:v>2.2893046684675582</c:v>
                </c:pt>
                <c:pt idx="17">
                  <c:v>2.6410661852083273</c:v>
                </c:pt>
                <c:pt idx="18">
                  <c:v>3.0224045919022577</c:v>
                </c:pt>
                <c:pt idx="19">
                  <c:v>3.4340476639920365</c:v>
                </c:pt>
                <c:pt idx="20">
                  <c:v>3.8811348617932873</c:v>
                </c:pt>
                <c:pt idx="21">
                  <c:v>4.3682614586545991</c:v>
                </c:pt>
                <c:pt idx="22">
                  <c:v>4.8980365843687048</c:v>
                </c:pt>
                <c:pt idx="23">
                  <c:v>5.4733731604282303</c:v>
                </c:pt>
                <c:pt idx="24">
                  <c:v>6.0976042571464486</c:v>
                </c:pt>
                <c:pt idx="25">
                  <c:v>6.7698253586229953</c:v>
                </c:pt>
                <c:pt idx="26">
                  <c:v>7.4875804317399224</c:v>
                </c:pt>
                <c:pt idx="27">
                  <c:v>8.2512382060513456</c:v>
                </c:pt>
                <c:pt idx="28">
                  <c:v>9.0628371486552233</c:v>
                </c:pt>
                <c:pt idx="29">
                  <c:v>9.9241914483559182</c:v>
                </c:pt>
                <c:pt idx="30">
                  <c:v>10.831659676887099</c:v>
                </c:pt>
                <c:pt idx="31">
                  <c:v>11.782448086798043</c:v>
                </c:pt>
                <c:pt idx="32">
                  <c:v>12.781831848411807</c:v>
                </c:pt>
                <c:pt idx="33">
                  <c:v>13.833054354706302</c:v>
                </c:pt>
                <c:pt idx="34">
                  <c:v>14.934163866119055</c:v>
                </c:pt>
                <c:pt idx="35">
                  <c:v>16.085021164822766</c:v>
                </c:pt>
                <c:pt idx="36">
                  <c:v>17.285464348413235</c:v>
                </c:pt>
                <c:pt idx="37">
                  <c:v>18.534982308750603</c:v>
                </c:pt>
                <c:pt idx="38">
                  <c:v>19.835469501432542</c:v>
                </c:pt>
                <c:pt idx="39">
                  <c:v>21.190843034138112</c:v>
                </c:pt>
                <c:pt idx="40">
                  <c:v>22.605756105211324</c:v>
                </c:pt>
                <c:pt idx="41">
                  <c:v>24.083838095939271</c:v>
                </c:pt>
                <c:pt idx="42">
                  <c:v>25.623421264706295</c:v>
                </c:pt>
                <c:pt idx="43">
                  <c:v>27.222301348514488</c:v>
                </c:pt>
                <c:pt idx="44">
                  <c:v>28.879596231020024</c:v>
                </c:pt>
                <c:pt idx="45">
                  <c:v>30.59247344526252</c:v>
                </c:pt>
                <c:pt idx="46">
                  <c:v>32.35977931273181</c:v>
                </c:pt>
                <c:pt idx="47">
                  <c:v>34.184768658109817</c:v>
                </c:pt>
                <c:pt idx="48">
                  <c:v>36.074863700156023</c:v>
                </c:pt>
                <c:pt idx="49">
                  <c:v>38.033291329604694</c:v>
                </c:pt>
                <c:pt idx="50">
                  <c:v>40.060515758519159</c:v>
                </c:pt>
              </c:numCache>
            </c:numRef>
          </c:xVal>
          <c:yVal>
            <c:numRef>
              <c:f>'Sakhin 04'!$A$4:$A$54</c:f>
              <c:numCache>
                <c:formatCode>0.0</c:formatCode>
                <c:ptCount val="51"/>
                <c:pt idx="0">
                  <c:v>102</c:v>
                </c:pt>
                <c:pt idx="1">
                  <c:v>102.5</c:v>
                </c:pt>
                <c:pt idx="2">
                  <c:v>103</c:v>
                </c:pt>
                <c:pt idx="3">
                  <c:v>103.5</c:v>
                </c:pt>
                <c:pt idx="4">
                  <c:v>104</c:v>
                </c:pt>
                <c:pt idx="5">
                  <c:v>104.5</c:v>
                </c:pt>
                <c:pt idx="6">
                  <c:v>105</c:v>
                </c:pt>
                <c:pt idx="7">
                  <c:v>105.5</c:v>
                </c:pt>
                <c:pt idx="8">
                  <c:v>106</c:v>
                </c:pt>
                <c:pt idx="9">
                  <c:v>106.5</c:v>
                </c:pt>
                <c:pt idx="10">
                  <c:v>107</c:v>
                </c:pt>
                <c:pt idx="11">
                  <c:v>107.5</c:v>
                </c:pt>
                <c:pt idx="12">
                  <c:v>108</c:v>
                </c:pt>
                <c:pt idx="13">
                  <c:v>108.5</c:v>
                </c:pt>
                <c:pt idx="14">
                  <c:v>109</c:v>
                </c:pt>
                <c:pt idx="15">
                  <c:v>109.5</c:v>
                </c:pt>
                <c:pt idx="16">
                  <c:v>110</c:v>
                </c:pt>
                <c:pt idx="17">
                  <c:v>110.5</c:v>
                </c:pt>
                <c:pt idx="18">
                  <c:v>111</c:v>
                </c:pt>
                <c:pt idx="19">
                  <c:v>111.5</c:v>
                </c:pt>
                <c:pt idx="20">
                  <c:v>112</c:v>
                </c:pt>
                <c:pt idx="21">
                  <c:v>112.5</c:v>
                </c:pt>
                <c:pt idx="22">
                  <c:v>113</c:v>
                </c:pt>
                <c:pt idx="23">
                  <c:v>113.5</c:v>
                </c:pt>
                <c:pt idx="24">
                  <c:v>114</c:v>
                </c:pt>
                <c:pt idx="25">
                  <c:v>114.5</c:v>
                </c:pt>
                <c:pt idx="26">
                  <c:v>115</c:v>
                </c:pt>
                <c:pt idx="27">
                  <c:v>115.5</c:v>
                </c:pt>
                <c:pt idx="28">
                  <c:v>116</c:v>
                </c:pt>
                <c:pt idx="29">
                  <c:v>116.5</c:v>
                </c:pt>
                <c:pt idx="30">
                  <c:v>117</c:v>
                </c:pt>
                <c:pt idx="31">
                  <c:v>117.5</c:v>
                </c:pt>
                <c:pt idx="32">
                  <c:v>118</c:v>
                </c:pt>
                <c:pt idx="33">
                  <c:v>118.5</c:v>
                </c:pt>
                <c:pt idx="34">
                  <c:v>119</c:v>
                </c:pt>
                <c:pt idx="35">
                  <c:v>119.5</c:v>
                </c:pt>
                <c:pt idx="36">
                  <c:v>120</c:v>
                </c:pt>
                <c:pt idx="37">
                  <c:v>120.5</c:v>
                </c:pt>
                <c:pt idx="38">
                  <c:v>121</c:v>
                </c:pt>
                <c:pt idx="39">
                  <c:v>121.5</c:v>
                </c:pt>
                <c:pt idx="40">
                  <c:v>122</c:v>
                </c:pt>
                <c:pt idx="41">
                  <c:v>122.5</c:v>
                </c:pt>
                <c:pt idx="42">
                  <c:v>123</c:v>
                </c:pt>
                <c:pt idx="43">
                  <c:v>123.5</c:v>
                </c:pt>
                <c:pt idx="44">
                  <c:v>124</c:v>
                </c:pt>
                <c:pt idx="45">
                  <c:v>124.5</c:v>
                </c:pt>
                <c:pt idx="46">
                  <c:v>125</c:v>
                </c:pt>
                <c:pt idx="47">
                  <c:v>125.5</c:v>
                </c:pt>
                <c:pt idx="48">
                  <c:v>126</c:v>
                </c:pt>
                <c:pt idx="49">
                  <c:v>126.5</c:v>
                </c:pt>
                <c:pt idx="50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B-4245-A510-99E9F04951A4}"/>
            </c:ext>
          </c:extLst>
        </c:ser>
        <c:ser>
          <c:idx val="1"/>
          <c:order val="1"/>
          <c:tx>
            <c:strRef>
              <c:f>'Sakhin 04'!$M$7</c:f>
              <c:strCache>
                <c:ptCount val="1"/>
                <c:pt idx="0">
                  <c:v>FSL 122.0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'Sakhin 04'!$M$5:$M$6</c:f>
              <c:numCache>
                <c:formatCode>General</c:formatCode>
                <c:ptCount val="2"/>
                <c:pt idx="0">
                  <c:v>0</c:v>
                </c:pt>
                <c:pt idx="1">
                  <c:v>40.861726073689546</c:v>
                </c:pt>
              </c:numCache>
            </c:numRef>
          </c:xVal>
          <c:yVal>
            <c:numRef>
              <c:f>'Sakhin 04'!$N$5:$N$6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6B-4245-A510-99E9F04951A4}"/>
            </c:ext>
          </c:extLst>
        </c:ser>
        <c:ser>
          <c:idx val="2"/>
          <c:order val="2"/>
          <c:tx>
            <c:strRef>
              <c:f>'Sakhin 04'!$M$8</c:f>
              <c:strCache>
                <c:ptCount val="1"/>
                <c:pt idx="0">
                  <c:v>Crest 127.0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'Sakhin 04'!$M$5:$M$6</c:f>
              <c:numCache>
                <c:formatCode>General</c:formatCode>
                <c:ptCount val="2"/>
                <c:pt idx="0">
                  <c:v>0</c:v>
                </c:pt>
                <c:pt idx="1">
                  <c:v>40.861726073689546</c:v>
                </c:pt>
              </c:numCache>
            </c:numRef>
          </c:xVal>
          <c:yVal>
            <c:numRef>
              <c:f>'Sakhin 04'!$O$5:$O$6</c:f>
              <c:numCache>
                <c:formatCode>General</c:formatCode>
                <c:ptCount val="2"/>
                <c:pt idx="0">
                  <c:v>127</c:v>
                </c:pt>
                <c:pt idx="1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6B-4245-A510-99E9F0495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Volume (Mm³)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28"/>
          <c:min val="10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Sakhin 04 - elevation vs area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'Sakhin 04'!$M$10</c:f>
              <c:strCache>
                <c:ptCount val="1"/>
                <c:pt idx="0">
                  <c:v>Elevation-area curve</c:v>
                </c:pt>
              </c:strCache>
            </c:strRef>
          </c:tx>
          <c:spPr>
            <a:ln w="22225" cap="rnd">
              <a:solidFill>
                <a:srgbClr val="2E75B6"/>
              </a:solidFill>
              <a:prstDash val="solid"/>
            </a:ln>
          </c:spPr>
          <c:marker>
            <c:symbol val="none"/>
          </c:marker>
          <c:xVal>
            <c:numRef>
              <c:f>'Sakhin 04'!$B$4:$B$54</c:f>
              <c:numCache>
                <c:formatCode>0.0000</c:formatCode>
                <c:ptCount val="51"/>
                <c:pt idx="0">
                  <c:v>5.8999999999999999E-3</c:v>
                </c:pt>
                <c:pt idx="1">
                  <c:v>1.8200000000000001E-2</c:v>
                </c:pt>
                <c:pt idx="2">
                  <c:v>3.9100000000000003E-2</c:v>
                </c:pt>
                <c:pt idx="3">
                  <c:v>6.7000000000000004E-2</c:v>
                </c:pt>
                <c:pt idx="4">
                  <c:v>0.10009999999999999</c:v>
                </c:pt>
                <c:pt idx="5">
                  <c:v>0.13700000000000001</c:v>
                </c:pt>
                <c:pt idx="6">
                  <c:v>0.18390000000000001</c:v>
                </c:pt>
                <c:pt idx="7">
                  <c:v>0.22339999999999999</c:v>
                </c:pt>
                <c:pt idx="8">
                  <c:v>0.26590000000000003</c:v>
                </c:pt>
                <c:pt idx="9">
                  <c:v>0.31979999999999997</c:v>
                </c:pt>
                <c:pt idx="10">
                  <c:v>0.36320000000000002</c:v>
                </c:pt>
                <c:pt idx="11">
                  <c:v>0.40589999999999998</c:v>
                </c:pt>
                <c:pt idx="12">
                  <c:v>0.45329999999999998</c:v>
                </c:pt>
                <c:pt idx="13">
                  <c:v>0.50149999999999995</c:v>
                </c:pt>
                <c:pt idx="14">
                  <c:v>0.55659999999999998</c:v>
                </c:pt>
                <c:pt idx="15">
                  <c:v>0.61040000000000005</c:v>
                </c:pt>
                <c:pt idx="16">
                  <c:v>0.67279999999999995</c:v>
                </c:pt>
                <c:pt idx="17">
                  <c:v>0.73470000000000002</c:v>
                </c:pt>
                <c:pt idx="18">
                  <c:v>0.79100000000000004</c:v>
                </c:pt>
                <c:pt idx="19">
                  <c:v>0.85599999999999998</c:v>
                </c:pt>
                <c:pt idx="20">
                  <c:v>0.93289999999999995</c:v>
                </c:pt>
                <c:pt idx="21">
                  <c:v>1.0162</c:v>
                </c:pt>
                <c:pt idx="22">
                  <c:v>1.1034999999999999</c:v>
                </c:pt>
                <c:pt idx="23">
                  <c:v>1.1984999999999999</c:v>
                </c:pt>
                <c:pt idx="24">
                  <c:v>1.2990999999999999</c:v>
                </c:pt>
                <c:pt idx="25">
                  <c:v>1.3903000000000001</c:v>
                </c:pt>
                <c:pt idx="26">
                  <c:v>1.4812000000000001</c:v>
                </c:pt>
                <c:pt idx="27">
                  <c:v>1.5739000000000001</c:v>
                </c:pt>
                <c:pt idx="28">
                  <c:v>1.673</c:v>
                </c:pt>
                <c:pt idx="29">
                  <c:v>1.7728999999999999</c:v>
                </c:pt>
                <c:pt idx="30">
                  <c:v>1.8573</c:v>
                </c:pt>
                <c:pt idx="31">
                  <c:v>1.9461999999999999</c:v>
                </c:pt>
                <c:pt idx="32">
                  <c:v>2.0518000000000001</c:v>
                </c:pt>
                <c:pt idx="33">
                  <c:v>2.1535000000000002</c:v>
                </c:pt>
                <c:pt idx="34">
                  <c:v>2.2513000000000001</c:v>
                </c:pt>
                <c:pt idx="35">
                  <c:v>2.3525</c:v>
                </c:pt>
                <c:pt idx="36">
                  <c:v>2.4496000000000002</c:v>
                </c:pt>
                <c:pt idx="37">
                  <c:v>2.5488</c:v>
                </c:pt>
                <c:pt idx="38">
                  <c:v>2.6535000000000002</c:v>
                </c:pt>
                <c:pt idx="39">
                  <c:v>2.7684000000000002</c:v>
                </c:pt>
                <c:pt idx="40">
                  <c:v>2.8917000000000002</c:v>
                </c:pt>
                <c:pt idx="41">
                  <c:v>3.0211000000000001</c:v>
                </c:pt>
                <c:pt idx="42">
                  <c:v>3.1375999999999999</c:v>
                </c:pt>
                <c:pt idx="43">
                  <c:v>3.2583000000000002</c:v>
                </c:pt>
                <c:pt idx="44">
                  <c:v>3.3712</c:v>
                </c:pt>
                <c:pt idx="45">
                  <c:v>3.4805999999999999</c:v>
                </c:pt>
                <c:pt idx="46">
                  <c:v>3.5889000000000002</c:v>
                </c:pt>
                <c:pt idx="47">
                  <c:v>3.7113999999999998</c:v>
                </c:pt>
                <c:pt idx="48">
                  <c:v>3.8494000000000002</c:v>
                </c:pt>
                <c:pt idx="49">
                  <c:v>3.9847000000000001</c:v>
                </c:pt>
                <c:pt idx="50">
                  <c:v>4.1246</c:v>
                </c:pt>
              </c:numCache>
            </c:numRef>
          </c:xVal>
          <c:yVal>
            <c:numRef>
              <c:f>'Sakhin 04'!$A$4:$A$54</c:f>
              <c:numCache>
                <c:formatCode>0.0</c:formatCode>
                <c:ptCount val="51"/>
                <c:pt idx="0">
                  <c:v>102</c:v>
                </c:pt>
                <c:pt idx="1">
                  <c:v>102.5</c:v>
                </c:pt>
                <c:pt idx="2">
                  <c:v>103</c:v>
                </c:pt>
                <c:pt idx="3">
                  <c:v>103.5</c:v>
                </c:pt>
                <c:pt idx="4">
                  <c:v>104</c:v>
                </c:pt>
                <c:pt idx="5">
                  <c:v>104.5</c:v>
                </c:pt>
                <c:pt idx="6">
                  <c:v>105</c:v>
                </c:pt>
                <c:pt idx="7">
                  <c:v>105.5</c:v>
                </c:pt>
                <c:pt idx="8">
                  <c:v>106</c:v>
                </c:pt>
                <c:pt idx="9">
                  <c:v>106.5</c:v>
                </c:pt>
                <c:pt idx="10">
                  <c:v>107</c:v>
                </c:pt>
                <c:pt idx="11">
                  <c:v>107.5</c:v>
                </c:pt>
                <c:pt idx="12">
                  <c:v>108</c:v>
                </c:pt>
                <c:pt idx="13">
                  <c:v>108.5</c:v>
                </c:pt>
                <c:pt idx="14">
                  <c:v>109</c:v>
                </c:pt>
                <c:pt idx="15">
                  <c:v>109.5</c:v>
                </c:pt>
                <c:pt idx="16">
                  <c:v>110</c:v>
                </c:pt>
                <c:pt idx="17">
                  <c:v>110.5</c:v>
                </c:pt>
                <c:pt idx="18">
                  <c:v>111</c:v>
                </c:pt>
                <c:pt idx="19">
                  <c:v>111.5</c:v>
                </c:pt>
                <c:pt idx="20">
                  <c:v>112</c:v>
                </c:pt>
                <c:pt idx="21">
                  <c:v>112.5</c:v>
                </c:pt>
                <c:pt idx="22">
                  <c:v>113</c:v>
                </c:pt>
                <c:pt idx="23">
                  <c:v>113.5</c:v>
                </c:pt>
                <c:pt idx="24">
                  <c:v>114</c:v>
                </c:pt>
                <c:pt idx="25">
                  <c:v>114.5</c:v>
                </c:pt>
                <c:pt idx="26">
                  <c:v>115</c:v>
                </c:pt>
                <c:pt idx="27">
                  <c:v>115.5</c:v>
                </c:pt>
                <c:pt idx="28">
                  <c:v>116</c:v>
                </c:pt>
                <c:pt idx="29">
                  <c:v>116.5</c:v>
                </c:pt>
                <c:pt idx="30">
                  <c:v>117</c:v>
                </c:pt>
                <c:pt idx="31">
                  <c:v>117.5</c:v>
                </c:pt>
                <c:pt idx="32">
                  <c:v>118</c:v>
                </c:pt>
                <c:pt idx="33">
                  <c:v>118.5</c:v>
                </c:pt>
                <c:pt idx="34">
                  <c:v>119</c:v>
                </c:pt>
                <c:pt idx="35">
                  <c:v>119.5</c:v>
                </c:pt>
                <c:pt idx="36">
                  <c:v>120</c:v>
                </c:pt>
                <c:pt idx="37">
                  <c:v>120.5</c:v>
                </c:pt>
                <c:pt idx="38">
                  <c:v>121</c:v>
                </c:pt>
                <c:pt idx="39">
                  <c:v>121.5</c:v>
                </c:pt>
                <c:pt idx="40">
                  <c:v>122</c:v>
                </c:pt>
                <c:pt idx="41">
                  <c:v>122.5</c:v>
                </c:pt>
                <c:pt idx="42">
                  <c:v>123</c:v>
                </c:pt>
                <c:pt idx="43">
                  <c:v>123.5</c:v>
                </c:pt>
                <c:pt idx="44">
                  <c:v>124</c:v>
                </c:pt>
                <c:pt idx="45">
                  <c:v>124.5</c:v>
                </c:pt>
                <c:pt idx="46">
                  <c:v>125</c:v>
                </c:pt>
                <c:pt idx="47">
                  <c:v>125.5</c:v>
                </c:pt>
                <c:pt idx="48">
                  <c:v>126</c:v>
                </c:pt>
                <c:pt idx="49">
                  <c:v>126.5</c:v>
                </c:pt>
                <c:pt idx="50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3-483F-8FE4-B26D831C6BE0}"/>
            </c:ext>
          </c:extLst>
        </c:ser>
        <c:ser>
          <c:idx val="1"/>
          <c:order val="1"/>
          <c:tx>
            <c:strRef>
              <c:f>'Sakhin 04'!$M$7</c:f>
              <c:strCache>
                <c:ptCount val="1"/>
                <c:pt idx="0">
                  <c:v>FSL 122.0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'Sakhin 04'!$P$5:$P$6</c:f>
              <c:numCache>
                <c:formatCode>General</c:formatCode>
                <c:ptCount val="2"/>
                <c:pt idx="0">
                  <c:v>0</c:v>
                </c:pt>
                <c:pt idx="1">
                  <c:v>4.2070920000000003</c:v>
                </c:pt>
              </c:numCache>
            </c:numRef>
          </c:xVal>
          <c:yVal>
            <c:numRef>
              <c:f>'Sakhin 04'!$N$5:$N$6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3-483F-8FE4-B26D831C6BE0}"/>
            </c:ext>
          </c:extLst>
        </c:ser>
        <c:ser>
          <c:idx val="2"/>
          <c:order val="2"/>
          <c:tx>
            <c:strRef>
              <c:f>'Sakhin 04'!$M$8</c:f>
              <c:strCache>
                <c:ptCount val="1"/>
                <c:pt idx="0">
                  <c:v>Crest 127.0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'Sakhin 04'!$P$5:$P$6</c:f>
              <c:numCache>
                <c:formatCode>General</c:formatCode>
                <c:ptCount val="2"/>
                <c:pt idx="0">
                  <c:v>0</c:v>
                </c:pt>
                <c:pt idx="1">
                  <c:v>4.2070920000000003</c:v>
                </c:pt>
              </c:numCache>
            </c:numRef>
          </c:xVal>
          <c:yVal>
            <c:numRef>
              <c:f>'Sakhin 04'!$O$5:$O$6</c:f>
              <c:numCache>
                <c:formatCode>General</c:formatCode>
                <c:ptCount val="2"/>
                <c:pt idx="0">
                  <c:v>127</c:v>
                </c:pt>
                <c:pt idx="1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3-483F-8FE4-B26D831C6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Area (km²)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28"/>
          <c:min val="100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Sakhin 08 - elevation vs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'Sakhin 08'!$M$9</c:f>
              <c:strCache>
                <c:ptCount val="1"/>
                <c:pt idx="0">
                  <c:v>Elevation-volume curve</c:v>
                </c:pt>
              </c:strCache>
            </c:strRef>
          </c:tx>
          <c:spPr>
            <a:ln w="22225" cap="rnd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'Sakhin 08'!$E$4:$E$39</c:f>
              <c:numCache>
                <c:formatCode>0.000</c:formatCode>
                <c:ptCount val="36"/>
                <c:pt idx="0">
                  <c:v>0</c:v>
                </c:pt>
                <c:pt idx="1">
                  <c:v>8.0703675169759936E-4</c:v>
                </c:pt>
                <c:pt idx="2">
                  <c:v>3.3123880312725769E-3</c:v>
                </c:pt>
                <c:pt idx="3">
                  <c:v>9.0566734996556271E-3</c:v>
                </c:pt>
                <c:pt idx="4">
                  <c:v>2.0029663125154439E-2</c:v>
                </c:pt>
                <c:pt idx="5">
                  <c:v>3.9409081436970257E-2</c:v>
                </c:pt>
                <c:pt idx="6">
                  <c:v>7.1309866817420714E-2</c:v>
                </c:pt>
                <c:pt idx="7">
                  <c:v>0.12100276493330227</c:v>
                </c:pt>
                <c:pt idx="8">
                  <c:v>0.1931846879684993</c:v>
                </c:pt>
                <c:pt idx="9">
                  <c:v>0.29171923487148899</c:v>
                </c:pt>
                <c:pt idx="10">
                  <c:v>0.42010087867358858</c:v>
                </c:pt>
                <c:pt idx="11">
                  <c:v>0.58018412843848688</c:v>
                </c:pt>
                <c:pt idx="12">
                  <c:v>0.77272546049106383</c:v>
                </c:pt>
                <c:pt idx="13">
                  <c:v>1.0008803080221953</c:v>
                </c:pt>
                <c:pt idx="14">
                  <c:v>1.2692806704755695</c:v>
                </c:pt>
                <c:pt idx="15">
                  <c:v>1.5840388681591557</c:v>
                </c:pt>
                <c:pt idx="16">
                  <c:v>1.9478346979800047</c:v>
                </c:pt>
                <c:pt idx="17">
                  <c:v>2.3599613982933887</c:v>
                </c:pt>
                <c:pt idx="18">
                  <c:v>2.8207064527012196</c:v>
                </c:pt>
                <c:pt idx="19">
                  <c:v>3.3298337130347391</c:v>
                </c:pt>
                <c:pt idx="20">
                  <c:v>3.8880544690173799</c:v>
                </c:pt>
                <c:pt idx="21">
                  <c:v>4.4948949305570061</c:v>
                </c:pt>
                <c:pt idx="22">
                  <c:v>5.1528348950981675</c:v>
                </c:pt>
                <c:pt idx="23">
                  <c:v>5.8659003135739116</c:v>
                </c:pt>
                <c:pt idx="24">
                  <c:v>6.6354015221562976</c:v>
                </c:pt>
                <c:pt idx="25">
                  <c:v>7.462231981911426</c:v>
                </c:pt>
                <c:pt idx="26">
                  <c:v>8.3493726147505303</c:v>
                </c:pt>
                <c:pt idx="27">
                  <c:v>9.3001891542844088</c:v>
                </c:pt>
                <c:pt idx="28">
                  <c:v>10.314925649981372</c:v>
                </c:pt>
                <c:pt idx="29">
                  <c:v>11.394702413551022</c:v>
                </c:pt>
                <c:pt idx="30">
                  <c:v>12.542751841391784</c:v>
                </c:pt>
                <c:pt idx="31">
                  <c:v>13.761500335315452</c:v>
                </c:pt>
                <c:pt idx="32">
                  <c:v>15.048341665737176</c:v>
                </c:pt>
                <c:pt idx="33">
                  <c:v>16.402390011994534</c:v>
                </c:pt>
                <c:pt idx="34">
                  <c:v>17.826025863148846</c:v>
                </c:pt>
                <c:pt idx="35">
                  <c:v>19.319114311005734</c:v>
                </c:pt>
              </c:numCache>
            </c:numRef>
          </c:xVal>
          <c:yVal>
            <c:numRef>
              <c:f>'Sakhin 08'!$A$4:$A$39</c:f>
              <c:numCache>
                <c:formatCode>0.0</c:formatCode>
                <c:ptCount val="36"/>
                <c:pt idx="0">
                  <c:v>126.5</c:v>
                </c:pt>
                <c:pt idx="1">
                  <c:v>127</c:v>
                </c:pt>
                <c:pt idx="2">
                  <c:v>127.5</c:v>
                </c:pt>
                <c:pt idx="3">
                  <c:v>128</c:v>
                </c:pt>
                <c:pt idx="4">
                  <c:v>128.5</c:v>
                </c:pt>
                <c:pt idx="5">
                  <c:v>129</c:v>
                </c:pt>
                <c:pt idx="6">
                  <c:v>129.5</c:v>
                </c:pt>
                <c:pt idx="7">
                  <c:v>130</c:v>
                </c:pt>
                <c:pt idx="8">
                  <c:v>130.5</c:v>
                </c:pt>
                <c:pt idx="9">
                  <c:v>131</c:v>
                </c:pt>
                <c:pt idx="10">
                  <c:v>131.5</c:v>
                </c:pt>
                <c:pt idx="11">
                  <c:v>132</c:v>
                </c:pt>
                <c:pt idx="12">
                  <c:v>132.5</c:v>
                </c:pt>
                <c:pt idx="13">
                  <c:v>133</c:v>
                </c:pt>
                <c:pt idx="14">
                  <c:v>133.5</c:v>
                </c:pt>
                <c:pt idx="15">
                  <c:v>134</c:v>
                </c:pt>
                <c:pt idx="16">
                  <c:v>134.5</c:v>
                </c:pt>
                <c:pt idx="17">
                  <c:v>135</c:v>
                </c:pt>
                <c:pt idx="18">
                  <c:v>135.5</c:v>
                </c:pt>
                <c:pt idx="19">
                  <c:v>136</c:v>
                </c:pt>
                <c:pt idx="20">
                  <c:v>136.5</c:v>
                </c:pt>
                <c:pt idx="21">
                  <c:v>137</c:v>
                </c:pt>
                <c:pt idx="22">
                  <c:v>137.5</c:v>
                </c:pt>
                <c:pt idx="23">
                  <c:v>138</c:v>
                </c:pt>
                <c:pt idx="24">
                  <c:v>138.5</c:v>
                </c:pt>
                <c:pt idx="25">
                  <c:v>139</c:v>
                </c:pt>
                <c:pt idx="26">
                  <c:v>139.5</c:v>
                </c:pt>
                <c:pt idx="27">
                  <c:v>140</c:v>
                </c:pt>
                <c:pt idx="28">
                  <c:v>140.5</c:v>
                </c:pt>
                <c:pt idx="29">
                  <c:v>141</c:v>
                </c:pt>
                <c:pt idx="30">
                  <c:v>141.5</c:v>
                </c:pt>
                <c:pt idx="31">
                  <c:v>142</c:v>
                </c:pt>
                <c:pt idx="32">
                  <c:v>142.5</c:v>
                </c:pt>
                <c:pt idx="33">
                  <c:v>143</c:v>
                </c:pt>
                <c:pt idx="34">
                  <c:v>143.5</c:v>
                </c:pt>
                <c:pt idx="35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B-4616-84A9-BFDAFE543EF7}"/>
            </c:ext>
          </c:extLst>
        </c:ser>
        <c:ser>
          <c:idx val="1"/>
          <c:order val="1"/>
          <c:tx>
            <c:strRef>
              <c:f>'Sakhin 08'!$M$7</c:f>
              <c:strCache>
                <c:ptCount val="1"/>
                <c:pt idx="0">
                  <c:v>FSL 139.0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'Sakhin 08'!$M$5:$M$6</c:f>
              <c:numCache>
                <c:formatCode>General</c:formatCode>
                <c:ptCount val="2"/>
                <c:pt idx="0">
                  <c:v>0</c:v>
                </c:pt>
                <c:pt idx="1">
                  <c:v>19.705496597225849</c:v>
                </c:pt>
              </c:numCache>
            </c:numRef>
          </c:xVal>
          <c:yVal>
            <c:numRef>
              <c:f>'Sakhin 08'!$N$5:$N$6</c:f>
              <c:numCache>
                <c:formatCode>General</c:formatCode>
                <c:ptCount val="2"/>
                <c:pt idx="0">
                  <c:v>139</c:v>
                </c:pt>
                <c:pt idx="1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FB-4616-84A9-BFDAFE543EF7}"/>
            </c:ext>
          </c:extLst>
        </c:ser>
        <c:ser>
          <c:idx val="2"/>
          <c:order val="2"/>
          <c:tx>
            <c:strRef>
              <c:f>'Sakhin 08'!$M$8</c:f>
              <c:strCache>
                <c:ptCount val="1"/>
                <c:pt idx="0">
                  <c:v>Crest 144.0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'Sakhin 08'!$M$5:$M$6</c:f>
              <c:numCache>
                <c:formatCode>General</c:formatCode>
                <c:ptCount val="2"/>
                <c:pt idx="0">
                  <c:v>0</c:v>
                </c:pt>
                <c:pt idx="1">
                  <c:v>19.705496597225849</c:v>
                </c:pt>
              </c:numCache>
            </c:numRef>
          </c:xVal>
          <c:yVal>
            <c:numRef>
              <c:f>'Sakhin 08'!$O$5:$O$6</c:f>
              <c:numCache>
                <c:formatCode>General</c:formatCode>
                <c:ptCount val="2"/>
                <c:pt idx="0">
                  <c:v>144</c:v>
                </c:pt>
                <c:pt idx="1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FB-4616-84A9-BFDAFE543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Volume (Mm³)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45"/>
          <c:min val="125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Sakhin 08 - elevation vs area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"/>
          <c:y val="0.13"/>
          <c:w val="0.83"/>
          <c:h val="0.57999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'Sakhin 08'!$M$10</c:f>
              <c:strCache>
                <c:ptCount val="1"/>
                <c:pt idx="0">
                  <c:v>Elevation-area curve</c:v>
                </c:pt>
              </c:strCache>
            </c:strRef>
          </c:tx>
          <c:spPr>
            <a:ln w="22225" cap="rnd">
              <a:solidFill>
                <a:srgbClr val="2E75B6"/>
              </a:solidFill>
              <a:prstDash val="solid"/>
            </a:ln>
          </c:spPr>
          <c:marker>
            <c:symbol val="none"/>
          </c:marker>
          <c:xVal>
            <c:numRef>
              <c:f>'Sakhin 08'!$B$4:$B$39</c:f>
              <c:numCache>
                <c:formatCode>0.0000</c:formatCode>
                <c:ptCount val="36"/>
                <c:pt idx="0">
                  <c:v>8.0000000000000004E-4</c:v>
                </c:pt>
                <c:pt idx="1">
                  <c:v>2.5999999999999999E-3</c:v>
                </c:pt>
                <c:pt idx="2">
                  <c:v>7.9000000000000008E-3</c:v>
                </c:pt>
                <c:pt idx="3">
                  <c:v>1.55E-2</c:v>
                </c:pt>
                <c:pt idx="4">
                  <c:v>2.9100000000000001E-2</c:v>
                </c:pt>
                <c:pt idx="5">
                  <c:v>4.9299999999999997E-2</c:v>
                </c:pt>
                <c:pt idx="6">
                  <c:v>7.9500000000000001E-2</c:v>
                </c:pt>
                <c:pt idx="7">
                  <c:v>0.1207</c:v>
                </c:pt>
                <c:pt idx="8">
                  <c:v>0.1694</c:v>
                </c:pt>
                <c:pt idx="9">
                  <c:v>0.2261</c:v>
                </c:pt>
                <c:pt idx="10">
                  <c:v>0.28870000000000001</c:v>
                </c:pt>
                <c:pt idx="11">
                  <c:v>0.35270000000000001</c:v>
                </c:pt>
                <c:pt idx="12">
                  <c:v>0.41839999999999999</c:v>
                </c:pt>
                <c:pt idx="13">
                  <c:v>0.49530000000000002</c:v>
                </c:pt>
                <c:pt idx="14">
                  <c:v>0.57940000000000003</c:v>
                </c:pt>
                <c:pt idx="15">
                  <c:v>0.68100000000000005</c:v>
                </c:pt>
                <c:pt idx="16">
                  <c:v>0.7752</c:v>
                </c:pt>
                <c:pt idx="17">
                  <c:v>0.87429999999999997</c:v>
                </c:pt>
                <c:pt idx="18">
                  <c:v>0.96950000000000003</c:v>
                </c:pt>
                <c:pt idx="19">
                  <c:v>1.0678000000000001</c:v>
                </c:pt>
                <c:pt idx="20">
                  <c:v>1.1657999999999999</c:v>
                </c:pt>
                <c:pt idx="21">
                  <c:v>1.2622</c:v>
                </c:pt>
                <c:pt idx="22">
                  <c:v>1.3703000000000001</c:v>
                </c:pt>
                <c:pt idx="23">
                  <c:v>1.4826999999999999</c:v>
                </c:pt>
                <c:pt idx="24">
                  <c:v>1.5960000000000001</c:v>
                </c:pt>
                <c:pt idx="25">
                  <c:v>1.712</c:v>
                </c:pt>
                <c:pt idx="26">
                  <c:v>1.8372999999999999</c:v>
                </c:pt>
                <c:pt idx="27">
                  <c:v>1.9666999999999999</c:v>
                </c:pt>
                <c:pt idx="28">
                  <c:v>2.0929000000000002</c:v>
                </c:pt>
                <c:pt idx="29">
                  <c:v>2.2269000000000001</c:v>
                </c:pt>
                <c:pt idx="30">
                  <c:v>2.3660000000000001</c:v>
                </c:pt>
                <c:pt idx="31">
                  <c:v>2.5097</c:v>
                </c:pt>
                <c:pt idx="32">
                  <c:v>2.6381999999999999</c:v>
                </c:pt>
                <c:pt idx="33">
                  <c:v>2.7786</c:v>
                </c:pt>
                <c:pt idx="34">
                  <c:v>2.9165000000000001</c:v>
                </c:pt>
                <c:pt idx="35">
                  <c:v>3.0564</c:v>
                </c:pt>
              </c:numCache>
            </c:numRef>
          </c:xVal>
          <c:yVal>
            <c:numRef>
              <c:f>'Sakhin 08'!$A$4:$A$39</c:f>
              <c:numCache>
                <c:formatCode>0.0</c:formatCode>
                <c:ptCount val="36"/>
                <c:pt idx="0">
                  <c:v>126.5</c:v>
                </c:pt>
                <c:pt idx="1">
                  <c:v>127</c:v>
                </c:pt>
                <c:pt idx="2">
                  <c:v>127.5</c:v>
                </c:pt>
                <c:pt idx="3">
                  <c:v>128</c:v>
                </c:pt>
                <c:pt idx="4">
                  <c:v>128.5</c:v>
                </c:pt>
                <c:pt idx="5">
                  <c:v>129</c:v>
                </c:pt>
                <c:pt idx="6">
                  <c:v>129.5</c:v>
                </c:pt>
                <c:pt idx="7">
                  <c:v>130</c:v>
                </c:pt>
                <c:pt idx="8">
                  <c:v>130.5</c:v>
                </c:pt>
                <c:pt idx="9">
                  <c:v>131</c:v>
                </c:pt>
                <c:pt idx="10">
                  <c:v>131.5</c:v>
                </c:pt>
                <c:pt idx="11">
                  <c:v>132</c:v>
                </c:pt>
                <c:pt idx="12">
                  <c:v>132.5</c:v>
                </c:pt>
                <c:pt idx="13">
                  <c:v>133</c:v>
                </c:pt>
                <c:pt idx="14">
                  <c:v>133.5</c:v>
                </c:pt>
                <c:pt idx="15">
                  <c:v>134</c:v>
                </c:pt>
                <c:pt idx="16">
                  <c:v>134.5</c:v>
                </c:pt>
                <c:pt idx="17">
                  <c:v>135</c:v>
                </c:pt>
                <c:pt idx="18">
                  <c:v>135.5</c:v>
                </c:pt>
                <c:pt idx="19">
                  <c:v>136</c:v>
                </c:pt>
                <c:pt idx="20">
                  <c:v>136.5</c:v>
                </c:pt>
                <c:pt idx="21">
                  <c:v>137</c:v>
                </c:pt>
                <c:pt idx="22">
                  <c:v>137.5</c:v>
                </c:pt>
                <c:pt idx="23">
                  <c:v>138</c:v>
                </c:pt>
                <c:pt idx="24">
                  <c:v>138.5</c:v>
                </c:pt>
                <c:pt idx="25">
                  <c:v>139</c:v>
                </c:pt>
                <c:pt idx="26">
                  <c:v>139.5</c:v>
                </c:pt>
                <c:pt idx="27">
                  <c:v>140</c:v>
                </c:pt>
                <c:pt idx="28">
                  <c:v>140.5</c:v>
                </c:pt>
                <c:pt idx="29">
                  <c:v>141</c:v>
                </c:pt>
                <c:pt idx="30">
                  <c:v>141.5</c:v>
                </c:pt>
                <c:pt idx="31">
                  <c:v>142</c:v>
                </c:pt>
                <c:pt idx="32">
                  <c:v>142.5</c:v>
                </c:pt>
                <c:pt idx="33">
                  <c:v>143</c:v>
                </c:pt>
                <c:pt idx="34">
                  <c:v>143.5</c:v>
                </c:pt>
                <c:pt idx="35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1-49EA-B7A8-7835F3219250}"/>
            </c:ext>
          </c:extLst>
        </c:ser>
        <c:ser>
          <c:idx val="1"/>
          <c:order val="1"/>
          <c:tx>
            <c:strRef>
              <c:f>'Sakhin 08'!$M$7</c:f>
              <c:strCache>
                <c:ptCount val="1"/>
                <c:pt idx="0">
                  <c:v>FSL 139.0 m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'Sakhin 08'!$P$5:$P$6</c:f>
              <c:numCache>
                <c:formatCode>General</c:formatCode>
                <c:ptCount val="2"/>
                <c:pt idx="0">
                  <c:v>0</c:v>
                </c:pt>
                <c:pt idx="1">
                  <c:v>3.1175280000000001</c:v>
                </c:pt>
              </c:numCache>
            </c:numRef>
          </c:xVal>
          <c:yVal>
            <c:numRef>
              <c:f>'Sakhin 08'!$N$5:$N$6</c:f>
              <c:numCache>
                <c:formatCode>General</c:formatCode>
                <c:ptCount val="2"/>
                <c:pt idx="0">
                  <c:v>139</c:v>
                </c:pt>
                <c:pt idx="1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1-49EA-B7A8-7835F3219250}"/>
            </c:ext>
          </c:extLst>
        </c:ser>
        <c:ser>
          <c:idx val="2"/>
          <c:order val="2"/>
          <c:tx>
            <c:strRef>
              <c:f>'Sakhin 08'!$M$8</c:f>
              <c:strCache>
                <c:ptCount val="1"/>
                <c:pt idx="0">
                  <c:v>Crest 144.0 m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sysDot"/>
            </a:ln>
          </c:spPr>
          <c:marker>
            <c:symbol val="none"/>
          </c:marker>
          <c:xVal>
            <c:numRef>
              <c:f>'Sakhin 08'!$P$5:$P$6</c:f>
              <c:numCache>
                <c:formatCode>General</c:formatCode>
                <c:ptCount val="2"/>
                <c:pt idx="0">
                  <c:v>0</c:v>
                </c:pt>
                <c:pt idx="1">
                  <c:v>3.1175280000000001</c:v>
                </c:pt>
              </c:numCache>
            </c:numRef>
          </c:xVal>
          <c:yVal>
            <c:numRef>
              <c:f>'Sakhin 08'!$O$5:$O$6</c:f>
              <c:numCache>
                <c:formatCode>General</c:formatCode>
                <c:ptCount val="2"/>
                <c:pt idx="0">
                  <c:v>144</c:v>
                </c:pt>
                <c:pt idx="1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41-49EA-B7A8-7835F3219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Area (km²)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45"/>
          <c:min val="125"/>
        </c:scaling>
        <c:delete val="0"/>
        <c:axPos val="l"/>
        <c:majorGridlines>
          <c:spPr>
            <a:ln w="6350"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  <a:prstDash val="solid"/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/>
        <a:lstStyle/>
        <a:p>
          <a:pPr>
            <a:defRPr sz="900" b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"/>
  <sheetViews>
    <sheetView tabSelected="1" zoomScale="9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5" customWidth="1"/>
    <col min="2" max="2" width="10" customWidth="1"/>
    <col min="3" max="3" width="9" customWidth="1"/>
    <col min="4" max="4" width="12" customWidth="1"/>
    <col min="5" max="5" width="11" customWidth="1"/>
    <col min="6" max="6" width="8" customWidth="1"/>
    <col min="7" max="7" width="6" customWidth="1"/>
    <col min="8" max="8" width="11" customWidth="1"/>
    <col min="9" max="9" width="10" customWidth="1"/>
    <col min="10" max="15" width="11" customWidth="1"/>
    <col min="16" max="16" width="13" customWidth="1"/>
    <col min="17" max="17" width="11" customWidth="1"/>
    <col min="18" max="19" width="13" customWidth="1"/>
  </cols>
  <sheetData>
    <row r="1" spans="1:1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56.1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</row>
    <row r="4" spans="1:19" x14ac:dyDescent="0.25">
      <c r="A4" s="4" t="s">
        <v>20</v>
      </c>
      <c r="B4" s="5">
        <v>149</v>
      </c>
      <c r="C4" s="5">
        <v>144</v>
      </c>
      <c r="D4" s="5">
        <v>11</v>
      </c>
      <c r="E4" s="5">
        <v>17809</v>
      </c>
      <c r="F4" s="5">
        <v>5</v>
      </c>
      <c r="G4" s="5">
        <v>2.1</v>
      </c>
      <c r="H4" s="5">
        <v>759</v>
      </c>
      <c r="I4" s="6">
        <f>'Hawasinah 02'!K7</f>
        <v>129.5</v>
      </c>
      <c r="J4" s="6">
        <f t="shared" ref="J4:J12" si="0">B4-I4</f>
        <v>19.5</v>
      </c>
      <c r="K4" s="7">
        <f>'Hawasinah 02'!K9</f>
        <v>1.708</v>
      </c>
      <c r="L4" s="6">
        <f>'Hawasinah 02'!K10</f>
        <v>10.41230437895871</v>
      </c>
      <c r="M4" s="8">
        <f t="shared" ref="M4:M12" si="1">L4/D4-1</f>
        <v>-5.3426874640117195E-2</v>
      </c>
      <c r="N4" s="7">
        <f>'Hawasinah 02'!K13</f>
        <v>2.6613000000000002</v>
      </c>
      <c r="O4" s="6">
        <f>'Hawasinah 02'!K14</f>
        <v>21.059783874618947</v>
      </c>
      <c r="P4" s="9">
        <v>148.99</v>
      </c>
      <c r="Q4" s="7">
        <f t="shared" ref="Q4:Q12" si="2">P4-C4</f>
        <v>4.9900000000000091</v>
      </c>
      <c r="R4" s="10">
        <v>17751</v>
      </c>
      <c r="S4" s="10">
        <v>17809</v>
      </c>
    </row>
    <row r="5" spans="1:19" x14ac:dyDescent="0.25">
      <c r="A5" s="4" t="s">
        <v>21</v>
      </c>
      <c r="B5" s="5">
        <v>256</v>
      </c>
      <c r="C5" s="5">
        <v>251</v>
      </c>
      <c r="D5" s="5">
        <v>34</v>
      </c>
      <c r="E5" s="5">
        <v>11767</v>
      </c>
      <c r="F5" s="5">
        <v>5</v>
      </c>
      <c r="G5" s="5">
        <v>2.1</v>
      </c>
      <c r="H5" s="5">
        <v>501</v>
      </c>
      <c r="I5" s="6">
        <f>'Hawasinah 11'!K7</f>
        <v>216</v>
      </c>
      <c r="J5" s="6">
        <f t="shared" si="0"/>
        <v>40</v>
      </c>
      <c r="K5" s="7">
        <f>'Hawasinah 11'!K9</f>
        <v>2.5415999999999999</v>
      </c>
      <c r="L5" s="6">
        <f>'Hawasinah 11'!K10</f>
        <v>33.172842667697445</v>
      </c>
      <c r="M5" s="8">
        <f t="shared" si="1"/>
        <v>-2.4328156832428061E-2</v>
      </c>
      <c r="N5" s="7">
        <f>'Hawasinah 11'!K13</f>
        <v>3.2894000000000001</v>
      </c>
      <c r="O5" s="6">
        <f>'Hawasinah 11'!K14</f>
        <v>47.688741046821676</v>
      </c>
      <c r="P5" s="9">
        <v>255.96</v>
      </c>
      <c r="Q5" s="7">
        <f t="shared" si="2"/>
        <v>4.960000000000008</v>
      </c>
      <c r="R5" s="10">
        <v>11608</v>
      </c>
      <c r="S5" s="10">
        <v>11767</v>
      </c>
    </row>
    <row r="6" spans="1:19" x14ac:dyDescent="0.25">
      <c r="A6" s="4" t="s">
        <v>22</v>
      </c>
      <c r="B6" s="5">
        <v>65</v>
      </c>
      <c r="C6" s="5">
        <v>60</v>
      </c>
      <c r="D6" s="5">
        <v>81</v>
      </c>
      <c r="E6" s="5">
        <v>34783</v>
      </c>
      <c r="F6" s="5">
        <v>5</v>
      </c>
      <c r="G6" s="5">
        <v>2.1</v>
      </c>
      <c r="H6" s="5">
        <v>1481</v>
      </c>
      <c r="I6" s="6">
        <f>'Hawasinah EX'!K7</f>
        <v>43.5</v>
      </c>
      <c r="J6" s="6">
        <f t="shared" si="0"/>
        <v>21.5</v>
      </c>
      <c r="K6" s="7">
        <f>'Hawasinah EX'!K9</f>
        <v>10.774699999999999</v>
      </c>
      <c r="L6" s="6">
        <f>'Hawasinah EX'!K10</f>
        <v>79.215780125263706</v>
      </c>
      <c r="M6" s="8">
        <f t="shared" si="1"/>
        <v>-2.2027405860941873E-2</v>
      </c>
      <c r="N6" s="7">
        <f>'Hawasinah EX'!K13</f>
        <v>14.711</v>
      </c>
      <c r="O6" s="6">
        <f>'Hawasinah EX'!K14</f>
        <v>142.77510435901178</v>
      </c>
      <c r="P6" s="9">
        <v>64.819999999999993</v>
      </c>
      <c r="Q6" s="7">
        <f t="shared" si="2"/>
        <v>4.8199999999999932</v>
      </c>
      <c r="R6" s="10">
        <v>32933</v>
      </c>
      <c r="S6" s="10">
        <v>34603</v>
      </c>
    </row>
    <row r="7" spans="1:19" x14ac:dyDescent="0.25">
      <c r="A7" s="4" t="s">
        <v>23</v>
      </c>
      <c r="B7" s="5">
        <v>240</v>
      </c>
      <c r="C7" s="5">
        <v>235</v>
      </c>
      <c r="D7" s="5">
        <v>43</v>
      </c>
      <c r="E7" s="5">
        <v>11086</v>
      </c>
      <c r="F7" s="5">
        <v>5</v>
      </c>
      <c r="G7" s="5">
        <v>2.1</v>
      </c>
      <c r="H7" s="5">
        <v>472</v>
      </c>
      <c r="I7" s="6">
        <f>'Shafan 02'!K7</f>
        <v>202</v>
      </c>
      <c r="J7" s="6">
        <f t="shared" si="0"/>
        <v>38</v>
      </c>
      <c r="K7" s="7">
        <f>'Shafan 02'!K9</f>
        <v>3.6154000000000002</v>
      </c>
      <c r="L7" s="6">
        <f>'Shafan 02'!K10</f>
        <v>41.607208088495923</v>
      </c>
      <c r="M7" s="8">
        <f t="shared" si="1"/>
        <v>-3.2390509569862225E-2</v>
      </c>
      <c r="N7" s="7">
        <f>'Shafan 02'!K13</f>
        <v>4.5053000000000001</v>
      </c>
      <c r="O7" s="6">
        <f>'Shafan 02'!K14</f>
        <v>61.945173300029097</v>
      </c>
      <c r="P7" s="9">
        <v>239.84</v>
      </c>
      <c r="Q7" s="7">
        <f t="shared" si="2"/>
        <v>4.8400000000000034</v>
      </c>
      <c r="R7" s="10">
        <v>10556</v>
      </c>
      <c r="S7" s="10">
        <v>11086</v>
      </c>
    </row>
    <row r="8" spans="1:19" x14ac:dyDescent="0.25">
      <c r="A8" s="4" t="s">
        <v>24</v>
      </c>
      <c r="B8" s="5">
        <v>173</v>
      </c>
      <c r="C8" s="5">
        <v>168</v>
      </c>
      <c r="D8" s="5">
        <v>15</v>
      </c>
      <c r="E8" s="5">
        <v>15764</v>
      </c>
      <c r="F8" s="5">
        <v>5</v>
      </c>
      <c r="G8" s="5">
        <v>2.1</v>
      </c>
      <c r="H8" s="5">
        <v>671</v>
      </c>
      <c r="I8" s="6">
        <f>'Shafan 08'!K7</f>
        <v>153</v>
      </c>
      <c r="J8" s="6">
        <f t="shared" si="0"/>
        <v>20</v>
      </c>
      <c r="K8" s="7">
        <f>'Shafan 08'!K9</f>
        <v>2.9430000000000001</v>
      </c>
      <c r="L8" s="6">
        <f>'Shafan 08'!K10</f>
        <v>13.708940982367986</v>
      </c>
      <c r="M8" s="8">
        <f t="shared" si="1"/>
        <v>-8.6070601175467609E-2</v>
      </c>
      <c r="N8" s="7">
        <f>'Shafan 08'!K13</f>
        <v>5.1577000000000002</v>
      </c>
      <c r="O8" s="6">
        <f>'Shafan 08'!K14</f>
        <v>33.842287906585476</v>
      </c>
      <c r="P8" s="9">
        <v>172.7</v>
      </c>
      <c r="Q8" s="7">
        <f t="shared" si="2"/>
        <v>4.6999999999999886</v>
      </c>
      <c r="R8" s="10">
        <v>14380</v>
      </c>
      <c r="S8" s="10">
        <v>14778</v>
      </c>
    </row>
    <row r="9" spans="1:19" x14ac:dyDescent="0.25">
      <c r="A9" s="4" t="s">
        <v>25</v>
      </c>
      <c r="B9" s="5">
        <v>242</v>
      </c>
      <c r="C9" s="5">
        <v>237</v>
      </c>
      <c r="D9" s="5">
        <v>45</v>
      </c>
      <c r="E9" s="5">
        <v>11254</v>
      </c>
      <c r="F9" s="5">
        <v>5</v>
      </c>
      <c r="G9" s="5">
        <v>2.1</v>
      </c>
      <c r="H9" s="5">
        <v>479</v>
      </c>
      <c r="I9" s="6">
        <f>'Sarami 03'!K7</f>
        <v>196.5</v>
      </c>
      <c r="J9" s="6">
        <f t="shared" si="0"/>
        <v>45.5</v>
      </c>
      <c r="K9" s="7">
        <f>'Sarami 03'!K9</f>
        <v>3.6392000000000002</v>
      </c>
      <c r="L9" s="6">
        <f>'Sarami 03'!K10</f>
        <v>42.701356317329441</v>
      </c>
      <c r="M9" s="8">
        <f t="shared" si="1"/>
        <v>-5.1080970726012365E-2</v>
      </c>
      <c r="N9" s="7">
        <f>'Sarami 03'!K13</f>
        <v>4.4283999999999999</v>
      </c>
      <c r="O9" s="6">
        <f>'Sarami 03'!K14</f>
        <v>62.955780042730268</v>
      </c>
      <c r="P9" s="9">
        <v>241.84</v>
      </c>
      <c r="Q9" s="7">
        <f t="shared" si="2"/>
        <v>4.8400000000000034</v>
      </c>
      <c r="R9" s="10">
        <v>10732</v>
      </c>
      <c r="S9" s="10">
        <v>11254</v>
      </c>
    </row>
    <row r="10" spans="1:19" x14ac:dyDescent="0.25">
      <c r="A10" s="4" t="s">
        <v>26</v>
      </c>
      <c r="B10" s="5">
        <v>189</v>
      </c>
      <c r="C10" s="5">
        <v>184</v>
      </c>
      <c r="D10" s="5">
        <v>15</v>
      </c>
      <c r="E10" s="5">
        <v>3888</v>
      </c>
      <c r="F10" s="5">
        <v>5</v>
      </c>
      <c r="G10" s="5">
        <v>2.1</v>
      </c>
      <c r="H10" s="5">
        <v>166</v>
      </c>
      <c r="I10" s="6">
        <f>'Sarami 05'!K7</f>
        <v>163</v>
      </c>
      <c r="J10" s="6">
        <f t="shared" si="0"/>
        <v>26</v>
      </c>
      <c r="K10" s="7">
        <f>'Sarami 05'!K9</f>
        <v>1.722</v>
      </c>
      <c r="L10" s="6">
        <f>'Sarami 05'!K10</f>
        <v>14.523170697794248</v>
      </c>
      <c r="M10" s="8">
        <f t="shared" si="1"/>
        <v>-3.1788620147050195E-2</v>
      </c>
      <c r="N10" s="7">
        <f>'Sarami 05'!K13</f>
        <v>2.2069000000000001</v>
      </c>
      <c r="O10" s="6">
        <f>'Sarami 05'!K14</f>
        <v>24.341194805757446</v>
      </c>
      <c r="P10" s="9">
        <v>188.69</v>
      </c>
      <c r="Q10" s="7">
        <f t="shared" si="2"/>
        <v>4.6899999999999977</v>
      </c>
      <c r="R10" s="10">
        <v>3540</v>
      </c>
      <c r="S10" s="10">
        <v>3888</v>
      </c>
    </row>
    <row r="11" spans="1:19" x14ac:dyDescent="0.25">
      <c r="A11" s="4" t="s">
        <v>27</v>
      </c>
      <c r="B11" s="5">
        <v>127</v>
      </c>
      <c r="C11" s="5">
        <v>122</v>
      </c>
      <c r="D11" s="5">
        <v>24</v>
      </c>
      <c r="E11" s="5">
        <v>7393</v>
      </c>
      <c r="F11" s="5">
        <v>5</v>
      </c>
      <c r="G11" s="5">
        <v>2.1</v>
      </c>
      <c r="H11" s="5">
        <v>315</v>
      </c>
      <c r="I11" s="6">
        <f>'Sakhin 04'!K7</f>
        <v>102</v>
      </c>
      <c r="J11" s="6">
        <f t="shared" si="0"/>
        <v>25</v>
      </c>
      <c r="K11" s="7">
        <f>'Sakhin 04'!K9</f>
        <v>2.8917000000000002</v>
      </c>
      <c r="L11" s="6">
        <f>'Sakhin 04'!K10</f>
        <v>22.605756105211324</v>
      </c>
      <c r="M11" s="8">
        <f t="shared" si="1"/>
        <v>-5.8093495616194812E-2</v>
      </c>
      <c r="N11" s="7">
        <f>'Sakhin 04'!K13</f>
        <v>4.1246</v>
      </c>
      <c r="O11" s="6">
        <f>'Sakhin 04'!K14</f>
        <v>40.060515758519159</v>
      </c>
      <c r="P11" s="9">
        <v>126.78</v>
      </c>
      <c r="Q11" s="7">
        <f t="shared" si="2"/>
        <v>4.7800000000000011</v>
      </c>
      <c r="R11" s="10">
        <v>6919</v>
      </c>
      <c r="S11" s="10">
        <v>7393</v>
      </c>
    </row>
    <row r="12" spans="1:19" x14ac:dyDescent="0.25">
      <c r="A12" s="4" t="s">
        <v>28</v>
      </c>
      <c r="B12" s="5">
        <v>144</v>
      </c>
      <c r="C12" s="5">
        <v>139</v>
      </c>
      <c r="D12" s="5">
        <v>8</v>
      </c>
      <c r="E12" s="5">
        <v>4912</v>
      </c>
      <c r="F12" s="5">
        <v>5</v>
      </c>
      <c r="G12" s="5">
        <v>2.1</v>
      </c>
      <c r="H12" s="5">
        <v>209</v>
      </c>
      <c r="I12" s="6">
        <f>'Sakhin 08'!K7</f>
        <v>126.5</v>
      </c>
      <c r="J12" s="6">
        <f t="shared" si="0"/>
        <v>17.5</v>
      </c>
      <c r="K12" s="7">
        <f>'Sakhin 08'!K9</f>
        <v>1.712</v>
      </c>
      <c r="L12" s="6">
        <f>'Sakhin 08'!K10</f>
        <v>7.462231981911426</v>
      </c>
      <c r="M12" s="8">
        <f t="shared" si="1"/>
        <v>-6.7221002261071749E-2</v>
      </c>
      <c r="N12" s="7">
        <f>'Sakhin 08'!K13</f>
        <v>3.0564</v>
      </c>
      <c r="O12" s="6">
        <f>'Sakhin 08'!K14</f>
        <v>19.319114311005734</v>
      </c>
      <c r="P12" s="9">
        <v>143.84</v>
      </c>
      <c r="Q12" s="7">
        <f t="shared" si="2"/>
        <v>4.8400000000000034</v>
      </c>
      <c r="R12" s="10">
        <v>4681</v>
      </c>
      <c r="S12" s="10">
        <v>4912</v>
      </c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11" t="s">
        <v>29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11" t="s">
        <v>30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11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11" t="s">
        <v>32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3"/>
  <sheetViews>
    <sheetView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5" width="14" customWidth="1"/>
    <col min="6" max="6" width="16" customWidth="1"/>
    <col min="7" max="8" width="14" customWidth="1"/>
    <col min="10" max="10" width="27" customWidth="1"/>
    <col min="11" max="11" width="12" customWidth="1"/>
  </cols>
  <sheetData>
    <row r="1" spans="1:16" ht="15.75" x14ac:dyDescent="0.25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9.950000000000003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</row>
    <row r="3" spans="1:16" ht="42" customHeigh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2"/>
      <c r="J3" s="2"/>
      <c r="K3" s="2"/>
      <c r="L3" s="2"/>
      <c r="M3" s="11" t="s">
        <v>43</v>
      </c>
      <c r="N3" s="2"/>
      <c r="O3" s="2"/>
      <c r="P3" s="2"/>
    </row>
    <row r="4" spans="1:16" x14ac:dyDescent="0.25">
      <c r="A4" s="12">
        <v>129.5</v>
      </c>
      <c r="B4" s="13">
        <v>1E-4</v>
      </c>
      <c r="C4" s="14">
        <f t="shared" ref="C4:C43" si="0">B4*1000000</f>
        <v>100</v>
      </c>
      <c r="D4" s="15">
        <v>0</v>
      </c>
      <c r="E4" s="16">
        <v>0</v>
      </c>
      <c r="F4" s="17">
        <v>0</v>
      </c>
      <c r="G4" s="18">
        <f t="shared" ref="G4:G43" si="1">A4-$K$5</f>
        <v>-14.5</v>
      </c>
      <c r="H4" s="18">
        <f t="shared" ref="H4:H43" si="2">A4-$K$6</f>
        <v>-19.5</v>
      </c>
      <c r="I4" s="2"/>
      <c r="J4" s="4" t="s">
        <v>44</v>
      </c>
      <c r="K4" s="19" t="str">
        <f>"Hawasinah 02"</f>
        <v>Hawasinah 02</v>
      </c>
      <c r="L4" s="2"/>
      <c r="M4" s="11" t="s">
        <v>45</v>
      </c>
      <c r="N4" s="11" t="s">
        <v>46</v>
      </c>
      <c r="O4" s="11" t="s">
        <v>47</v>
      </c>
      <c r="P4" s="11" t="s">
        <v>48</v>
      </c>
    </row>
    <row r="5" spans="1:16" x14ac:dyDescent="0.25">
      <c r="A5" s="12">
        <v>130</v>
      </c>
      <c r="B5" s="13">
        <v>8.9999999999999998E-4</v>
      </c>
      <c r="C5" s="14">
        <f t="shared" si="0"/>
        <v>900</v>
      </c>
      <c r="D5" s="15">
        <f t="shared" ref="D5:D43" si="3">(A5-A4)/3*(C4+C5+SQRT(C4*C5))/1000000</f>
        <v>2.1666666666666666E-4</v>
      </c>
      <c r="E5" s="16">
        <f t="shared" ref="E5:E43" si="4">E4+D5</f>
        <v>2.1666666666666666E-4</v>
      </c>
      <c r="F5" s="17">
        <v>2.0000000000000001E-4</v>
      </c>
      <c r="G5" s="18">
        <f t="shared" si="1"/>
        <v>-14</v>
      </c>
      <c r="H5" s="18">
        <f t="shared" si="2"/>
        <v>-19</v>
      </c>
      <c r="I5" s="2"/>
      <c r="J5" s="20" t="s">
        <v>3</v>
      </c>
      <c r="K5" s="21">
        <f>Dams!C4</f>
        <v>144</v>
      </c>
      <c r="L5" s="2"/>
      <c r="M5" s="2">
        <v>0</v>
      </c>
      <c r="N5" s="2">
        <f>K5</f>
        <v>144</v>
      </c>
      <c r="O5" s="2">
        <f>K6</f>
        <v>149</v>
      </c>
      <c r="P5" s="2">
        <v>0</v>
      </c>
    </row>
    <row r="6" spans="1:16" x14ac:dyDescent="0.25">
      <c r="A6" s="12">
        <v>130.5</v>
      </c>
      <c r="B6" s="13">
        <v>2.2000000000000001E-3</v>
      </c>
      <c r="C6" s="14">
        <f t="shared" si="0"/>
        <v>2200</v>
      </c>
      <c r="D6" s="15">
        <f t="shared" si="3"/>
        <v>7.5118745465783813E-4</v>
      </c>
      <c r="E6" s="16">
        <f t="shared" si="4"/>
        <v>9.6785412132450478E-4</v>
      </c>
      <c r="F6" s="17">
        <v>1.1000000000000001E-3</v>
      </c>
      <c r="G6" s="18">
        <f t="shared" si="1"/>
        <v>-13.5</v>
      </c>
      <c r="H6" s="18">
        <f t="shared" si="2"/>
        <v>-18.5</v>
      </c>
      <c r="I6" s="2"/>
      <c r="J6" s="20" t="s">
        <v>49</v>
      </c>
      <c r="K6" s="21">
        <f>Dams!B4</f>
        <v>149</v>
      </c>
      <c r="L6" s="2"/>
      <c r="M6" s="2">
        <f>K15*1.02</f>
        <v>21.480979552111325</v>
      </c>
      <c r="N6" s="2">
        <f>K5</f>
        <v>144</v>
      </c>
      <c r="O6" s="2">
        <f>K6</f>
        <v>149</v>
      </c>
      <c r="P6" s="2">
        <f>K16*1.02</f>
        <v>2.7145260000000002</v>
      </c>
    </row>
    <row r="7" spans="1:16" x14ac:dyDescent="0.25">
      <c r="A7" s="12">
        <v>131</v>
      </c>
      <c r="B7" s="13">
        <v>7.0000000000000001E-3</v>
      </c>
      <c r="C7" s="14">
        <f t="shared" si="0"/>
        <v>7000</v>
      </c>
      <c r="D7" s="15">
        <f t="shared" si="3"/>
        <v>2.1873805623449523E-3</v>
      </c>
      <c r="E7" s="16">
        <f t="shared" si="4"/>
        <v>3.1552346836694572E-3</v>
      </c>
      <c r="F7" s="17">
        <v>3.2000000000000002E-3</v>
      </c>
      <c r="G7" s="18">
        <f t="shared" si="1"/>
        <v>-13</v>
      </c>
      <c r="H7" s="18">
        <f t="shared" si="2"/>
        <v>-18</v>
      </c>
      <c r="I7" s="2"/>
      <c r="J7" s="20" t="s">
        <v>9</v>
      </c>
      <c r="K7" s="21">
        <f>A4</f>
        <v>129.5</v>
      </c>
      <c r="L7" s="2"/>
      <c r="M7" s="11" t="str">
        <f>"FSL "&amp;TEXT(K5,"0.0")&amp;" m"</f>
        <v>FSL 144.0 m</v>
      </c>
      <c r="N7" s="2"/>
      <c r="O7" s="2"/>
      <c r="P7" s="2"/>
    </row>
    <row r="8" spans="1:16" x14ac:dyDescent="0.25">
      <c r="A8" s="12">
        <v>131.5</v>
      </c>
      <c r="B8" s="13">
        <v>2.24E-2</v>
      </c>
      <c r="C8" s="14">
        <f t="shared" si="0"/>
        <v>22400</v>
      </c>
      <c r="D8" s="15">
        <f t="shared" si="3"/>
        <v>6.9869967789998027E-3</v>
      </c>
      <c r="E8" s="16">
        <f t="shared" si="4"/>
        <v>1.014223146266926E-2</v>
      </c>
      <c r="F8" s="17">
        <v>1.03E-2</v>
      </c>
      <c r="G8" s="18">
        <f t="shared" si="1"/>
        <v>-12.5</v>
      </c>
      <c r="H8" s="18">
        <f t="shared" si="2"/>
        <v>-17.5</v>
      </c>
      <c r="I8" s="2"/>
      <c r="J8" s="20" t="s">
        <v>10</v>
      </c>
      <c r="K8" s="21">
        <f>K6-K7</f>
        <v>19.5</v>
      </c>
      <c r="L8" s="2"/>
      <c r="M8" s="11" t="str">
        <f>"Crest "&amp;TEXT(K6,"0.0")&amp;" m"</f>
        <v>Crest 149.0 m</v>
      </c>
      <c r="N8" s="2"/>
      <c r="O8" s="2"/>
      <c r="P8" s="2"/>
    </row>
    <row r="9" spans="1:16" x14ac:dyDescent="0.25">
      <c r="A9" s="12">
        <v>132</v>
      </c>
      <c r="B9" s="13">
        <v>6.0499999999999998E-2</v>
      </c>
      <c r="C9" s="14">
        <f t="shared" si="0"/>
        <v>60500</v>
      </c>
      <c r="D9" s="15">
        <f t="shared" si="3"/>
        <v>1.9952173527916551E-2</v>
      </c>
      <c r="E9" s="16">
        <f t="shared" si="4"/>
        <v>3.0094404990585813E-2</v>
      </c>
      <c r="F9" s="17">
        <v>3.1E-2</v>
      </c>
      <c r="G9" s="18">
        <f t="shared" si="1"/>
        <v>-12</v>
      </c>
      <c r="H9" s="18">
        <f t="shared" si="2"/>
        <v>-17</v>
      </c>
      <c r="I9" s="2"/>
      <c r="J9" s="20" t="s">
        <v>11</v>
      </c>
      <c r="K9" s="19">
        <f>INDEX(B4:B43,MATCH(K5,A4:A43,0))</f>
        <v>1.708</v>
      </c>
      <c r="L9" s="2"/>
      <c r="M9" s="11" t="str">
        <f>"Elevation-volume curve"</f>
        <v>Elevation-volume curve</v>
      </c>
      <c r="N9" s="2"/>
      <c r="O9" s="2"/>
      <c r="P9" s="2"/>
    </row>
    <row r="10" spans="1:16" x14ac:dyDescent="0.25">
      <c r="A10" s="12">
        <v>132.5</v>
      </c>
      <c r="B10" s="13">
        <v>0.1278</v>
      </c>
      <c r="C10" s="14">
        <f t="shared" si="0"/>
        <v>127800</v>
      </c>
      <c r="D10" s="15">
        <f t="shared" si="3"/>
        <v>4.6038537187254987E-2</v>
      </c>
      <c r="E10" s="16">
        <f t="shared" si="4"/>
        <v>7.6132942177840807E-2</v>
      </c>
      <c r="F10" s="17">
        <v>7.9899999999999999E-2</v>
      </c>
      <c r="G10" s="18">
        <f t="shared" si="1"/>
        <v>-11.5</v>
      </c>
      <c r="H10" s="18">
        <f t="shared" si="2"/>
        <v>-16.5</v>
      </c>
      <c r="I10" s="2"/>
      <c r="J10" s="20" t="s">
        <v>12</v>
      </c>
      <c r="K10" s="19">
        <f>INDEX(E4:E43,MATCH(K5,A4:A43,0))</f>
        <v>10.41230437895871</v>
      </c>
      <c r="L10" s="2"/>
      <c r="M10" s="11" t="str">
        <f>"Elevation-area curve"</f>
        <v>Elevation-area curve</v>
      </c>
      <c r="N10" s="2"/>
      <c r="O10" s="2"/>
      <c r="P10" s="2"/>
    </row>
    <row r="11" spans="1:16" x14ac:dyDescent="0.25">
      <c r="A11" s="12">
        <v>133</v>
      </c>
      <c r="B11" s="13">
        <v>0.2114</v>
      </c>
      <c r="C11" s="14">
        <f t="shared" si="0"/>
        <v>211400</v>
      </c>
      <c r="D11" s="15">
        <f t="shared" si="3"/>
        <v>8.3928040851392355E-2</v>
      </c>
      <c r="E11" s="16">
        <f t="shared" si="4"/>
        <v>0.16006098302923316</v>
      </c>
      <c r="F11" s="17">
        <v>0.16650000000000001</v>
      </c>
      <c r="G11" s="18">
        <f t="shared" si="1"/>
        <v>-11</v>
      </c>
      <c r="H11" s="18">
        <f t="shared" si="2"/>
        <v>-16</v>
      </c>
      <c r="I11" s="2"/>
      <c r="J11" s="20" t="s">
        <v>50</v>
      </c>
      <c r="K11" s="19">
        <f>Dams!D4</f>
        <v>11</v>
      </c>
      <c r="L11" s="2"/>
      <c r="M11" s="2"/>
      <c r="N11" s="2"/>
      <c r="O11" s="2"/>
      <c r="P11" s="2"/>
    </row>
    <row r="12" spans="1:16" x14ac:dyDescent="0.25">
      <c r="A12" s="12">
        <v>133.5</v>
      </c>
      <c r="B12" s="13">
        <v>0.2944</v>
      </c>
      <c r="C12" s="14">
        <f t="shared" si="0"/>
        <v>294400</v>
      </c>
      <c r="D12" s="15">
        <f t="shared" si="3"/>
        <v>0.12587862698818011</v>
      </c>
      <c r="E12" s="16">
        <f t="shared" si="4"/>
        <v>0.2859396100174133</v>
      </c>
      <c r="F12" s="17">
        <v>0.29599999999999999</v>
      </c>
      <c r="G12" s="18">
        <f t="shared" si="1"/>
        <v>-10.5</v>
      </c>
      <c r="H12" s="18">
        <f t="shared" si="2"/>
        <v>-15.5</v>
      </c>
      <c r="I12" s="2"/>
      <c r="J12" s="20" t="s">
        <v>51</v>
      </c>
      <c r="K12" s="22">
        <f>K10/K11-1</f>
        <v>-5.3426874640117195E-2</v>
      </c>
      <c r="L12" s="2"/>
      <c r="M12" s="2"/>
      <c r="N12" s="2"/>
      <c r="O12" s="2"/>
      <c r="P12" s="2"/>
    </row>
    <row r="13" spans="1:16" x14ac:dyDescent="0.25">
      <c r="A13" s="12">
        <v>134</v>
      </c>
      <c r="B13" s="13">
        <v>0.3725</v>
      </c>
      <c r="C13" s="14">
        <f t="shared" si="0"/>
        <v>372500</v>
      </c>
      <c r="D13" s="15">
        <f t="shared" si="3"/>
        <v>0.16634259209551785</v>
      </c>
      <c r="E13" s="16">
        <f t="shared" si="4"/>
        <v>0.45228220211293113</v>
      </c>
      <c r="F13" s="17">
        <v>0.4657</v>
      </c>
      <c r="G13" s="18">
        <f t="shared" si="1"/>
        <v>-10</v>
      </c>
      <c r="H13" s="18">
        <f t="shared" si="2"/>
        <v>-15</v>
      </c>
      <c r="I13" s="2"/>
      <c r="J13" s="20" t="s">
        <v>14</v>
      </c>
      <c r="K13" s="19">
        <f>INDEX(B4:B43,MATCH(K6,A4:A43,0))</f>
        <v>2.6613000000000002</v>
      </c>
      <c r="L13" s="2"/>
      <c r="M13" s="2"/>
      <c r="N13" s="2"/>
      <c r="O13" s="2"/>
      <c r="P13" s="2"/>
    </row>
    <row r="14" spans="1:16" x14ac:dyDescent="0.25">
      <c r="A14" s="12">
        <v>134.5</v>
      </c>
      <c r="B14" s="13">
        <v>0.44700000000000001</v>
      </c>
      <c r="C14" s="14">
        <f t="shared" si="0"/>
        <v>447000</v>
      </c>
      <c r="D14" s="15">
        <f t="shared" si="3"/>
        <v>0.20459221755689144</v>
      </c>
      <c r="E14" s="16">
        <f t="shared" si="4"/>
        <v>0.65687441966982263</v>
      </c>
      <c r="F14" s="17">
        <v>0.67220000000000002</v>
      </c>
      <c r="G14" s="18">
        <f t="shared" si="1"/>
        <v>-9.5</v>
      </c>
      <c r="H14" s="18">
        <f t="shared" si="2"/>
        <v>-14.5</v>
      </c>
      <c r="I14" s="2"/>
      <c r="J14" s="20" t="s">
        <v>15</v>
      </c>
      <c r="K14" s="19">
        <f>INDEX(E4:E43,MATCH(K6,A4:A43,0))</f>
        <v>21.059783874618947</v>
      </c>
      <c r="L14" s="2"/>
      <c r="M14" s="2"/>
      <c r="N14" s="2"/>
      <c r="O14" s="2"/>
      <c r="P14" s="2"/>
    </row>
    <row r="15" spans="1:16" x14ac:dyDescent="0.25">
      <c r="A15" s="12">
        <v>135</v>
      </c>
      <c r="B15" s="13">
        <v>0.5091</v>
      </c>
      <c r="C15" s="14">
        <f t="shared" si="0"/>
        <v>509100</v>
      </c>
      <c r="D15" s="15">
        <f t="shared" si="3"/>
        <v>0.23885676071882189</v>
      </c>
      <c r="E15" s="16">
        <f t="shared" si="4"/>
        <v>0.89573118038864452</v>
      </c>
      <c r="F15" s="17">
        <v>0.91290000000000004</v>
      </c>
      <c r="G15" s="18">
        <f t="shared" si="1"/>
        <v>-9</v>
      </c>
      <c r="H15" s="18">
        <f t="shared" si="2"/>
        <v>-14</v>
      </c>
      <c r="I15" s="2"/>
      <c r="J15" s="20" t="s">
        <v>52</v>
      </c>
      <c r="K15" s="19">
        <f>MAX(E4:E43)</f>
        <v>21.059783874618947</v>
      </c>
      <c r="L15" s="2"/>
      <c r="M15" s="2"/>
      <c r="N15" s="2"/>
      <c r="O15" s="2"/>
      <c r="P15" s="2"/>
    </row>
    <row r="16" spans="1:16" x14ac:dyDescent="0.25">
      <c r="A16" s="12">
        <v>135.5</v>
      </c>
      <c r="B16" s="13">
        <v>0.56850000000000001</v>
      </c>
      <c r="C16" s="14">
        <f t="shared" si="0"/>
        <v>568500</v>
      </c>
      <c r="D16" s="15">
        <f t="shared" si="3"/>
        <v>0.26926346803464607</v>
      </c>
      <c r="E16" s="16">
        <f t="shared" si="4"/>
        <v>1.1649946484232907</v>
      </c>
      <c r="F16" s="17">
        <v>1.1842999999999999</v>
      </c>
      <c r="G16" s="18">
        <f t="shared" si="1"/>
        <v>-8.5</v>
      </c>
      <c r="H16" s="18">
        <f t="shared" si="2"/>
        <v>-13.5</v>
      </c>
      <c r="I16" s="2"/>
      <c r="J16" s="20" t="s">
        <v>53</v>
      </c>
      <c r="K16" s="19">
        <f>MAX(B4:B43)</f>
        <v>2.6613000000000002</v>
      </c>
      <c r="L16" s="2"/>
      <c r="M16" s="2"/>
      <c r="N16" s="2"/>
      <c r="O16" s="2"/>
      <c r="P16" s="2"/>
    </row>
    <row r="17" spans="1:16" x14ac:dyDescent="0.25">
      <c r="A17" s="12">
        <v>136</v>
      </c>
      <c r="B17" s="13">
        <v>0.62170000000000003</v>
      </c>
      <c r="C17" s="14">
        <f t="shared" si="0"/>
        <v>621700</v>
      </c>
      <c r="D17" s="15">
        <f t="shared" si="3"/>
        <v>0.29745086907384488</v>
      </c>
      <c r="E17" s="16">
        <f t="shared" si="4"/>
        <v>1.4624455174971356</v>
      </c>
      <c r="F17" s="17">
        <v>1.4831000000000001</v>
      </c>
      <c r="G17" s="18">
        <f t="shared" si="1"/>
        <v>-8</v>
      </c>
      <c r="H17" s="18">
        <f t="shared" si="2"/>
        <v>-13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2">
        <v>136.5</v>
      </c>
      <c r="B18" s="13">
        <v>0.66690000000000005</v>
      </c>
      <c r="C18" s="14">
        <f t="shared" si="0"/>
        <v>666900</v>
      </c>
      <c r="D18" s="15">
        <f t="shared" si="3"/>
        <v>0.32208391830870231</v>
      </c>
      <c r="E18" s="16">
        <f t="shared" si="4"/>
        <v>1.7845294358058379</v>
      </c>
      <c r="F18" s="17">
        <v>1.8052999999999999</v>
      </c>
      <c r="G18" s="18">
        <f t="shared" si="1"/>
        <v>-7.5</v>
      </c>
      <c r="H18" s="18">
        <f t="shared" si="2"/>
        <v>-12.5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2">
        <v>137</v>
      </c>
      <c r="B19" s="13">
        <v>0.71889999999999998</v>
      </c>
      <c r="C19" s="14">
        <f t="shared" si="0"/>
        <v>718900</v>
      </c>
      <c r="D19" s="15">
        <f t="shared" si="3"/>
        <v>0.34636867054874831</v>
      </c>
      <c r="E19" s="16">
        <f t="shared" si="4"/>
        <v>2.1308981063545862</v>
      </c>
      <c r="F19" s="17">
        <v>2.1533000000000002</v>
      </c>
      <c r="G19" s="18">
        <f t="shared" si="1"/>
        <v>-7</v>
      </c>
      <c r="H19" s="18">
        <f t="shared" si="2"/>
        <v>-12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2">
        <v>137.5</v>
      </c>
      <c r="B20" s="13">
        <v>0.77510000000000001</v>
      </c>
      <c r="C20" s="14">
        <f t="shared" si="0"/>
        <v>775100</v>
      </c>
      <c r="D20" s="15">
        <f t="shared" si="3"/>
        <v>0.37341188202454334</v>
      </c>
      <c r="E20" s="16">
        <f t="shared" si="4"/>
        <v>2.5043099883791298</v>
      </c>
      <c r="F20" s="17">
        <v>2.5276999999999998</v>
      </c>
      <c r="G20" s="18">
        <f t="shared" si="1"/>
        <v>-6.5</v>
      </c>
      <c r="H20" s="18">
        <f t="shared" si="2"/>
        <v>-11.5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2">
        <v>138</v>
      </c>
      <c r="B21" s="13">
        <v>0.84179999999999999</v>
      </c>
      <c r="C21" s="14">
        <f t="shared" si="0"/>
        <v>841800</v>
      </c>
      <c r="D21" s="15">
        <f t="shared" si="3"/>
        <v>0.40411030561848382</v>
      </c>
      <c r="E21" s="16">
        <f t="shared" si="4"/>
        <v>2.9084202939976134</v>
      </c>
      <c r="F21" s="17">
        <v>2.9331999999999998</v>
      </c>
      <c r="G21" s="18">
        <f t="shared" si="1"/>
        <v>-6</v>
      </c>
      <c r="H21" s="18">
        <f t="shared" si="2"/>
        <v>-11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2">
        <v>138.5</v>
      </c>
      <c r="B22" s="13">
        <v>0.90739999999999998</v>
      </c>
      <c r="C22" s="14">
        <f t="shared" si="0"/>
        <v>907400</v>
      </c>
      <c r="D22" s="15">
        <f t="shared" si="3"/>
        <v>0.43719745611813804</v>
      </c>
      <c r="E22" s="16">
        <f t="shared" si="4"/>
        <v>3.3456177501157516</v>
      </c>
      <c r="F22" s="17">
        <v>3.3708999999999998</v>
      </c>
      <c r="G22" s="18">
        <f t="shared" si="1"/>
        <v>-5.5</v>
      </c>
      <c r="H22" s="18">
        <f t="shared" si="2"/>
        <v>-10.5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2">
        <v>139</v>
      </c>
      <c r="B23" s="13">
        <v>0.97570000000000001</v>
      </c>
      <c r="C23" s="14">
        <f t="shared" si="0"/>
        <v>975700</v>
      </c>
      <c r="D23" s="15">
        <f t="shared" si="3"/>
        <v>0.47067174771234871</v>
      </c>
      <c r="E23" s="16">
        <f t="shared" si="4"/>
        <v>3.8162894978281003</v>
      </c>
      <c r="F23" s="17">
        <v>3.8439000000000001</v>
      </c>
      <c r="G23" s="18">
        <f t="shared" si="1"/>
        <v>-5</v>
      </c>
      <c r="H23" s="18">
        <f t="shared" si="2"/>
        <v>-10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2">
        <v>139.5</v>
      </c>
      <c r="B24" s="13">
        <v>1.0331999999999999</v>
      </c>
      <c r="C24" s="14">
        <f t="shared" si="0"/>
        <v>1033199.9999999999</v>
      </c>
      <c r="D24" s="15">
        <f t="shared" si="3"/>
        <v>0.50215641089976859</v>
      </c>
      <c r="E24" s="16">
        <f t="shared" si="4"/>
        <v>4.3184459087278686</v>
      </c>
      <c r="F24" s="17">
        <v>4.3470000000000004</v>
      </c>
      <c r="G24" s="18">
        <f t="shared" si="1"/>
        <v>-4.5</v>
      </c>
      <c r="H24" s="18">
        <f t="shared" si="2"/>
        <v>-9.5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2">
        <v>140</v>
      </c>
      <c r="B25" s="13">
        <v>1.0963000000000001</v>
      </c>
      <c r="C25" s="14">
        <f t="shared" si="0"/>
        <v>1096300</v>
      </c>
      <c r="D25" s="15">
        <f t="shared" si="3"/>
        <v>0.5322970770845028</v>
      </c>
      <c r="E25" s="16">
        <f t="shared" si="4"/>
        <v>4.8507429858123716</v>
      </c>
      <c r="F25" s="17">
        <v>4.8819999999999997</v>
      </c>
      <c r="G25" s="18">
        <f t="shared" si="1"/>
        <v>-4</v>
      </c>
      <c r="H25" s="18">
        <f t="shared" si="2"/>
        <v>-9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2">
        <v>140.5</v>
      </c>
      <c r="B26" s="13">
        <v>1.1563000000000001</v>
      </c>
      <c r="C26" s="14">
        <f t="shared" si="0"/>
        <v>1156300</v>
      </c>
      <c r="D26" s="15">
        <f t="shared" si="3"/>
        <v>0.56308339846640076</v>
      </c>
      <c r="E26" s="16">
        <f t="shared" si="4"/>
        <v>5.4138263842787726</v>
      </c>
      <c r="F26" s="17">
        <v>5.4455</v>
      </c>
      <c r="G26" s="18">
        <f t="shared" si="1"/>
        <v>-3.5</v>
      </c>
      <c r="H26" s="18">
        <f t="shared" si="2"/>
        <v>-8.5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12">
        <v>141</v>
      </c>
      <c r="B27" s="13">
        <v>1.2266999999999999</v>
      </c>
      <c r="C27" s="14">
        <f t="shared" si="0"/>
        <v>1226700</v>
      </c>
      <c r="D27" s="15">
        <f t="shared" si="3"/>
        <v>0.59566332280978651</v>
      </c>
      <c r="E27" s="16">
        <f t="shared" si="4"/>
        <v>6.0094897070885587</v>
      </c>
      <c r="F27" s="17">
        <v>6.0431999999999997</v>
      </c>
      <c r="G27" s="18">
        <f t="shared" si="1"/>
        <v>-3</v>
      </c>
      <c r="H27" s="18">
        <f t="shared" si="2"/>
        <v>-8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12">
        <v>141.5</v>
      </c>
      <c r="B28" s="13">
        <v>1.2994000000000001</v>
      </c>
      <c r="C28" s="14">
        <f t="shared" si="0"/>
        <v>1299400</v>
      </c>
      <c r="D28" s="15">
        <f t="shared" si="3"/>
        <v>0.63143780391290438</v>
      </c>
      <c r="E28" s="16">
        <f t="shared" si="4"/>
        <v>6.6409275110014629</v>
      </c>
      <c r="F28" s="17">
        <v>6.6765999999999996</v>
      </c>
      <c r="G28" s="18">
        <f t="shared" si="1"/>
        <v>-2.5</v>
      </c>
      <c r="H28" s="18">
        <f t="shared" si="2"/>
        <v>-7.5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2">
        <v>142</v>
      </c>
      <c r="B29" s="13">
        <v>1.3764000000000001</v>
      </c>
      <c r="C29" s="14">
        <f t="shared" si="0"/>
        <v>1376400</v>
      </c>
      <c r="D29" s="15">
        <f t="shared" si="3"/>
        <v>0.66885765646511797</v>
      </c>
      <c r="E29" s="16">
        <f t="shared" si="4"/>
        <v>7.3097851674665808</v>
      </c>
      <c r="F29" s="17">
        <v>7.3503999999999996</v>
      </c>
      <c r="G29" s="18">
        <f t="shared" si="1"/>
        <v>-2</v>
      </c>
      <c r="H29" s="18">
        <f t="shared" si="2"/>
        <v>-7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12">
        <v>142.5</v>
      </c>
      <c r="B30" s="13">
        <v>1.4678</v>
      </c>
      <c r="C30" s="14">
        <f t="shared" si="0"/>
        <v>1467800</v>
      </c>
      <c r="D30" s="15">
        <f t="shared" si="3"/>
        <v>0.71092758540937395</v>
      </c>
      <c r="E30" s="16">
        <f t="shared" si="4"/>
        <v>8.020712752875955</v>
      </c>
      <c r="F30" s="17">
        <v>8.0630000000000006</v>
      </c>
      <c r="G30" s="18">
        <f t="shared" si="1"/>
        <v>-1.5</v>
      </c>
      <c r="H30" s="18">
        <f t="shared" si="2"/>
        <v>-6.5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2">
        <v>143</v>
      </c>
      <c r="B31" s="13">
        <v>1.5626</v>
      </c>
      <c r="C31" s="14">
        <f t="shared" si="0"/>
        <v>1562600</v>
      </c>
      <c r="D31" s="15">
        <f t="shared" si="3"/>
        <v>0.75747640190769183</v>
      </c>
      <c r="E31" s="16">
        <f t="shared" si="4"/>
        <v>8.7781891547836466</v>
      </c>
      <c r="F31" s="17">
        <v>8.8249999999999993</v>
      </c>
      <c r="G31" s="18">
        <f t="shared" si="1"/>
        <v>-1</v>
      </c>
      <c r="H31" s="18">
        <f t="shared" si="2"/>
        <v>-6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12">
        <v>143.5</v>
      </c>
      <c r="B32" s="13">
        <v>1.6332</v>
      </c>
      <c r="C32" s="14">
        <f t="shared" si="0"/>
        <v>1633200</v>
      </c>
      <c r="D32" s="15">
        <f t="shared" si="3"/>
        <v>0.79888500625452519</v>
      </c>
      <c r="E32" s="16">
        <f t="shared" si="4"/>
        <v>9.5770741610381727</v>
      </c>
      <c r="F32" s="17">
        <v>9.6256000000000004</v>
      </c>
      <c r="G32" s="18">
        <f t="shared" si="1"/>
        <v>-0.5</v>
      </c>
      <c r="H32" s="18">
        <f t="shared" si="2"/>
        <v>-5.5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12">
        <v>144</v>
      </c>
      <c r="B33" s="13">
        <v>1.708</v>
      </c>
      <c r="C33" s="14">
        <f t="shared" si="0"/>
        <v>1708000</v>
      </c>
      <c r="D33" s="15">
        <f t="shared" si="3"/>
        <v>0.83523021792053809</v>
      </c>
      <c r="E33" s="16">
        <f t="shared" si="4"/>
        <v>10.41230437895871</v>
      </c>
      <c r="F33" s="17">
        <v>10.4627</v>
      </c>
      <c r="G33" s="18">
        <f t="shared" si="1"/>
        <v>0</v>
      </c>
      <c r="H33" s="18">
        <f t="shared" si="2"/>
        <v>-5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2">
        <v>144.5</v>
      </c>
      <c r="B34" s="13">
        <v>1.7811999999999999</v>
      </c>
      <c r="C34" s="14">
        <f t="shared" si="0"/>
        <v>1781200</v>
      </c>
      <c r="D34" s="15">
        <f t="shared" si="3"/>
        <v>0.87223600694409398</v>
      </c>
      <c r="E34" s="16">
        <f t="shared" si="4"/>
        <v>11.284540385902805</v>
      </c>
      <c r="F34" s="17">
        <v>11.335699999999999</v>
      </c>
      <c r="G34" s="18">
        <f t="shared" si="1"/>
        <v>0.5</v>
      </c>
      <c r="H34" s="18">
        <f t="shared" si="2"/>
        <v>-4.5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2">
        <v>145</v>
      </c>
      <c r="B35" s="13">
        <v>1.8516999999999999</v>
      </c>
      <c r="C35" s="14">
        <f t="shared" si="0"/>
        <v>1851700</v>
      </c>
      <c r="D35" s="15">
        <f t="shared" si="3"/>
        <v>0.90816798955348432</v>
      </c>
      <c r="E35" s="16">
        <f t="shared" si="4"/>
        <v>12.19270837545629</v>
      </c>
      <c r="F35" s="17">
        <v>12.2455</v>
      </c>
      <c r="G35" s="18">
        <f t="shared" si="1"/>
        <v>1</v>
      </c>
      <c r="H35" s="18">
        <f t="shared" si="2"/>
        <v>-4</v>
      </c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2">
        <v>145.5</v>
      </c>
      <c r="B36" s="13">
        <v>1.9321999999999999</v>
      </c>
      <c r="C36" s="14">
        <f t="shared" si="0"/>
        <v>1932200</v>
      </c>
      <c r="D36" s="15">
        <f t="shared" si="3"/>
        <v>0.94590363421995449</v>
      </c>
      <c r="E36" s="16">
        <f t="shared" si="4"/>
        <v>13.138612009676244</v>
      </c>
      <c r="F36" s="17">
        <v>13.192500000000001</v>
      </c>
      <c r="G36" s="18">
        <f t="shared" si="1"/>
        <v>1.5</v>
      </c>
      <c r="H36" s="18">
        <f t="shared" si="2"/>
        <v>-3.5</v>
      </c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12">
        <v>146</v>
      </c>
      <c r="B37" s="13">
        <v>2.0165999999999999</v>
      </c>
      <c r="C37" s="14">
        <f t="shared" si="0"/>
        <v>2016600</v>
      </c>
      <c r="D37" s="15">
        <f t="shared" si="3"/>
        <v>0.98712482765094212</v>
      </c>
      <c r="E37" s="16">
        <f t="shared" si="4"/>
        <v>14.125736837327185</v>
      </c>
      <c r="F37" s="17">
        <v>14.181900000000001</v>
      </c>
      <c r="G37" s="18">
        <f t="shared" si="1"/>
        <v>2</v>
      </c>
      <c r="H37" s="18">
        <f t="shared" si="2"/>
        <v>-3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12">
        <v>146.5</v>
      </c>
      <c r="B38" s="13">
        <v>2.1031</v>
      </c>
      <c r="C38" s="14">
        <f t="shared" si="0"/>
        <v>2103100</v>
      </c>
      <c r="D38" s="15">
        <f t="shared" si="3"/>
        <v>1.0298493161431794</v>
      </c>
      <c r="E38" s="16">
        <f t="shared" si="4"/>
        <v>15.155586153470365</v>
      </c>
      <c r="F38" s="17">
        <v>15.212300000000001</v>
      </c>
      <c r="G38" s="18">
        <f t="shared" si="1"/>
        <v>2.5</v>
      </c>
      <c r="H38" s="18">
        <f t="shared" si="2"/>
        <v>-2.5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2">
        <v>147</v>
      </c>
      <c r="B39" s="13">
        <v>2.1976</v>
      </c>
      <c r="C39" s="14">
        <f t="shared" si="0"/>
        <v>2197600</v>
      </c>
      <c r="D39" s="15">
        <f t="shared" si="3"/>
        <v>1.0750884702084709</v>
      </c>
      <c r="E39" s="16">
        <f t="shared" si="4"/>
        <v>16.230674623678837</v>
      </c>
      <c r="F39" s="17">
        <v>16.29</v>
      </c>
      <c r="G39" s="18">
        <f t="shared" si="1"/>
        <v>3</v>
      </c>
      <c r="H39" s="18">
        <f t="shared" si="2"/>
        <v>-2</v>
      </c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12">
        <v>147.5</v>
      </c>
      <c r="B40" s="13">
        <v>2.2955000000000001</v>
      </c>
      <c r="C40" s="14">
        <f t="shared" si="0"/>
        <v>2295500</v>
      </c>
      <c r="D40" s="15">
        <f t="shared" si="3"/>
        <v>1.1231861086272898</v>
      </c>
      <c r="E40" s="16">
        <f t="shared" si="4"/>
        <v>17.353860732306128</v>
      </c>
      <c r="F40" s="17">
        <v>17.414200000000001</v>
      </c>
      <c r="G40" s="18">
        <f t="shared" si="1"/>
        <v>3.5</v>
      </c>
      <c r="H40" s="18">
        <f t="shared" si="2"/>
        <v>-1.5</v>
      </c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12">
        <v>148</v>
      </c>
      <c r="B41" s="13">
        <v>2.4085000000000001</v>
      </c>
      <c r="C41" s="14">
        <f t="shared" si="0"/>
        <v>2408500</v>
      </c>
      <c r="D41" s="15">
        <f t="shared" si="3"/>
        <v>1.1758868795824744</v>
      </c>
      <c r="E41" s="16">
        <f t="shared" si="4"/>
        <v>18.529747611888602</v>
      </c>
      <c r="F41" s="17">
        <v>18.5915</v>
      </c>
      <c r="G41" s="18">
        <f t="shared" si="1"/>
        <v>4</v>
      </c>
      <c r="H41" s="18">
        <f t="shared" si="2"/>
        <v>-1</v>
      </c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12">
        <v>148.5</v>
      </c>
      <c r="B42" s="13">
        <v>2.5257000000000001</v>
      </c>
      <c r="C42" s="14">
        <f t="shared" si="0"/>
        <v>2525700</v>
      </c>
      <c r="D42" s="15">
        <f t="shared" si="3"/>
        <v>1.2334339918499426</v>
      </c>
      <c r="E42" s="16">
        <f t="shared" si="4"/>
        <v>19.763181603738545</v>
      </c>
      <c r="F42" s="17">
        <v>19.8263</v>
      </c>
      <c r="G42" s="18">
        <f t="shared" si="1"/>
        <v>4.5</v>
      </c>
      <c r="H42" s="18">
        <f t="shared" si="2"/>
        <v>-0.5</v>
      </c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12">
        <v>149</v>
      </c>
      <c r="B43" s="13">
        <v>2.6613000000000002</v>
      </c>
      <c r="C43" s="14">
        <f t="shared" si="0"/>
        <v>2661300</v>
      </c>
      <c r="D43" s="15">
        <f t="shared" si="3"/>
        <v>1.2966022708804017</v>
      </c>
      <c r="E43" s="16">
        <f t="shared" si="4"/>
        <v>21.059783874618947</v>
      </c>
      <c r="F43" s="17">
        <v>21.125900000000001</v>
      </c>
      <c r="G43" s="18">
        <f t="shared" si="1"/>
        <v>5</v>
      </c>
      <c r="H43" s="18">
        <f t="shared" si="2"/>
        <v>0</v>
      </c>
      <c r="I43" s="2"/>
      <c r="J43" s="2"/>
      <c r="K43" s="2"/>
      <c r="L43" s="2"/>
      <c r="M43" s="2"/>
      <c r="N43" s="2"/>
      <c r="O43" s="2"/>
      <c r="P43" s="2"/>
    </row>
  </sheetData>
  <mergeCells count="1">
    <mergeCell ref="A2:H2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84"/>
  <sheetViews>
    <sheetView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5" width="14" customWidth="1"/>
    <col min="6" max="6" width="16" customWidth="1"/>
    <col min="7" max="8" width="14" customWidth="1"/>
    <col min="10" max="10" width="27" customWidth="1"/>
    <col min="11" max="11" width="12" customWidth="1"/>
  </cols>
  <sheetData>
    <row r="1" spans="1:16" ht="15.75" x14ac:dyDescent="0.25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9.950000000000003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</row>
    <row r="3" spans="1:16" ht="42" customHeigh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2"/>
      <c r="J3" s="2"/>
      <c r="K3" s="2"/>
      <c r="L3" s="2"/>
      <c r="M3" s="11" t="s">
        <v>43</v>
      </c>
      <c r="N3" s="2"/>
      <c r="O3" s="2"/>
      <c r="P3" s="2"/>
    </row>
    <row r="4" spans="1:16" x14ac:dyDescent="0.25">
      <c r="A4" s="12">
        <v>216</v>
      </c>
      <c r="B4" s="13">
        <v>6.9999999999999999E-4</v>
      </c>
      <c r="C4" s="14">
        <f t="shared" ref="C4:C35" si="0">B4*1000000</f>
        <v>700</v>
      </c>
      <c r="D4" s="15">
        <v>0</v>
      </c>
      <c r="E4" s="16">
        <v>0</v>
      </c>
      <c r="F4" s="17">
        <v>1E-4</v>
      </c>
      <c r="G4" s="18">
        <f t="shared" ref="G4:G35" si="1">A4-$K$5</f>
        <v>-35</v>
      </c>
      <c r="H4" s="18">
        <f t="shared" ref="H4:H35" si="2">A4-$K$6</f>
        <v>-40</v>
      </c>
      <c r="I4" s="2"/>
      <c r="J4" s="4" t="s">
        <v>44</v>
      </c>
      <c r="K4" s="19" t="str">
        <f>"Hawasinah 11"</f>
        <v>Hawasinah 11</v>
      </c>
      <c r="L4" s="2"/>
      <c r="M4" s="11" t="s">
        <v>45</v>
      </c>
      <c r="N4" s="11" t="s">
        <v>46</v>
      </c>
      <c r="O4" s="11" t="s">
        <v>47</v>
      </c>
      <c r="P4" s="11" t="s">
        <v>48</v>
      </c>
    </row>
    <row r="5" spans="1:16" x14ac:dyDescent="0.25">
      <c r="A5" s="12">
        <v>216.5</v>
      </c>
      <c r="B5" s="13">
        <v>3.8E-3</v>
      </c>
      <c r="C5" s="14">
        <f t="shared" si="0"/>
        <v>3800</v>
      </c>
      <c r="D5" s="15">
        <f t="shared" ref="D5:D36" si="3">(A5-A4)/3*(C4+C5+SQRT(C4*C5))/1000000</f>
        <v>1.0218251071716681E-3</v>
      </c>
      <c r="E5" s="16">
        <f t="shared" ref="E5:E36" si="4">E4+D5</f>
        <v>1.0218251071716681E-3</v>
      </c>
      <c r="F5" s="17">
        <v>1.1000000000000001E-3</v>
      </c>
      <c r="G5" s="18">
        <f t="shared" si="1"/>
        <v>-34.5</v>
      </c>
      <c r="H5" s="18">
        <f t="shared" si="2"/>
        <v>-39.5</v>
      </c>
      <c r="I5" s="2"/>
      <c r="J5" s="20" t="s">
        <v>3</v>
      </c>
      <c r="K5" s="21">
        <f>Dams!C5</f>
        <v>251</v>
      </c>
      <c r="L5" s="2"/>
      <c r="M5" s="2">
        <v>0</v>
      </c>
      <c r="N5" s="2">
        <f>K5</f>
        <v>251</v>
      </c>
      <c r="O5" s="2">
        <f>K6</f>
        <v>256</v>
      </c>
      <c r="P5" s="2">
        <v>0</v>
      </c>
    </row>
    <row r="6" spans="1:16" x14ac:dyDescent="0.25">
      <c r="A6" s="12">
        <v>217</v>
      </c>
      <c r="B6" s="13">
        <v>1.1299999999999999E-2</v>
      </c>
      <c r="C6" s="14">
        <f t="shared" si="0"/>
        <v>11300</v>
      </c>
      <c r="D6" s="15">
        <f t="shared" si="3"/>
        <v>3.6088103283603915E-3</v>
      </c>
      <c r="E6" s="16">
        <f t="shared" si="4"/>
        <v>4.6306354355320593E-3</v>
      </c>
      <c r="F6" s="17">
        <v>5.0000000000000001E-3</v>
      </c>
      <c r="G6" s="18">
        <f t="shared" si="1"/>
        <v>-34</v>
      </c>
      <c r="H6" s="18">
        <f t="shared" si="2"/>
        <v>-39</v>
      </c>
      <c r="I6" s="2"/>
      <c r="J6" s="20" t="s">
        <v>49</v>
      </c>
      <c r="K6" s="21">
        <f>Dams!B5</f>
        <v>256</v>
      </c>
      <c r="L6" s="2"/>
      <c r="M6" s="2">
        <f>K15*1.02</f>
        <v>48.642515867758107</v>
      </c>
      <c r="N6" s="2">
        <f>K5</f>
        <v>251</v>
      </c>
      <c r="O6" s="2">
        <f>K6</f>
        <v>256</v>
      </c>
      <c r="P6" s="2">
        <f>K16*1.02</f>
        <v>3.3551880000000001</v>
      </c>
    </row>
    <row r="7" spans="1:16" x14ac:dyDescent="0.25">
      <c r="A7" s="12">
        <v>217.5</v>
      </c>
      <c r="B7" s="13">
        <v>2.1299999999999999E-2</v>
      </c>
      <c r="C7" s="14">
        <f t="shared" si="0"/>
        <v>21300</v>
      </c>
      <c r="D7" s="15">
        <f t="shared" si="3"/>
        <v>8.019031175954032E-3</v>
      </c>
      <c r="E7" s="16">
        <f t="shared" si="4"/>
        <v>1.2649666611486091E-2</v>
      </c>
      <c r="F7" s="17">
        <v>1.35E-2</v>
      </c>
      <c r="G7" s="18">
        <f t="shared" si="1"/>
        <v>-33.5</v>
      </c>
      <c r="H7" s="18">
        <f t="shared" si="2"/>
        <v>-38.5</v>
      </c>
      <c r="I7" s="2"/>
      <c r="J7" s="20" t="s">
        <v>9</v>
      </c>
      <c r="K7" s="21">
        <f>A4</f>
        <v>216</v>
      </c>
      <c r="L7" s="2"/>
      <c r="M7" s="11" t="str">
        <f>"FSL "&amp;TEXT(K5,"0.0")&amp;" m"</f>
        <v>FSL 251.0 m</v>
      </c>
      <c r="N7" s="2"/>
      <c r="O7" s="2"/>
      <c r="P7" s="2"/>
    </row>
    <row r="8" spans="1:16" x14ac:dyDescent="0.25">
      <c r="A8" s="12">
        <v>218</v>
      </c>
      <c r="B8" s="13">
        <v>3.1E-2</v>
      </c>
      <c r="C8" s="14">
        <f t="shared" si="0"/>
        <v>31000</v>
      </c>
      <c r="D8" s="15">
        <f t="shared" si="3"/>
        <v>1.2999383872678134E-2</v>
      </c>
      <c r="E8" s="16">
        <f t="shared" si="4"/>
        <v>2.5649050484164226E-2</v>
      </c>
      <c r="F8" s="17">
        <v>2.6800000000000001E-2</v>
      </c>
      <c r="G8" s="18">
        <f t="shared" si="1"/>
        <v>-33</v>
      </c>
      <c r="H8" s="18">
        <f t="shared" si="2"/>
        <v>-38</v>
      </c>
      <c r="I8" s="2"/>
      <c r="J8" s="20" t="s">
        <v>10</v>
      </c>
      <c r="K8" s="21">
        <f>K6-K7</f>
        <v>40</v>
      </c>
      <c r="L8" s="2"/>
      <c r="M8" s="11" t="str">
        <f>"Crest "&amp;TEXT(K6,"0.0")&amp;" m"</f>
        <v>Crest 256.0 m</v>
      </c>
      <c r="N8" s="2"/>
      <c r="O8" s="2"/>
      <c r="P8" s="2"/>
    </row>
    <row r="9" spans="1:16" x14ac:dyDescent="0.25">
      <c r="A9" s="12">
        <v>218.5</v>
      </c>
      <c r="B9" s="13">
        <v>4.4299999999999999E-2</v>
      </c>
      <c r="C9" s="14">
        <f t="shared" si="0"/>
        <v>44300</v>
      </c>
      <c r="D9" s="15">
        <f t="shared" si="3"/>
        <v>1.8726343758423931E-2</v>
      </c>
      <c r="E9" s="16">
        <f t="shared" si="4"/>
        <v>4.4375394242588156E-2</v>
      </c>
      <c r="F9" s="17">
        <v>4.5900000000000003E-2</v>
      </c>
      <c r="G9" s="18">
        <f t="shared" si="1"/>
        <v>-32.5</v>
      </c>
      <c r="H9" s="18">
        <f t="shared" si="2"/>
        <v>-37.5</v>
      </c>
      <c r="I9" s="2"/>
      <c r="J9" s="20" t="s">
        <v>11</v>
      </c>
      <c r="K9" s="19">
        <f>INDEX(B4:B84,MATCH(K5,A4:A84,0))</f>
        <v>2.5415999999999999</v>
      </c>
      <c r="L9" s="2"/>
      <c r="M9" s="11" t="str">
        <f>"Elevation-volume curve"</f>
        <v>Elevation-volume curve</v>
      </c>
      <c r="N9" s="2"/>
      <c r="O9" s="2"/>
      <c r="P9" s="2"/>
    </row>
    <row r="10" spans="1:16" x14ac:dyDescent="0.25">
      <c r="A10" s="12">
        <v>219</v>
      </c>
      <c r="B10" s="13">
        <v>5.8299999999999998E-2</v>
      </c>
      <c r="C10" s="14">
        <f t="shared" si="0"/>
        <v>58300</v>
      </c>
      <c r="D10" s="15">
        <f t="shared" si="3"/>
        <v>2.557002885997969E-2</v>
      </c>
      <c r="E10" s="16">
        <f t="shared" si="4"/>
        <v>6.994542310256785E-2</v>
      </c>
      <c r="F10" s="17">
        <v>7.2099999999999997E-2</v>
      </c>
      <c r="G10" s="18">
        <f t="shared" si="1"/>
        <v>-32</v>
      </c>
      <c r="H10" s="18">
        <f t="shared" si="2"/>
        <v>-37</v>
      </c>
      <c r="I10" s="2"/>
      <c r="J10" s="20" t="s">
        <v>12</v>
      </c>
      <c r="K10" s="19">
        <f>INDEX(E4:E84,MATCH(K5,A4:A84,0))</f>
        <v>33.172842667697445</v>
      </c>
      <c r="L10" s="2"/>
      <c r="M10" s="11" t="str">
        <f>"Elevation-area curve"</f>
        <v>Elevation-area curve</v>
      </c>
      <c r="N10" s="2"/>
      <c r="O10" s="2"/>
      <c r="P10" s="2"/>
    </row>
    <row r="11" spans="1:16" x14ac:dyDescent="0.25">
      <c r="A11" s="12">
        <v>219.5</v>
      </c>
      <c r="B11" s="13">
        <v>7.3300000000000004E-2</v>
      </c>
      <c r="C11" s="14">
        <f t="shared" si="0"/>
        <v>73300</v>
      </c>
      <c r="D11" s="15">
        <f t="shared" si="3"/>
        <v>3.2828528502662685E-2</v>
      </c>
      <c r="E11" s="16">
        <f t="shared" si="4"/>
        <v>0.10277395160523053</v>
      </c>
      <c r="F11" s="17">
        <v>0.10539999999999999</v>
      </c>
      <c r="G11" s="18">
        <f t="shared" si="1"/>
        <v>-31.5</v>
      </c>
      <c r="H11" s="18">
        <f t="shared" si="2"/>
        <v>-36.5</v>
      </c>
      <c r="I11" s="2"/>
      <c r="J11" s="20" t="s">
        <v>50</v>
      </c>
      <c r="K11" s="19">
        <f>Dams!D5</f>
        <v>34</v>
      </c>
      <c r="L11" s="2"/>
      <c r="M11" s="2"/>
      <c r="N11" s="2"/>
      <c r="O11" s="2"/>
      <c r="P11" s="2"/>
    </row>
    <row r="12" spans="1:16" x14ac:dyDescent="0.25">
      <c r="A12" s="12">
        <v>220</v>
      </c>
      <c r="B12" s="13">
        <v>9.0899999999999995E-2</v>
      </c>
      <c r="C12" s="14">
        <f t="shared" si="0"/>
        <v>90900</v>
      </c>
      <c r="D12" s="15">
        <f t="shared" si="3"/>
        <v>4.0971169597681822E-2</v>
      </c>
      <c r="E12" s="16">
        <f t="shared" si="4"/>
        <v>0.14374512120291236</v>
      </c>
      <c r="F12" s="17">
        <v>0.14710000000000001</v>
      </c>
      <c r="G12" s="18">
        <f t="shared" si="1"/>
        <v>-31</v>
      </c>
      <c r="H12" s="18">
        <f t="shared" si="2"/>
        <v>-36</v>
      </c>
      <c r="I12" s="2"/>
      <c r="J12" s="20" t="s">
        <v>51</v>
      </c>
      <c r="K12" s="22">
        <f>K10/K11-1</f>
        <v>-2.4328156832428061E-2</v>
      </c>
      <c r="L12" s="2"/>
      <c r="M12" s="2"/>
      <c r="N12" s="2"/>
      <c r="O12" s="2"/>
      <c r="P12" s="2"/>
    </row>
    <row r="13" spans="1:16" x14ac:dyDescent="0.25">
      <c r="A13" s="12">
        <v>220.5</v>
      </c>
      <c r="B13" s="13">
        <v>0.1062</v>
      </c>
      <c r="C13" s="14">
        <f t="shared" si="0"/>
        <v>106200</v>
      </c>
      <c r="D13" s="15">
        <f t="shared" si="3"/>
        <v>4.9225438925415102E-2</v>
      </c>
      <c r="E13" s="16">
        <f t="shared" si="4"/>
        <v>0.19297056012832747</v>
      </c>
      <c r="F13" s="17">
        <v>0.19650000000000001</v>
      </c>
      <c r="G13" s="18">
        <f t="shared" si="1"/>
        <v>-30.5</v>
      </c>
      <c r="H13" s="18">
        <f t="shared" si="2"/>
        <v>-35.5</v>
      </c>
      <c r="I13" s="2"/>
      <c r="J13" s="20" t="s">
        <v>14</v>
      </c>
      <c r="K13" s="19">
        <f>INDEX(B4:B84,MATCH(K6,A4:A84,0))</f>
        <v>3.2894000000000001</v>
      </c>
      <c r="L13" s="2"/>
      <c r="M13" s="2"/>
      <c r="N13" s="2"/>
      <c r="O13" s="2"/>
      <c r="P13" s="2"/>
    </row>
    <row r="14" spans="1:16" x14ac:dyDescent="0.25">
      <c r="A14" s="12">
        <v>221</v>
      </c>
      <c r="B14" s="13">
        <v>0.12479999999999999</v>
      </c>
      <c r="C14" s="14">
        <f t="shared" si="0"/>
        <v>124800</v>
      </c>
      <c r="D14" s="15">
        <f t="shared" si="3"/>
        <v>5.7687495928338328E-2</v>
      </c>
      <c r="E14" s="16">
        <f t="shared" si="4"/>
        <v>0.2506580560566658</v>
      </c>
      <c r="F14" s="17">
        <v>0.25459999999999999</v>
      </c>
      <c r="G14" s="18">
        <f t="shared" si="1"/>
        <v>-30</v>
      </c>
      <c r="H14" s="18">
        <f t="shared" si="2"/>
        <v>-35</v>
      </c>
      <c r="I14" s="2"/>
      <c r="J14" s="20" t="s">
        <v>15</v>
      </c>
      <c r="K14" s="19">
        <f>INDEX(E4:E84,MATCH(K6,A4:A84,0))</f>
        <v>47.688741046821676</v>
      </c>
      <c r="L14" s="2"/>
      <c r="M14" s="2"/>
      <c r="N14" s="2"/>
      <c r="O14" s="2"/>
      <c r="P14" s="2"/>
    </row>
    <row r="15" spans="1:16" x14ac:dyDescent="0.25">
      <c r="A15" s="12">
        <v>221.5</v>
      </c>
      <c r="B15" s="13">
        <v>0.14099999999999999</v>
      </c>
      <c r="C15" s="14">
        <f t="shared" si="0"/>
        <v>141000</v>
      </c>
      <c r="D15" s="15">
        <f t="shared" si="3"/>
        <v>6.6408821768696766E-2</v>
      </c>
      <c r="E15" s="16">
        <f t="shared" si="4"/>
        <v>0.31706687782536258</v>
      </c>
      <c r="F15" s="17">
        <v>0.32150000000000001</v>
      </c>
      <c r="G15" s="18">
        <f t="shared" si="1"/>
        <v>-29.5</v>
      </c>
      <c r="H15" s="18">
        <f t="shared" si="2"/>
        <v>-34.5</v>
      </c>
      <c r="I15" s="2"/>
      <c r="J15" s="20" t="s">
        <v>52</v>
      </c>
      <c r="K15" s="19">
        <f>MAX(E4:E84)</f>
        <v>47.688741046821676</v>
      </c>
      <c r="L15" s="2"/>
      <c r="M15" s="2"/>
      <c r="N15" s="2"/>
      <c r="O15" s="2"/>
      <c r="P15" s="2"/>
    </row>
    <row r="16" spans="1:16" x14ac:dyDescent="0.25">
      <c r="A16" s="12">
        <v>222</v>
      </c>
      <c r="B16" s="13">
        <v>0.15939999999999999</v>
      </c>
      <c r="C16" s="14">
        <f t="shared" si="0"/>
        <v>159400</v>
      </c>
      <c r="D16" s="15">
        <f t="shared" si="3"/>
        <v>7.5052996262400931E-2</v>
      </c>
      <c r="E16" s="16">
        <f t="shared" si="4"/>
        <v>0.3921198740877635</v>
      </c>
      <c r="F16" s="17">
        <v>0.39679999999999999</v>
      </c>
      <c r="G16" s="18">
        <f t="shared" si="1"/>
        <v>-29</v>
      </c>
      <c r="H16" s="18">
        <f t="shared" si="2"/>
        <v>-34</v>
      </c>
      <c r="I16" s="2"/>
      <c r="J16" s="20" t="s">
        <v>53</v>
      </c>
      <c r="K16" s="19">
        <f>MAX(B4:B84)</f>
        <v>3.2894000000000001</v>
      </c>
      <c r="L16" s="2"/>
      <c r="M16" s="2"/>
      <c r="N16" s="2"/>
      <c r="O16" s="2"/>
      <c r="P16" s="2"/>
    </row>
    <row r="17" spans="1:16" x14ac:dyDescent="0.25">
      <c r="A17" s="12">
        <v>222.5</v>
      </c>
      <c r="B17" s="13">
        <v>0.17879999999999999</v>
      </c>
      <c r="C17" s="14">
        <f t="shared" si="0"/>
        <v>178800</v>
      </c>
      <c r="D17" s="15">
        <f t="shared" si="3"/>
        <v>8.450359376730554E-2</v>
      </c>
      <c r="E17" s="16">
        <f t="shared" si="4"/>
        <v>0.47662346785506904</v>
      </c>
      <c r="F17" s="17">
        <v>0.48139999999999999</v>
      </c>
      <c r="G17" s="18">
        <f t="shared" si="1"/>
        <v>-28.5</v>
      </c>
      <c r="H17" s="18">
        <f t="shared" si="2"/>
        <v>-33.5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2">
        <v>223</v>
      </c>
      <c r="B18" s="13">
        <v>0.19719999999999999</v>
      </c>
      <c r="C18" s="14">
        <f t="shared" si="0"/>
        <v>197200</v>
      </c>
      <c r="D18" s="15">
        <f t="shared" si="3"/>
        <v>9.3962459781183935E-2</v>
      </c>
      <c r="E18" s="16">
        <f t="shared" si="4"/>
        <v>0.57058592763625293</v>
      </c>
      <c r="F18" s="17">
        <v>0.57579999999999998</v>
      </c>
      <c r="G18" s="18">
        <f t="shared" si="1"/>
        <v>-28</v>
      </c>
      <c r="H18" s="18">
        <f t="shared" si="2"/>
        <v>-33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2">
        <v>223.5</v>
      </c>
      <c r="B19" s="13">
        <v>0.21529999999999999</v>
      </c>
      <c r="C19" s="14">
        <f t="shared" si="0"/>
        <v>215300</v>
      </c>
      <c r="D19" s="15">
        <f t="shared" si="3"/>
        <v>0.10309189213709045</v>
      </c>
      <c r="E19" s="16">
        <f t="shared" si="4"/>
        <v>0.6736778197733434</v>
      </c>
      <c r="F19" s="17">
        <v>0.6794</v>
      </c>
      <c r="G19" s="18">
        <f t="shared" si="1"/>
        <v>-27.5</v>
      </c>
      <c r="H19" s="18">
        <f t="shared" si="2"/>
        <v>-32.5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2">
        <v>224</v>
      </c>
      <c r="B20" s="13">
        <v>0.2399</v>
      </c>
      <c r="C20" s="14">
        <f t="shared" si="0"/>
        <v>239900</v>
      </c>
      <c r="D20" s="15">
        <f t="shared" si="3"/>
        <v>0.11374456626231184</v>
      </c>
      <c r="E20" s="16">
        <f t="shared" si="4"/>
        <v>0.78742238603565529</v>
      </c>
      <c r="F20" s="17">
        <v>0.79369999999999996</v>
      </c>
      <c r="G20" s="18">
        <f t="shared" si="1"/>
        <v>-27</v>
      </c>
      <c r="H20" s="18">
        <f t="shared" si="2"/>
        <v>-32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2">
        <v>224.5</v>
      </c>
      <c r="B21" s="13">
        <v>0.26240000000000002</v>
      </c>
      <c r="C21" s="14">
        <f t="shared" si="0"/>
        <v>262400</v>
      </c>
      <c r="D21" s="15">
        <f t="shared" si="3"/>
        <v>0.12553298458735937</v>
      </c>
      <c r="E21" s="16">
        <f t="shared" si="4"/>
        <v>0.91295537062301468</v>
      </c>
      <c r="F21" s="17">
        <v>0.9194</v>
      </c>
      <c r="G21" s="18">
        <f t="shared" si="1"/>
        <v>-26.5</v>
      </c>
      <c r="H21" s="18">
        <f t="shared" si="2"/>
        <v>-31.5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2">
        <v>225</v>
      </c>
      <c r="B22" s="13">
        <v>0.28449999999999998</v>
      </c>
      <c r="C22" s="14">
        <f t="shared" si="0"/>
        <v>284500</v>
      </c>
      <c r="D22" s="15">
        <f t="shared" si="3"/>
        <v>0.13668777430758872</v>
      </c>
      <c r="E22" s="16">
        <f t="shared" si="4"/>
        <v>1.0496431449306034</v>
      </c>
      <c r="F22" s="17">
        <v>1.0564</v>
      </c>
      <c r="G22" s="18">
        <f t="shared" si="1"/>
        <v>-26</v>
      </c>
      <c r="H22" s="18">
        <f t="shared" si="2"/>
        <v>-31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2">
        <v>225.5</v>
      </c>
      <c r="B23" s="13">
        <v>0.30690000000000001</v>
      </c>
      <c r="C23" s="14">
        <f t="shared" si="0"/>
        <v>306900</v>
      </c>
      <c r="D23" s="15">
        <f t="shared" si="3"/>
        <v>0.14781463616795676</v>
      </c>
      <c r="E23" s="16">
        <f t="shared" si="4"/>
        <v>1.19745778109856</v>
      </c>
      <c r="F23" s="17">
        <v>1.2049000000000001</v>
      </c>
      <c r="G23" s="18">
        <f t="shared" si="1"/>
        <v>-25.5</v>
      </c>
      <c r="H23" s="18">
        <f t="shared" si="2"/>
        <v>-30.5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2">
        <v>226</v>
      </c>
      <c r="B24" s="13">
        <v>0.33150000000000002</v>
      </c>
      <c r="C24" s="14">
        <f t="shared" si="0"/>
        <v>331500</v>
      </c>
      <c r="D24" s="15">
        <f t="shared" si="3"/>
        <v>0.15956048814674295</v>
      </c>
      <c r="E24" s="16">
        <f t="shared" si="4"/>
        <v>1.357018269245303</v>
      </c>
      <c r="F24" s="17">
        <v>1.3656999999999999</v>
      </c>
      <c r="G24" s="18">
        <f t="shared" si="1"/>
        <v>-25</v>
      </c>
      <c r="H24" s="18">
        <f t="shared" si="2"/>
        <v>-30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2">
        <v>226.5</v>
      </c>
      <c r="B25" s="13">
        <v>0.3574</v>
      </c>
      <c r="C25" s="14">
        <f t="shared" si="0"/>
        <v>357400</v>
      </c>
      <c r="D25" s="15">
        <f t="shared" si="3"/>
        <v>0.17218441312173782</v>
      </c>
      <c r="E25" s="16">
        <f t="shared" si="4"/>
        <v>1.5292026823670408</v>
      </c>
      <c r="F25" s="17">
        <v>1.5381</v>
      </c>
      <c r="G25" s="18">
        <f t="shared" si="1"/>
        <v>-24.5</v>
      </c>
      <c r="H25" s="18">
        <f t="shared" si="2"/>
        <v>-29.5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2">
        <v>227</v>
      </c>
      <c r="B26" s="13">
        <v>0.38290000000000002</v>
      </c>
      <c r="C26" s="14">
        <f t="shared" si="0"/>
        <v>382900</v>
      </c>
      <c r="D26" s="15">
        <f t="shared" si="3"/>
        <v>0.1850383907991334</v>
      </c>
      <c r="E26" s="16">
        <f t="shared" si="4"/>
        <v>1.7142410731661741</v>
      </c>
      <c r="F26" s="17">
        <v>1.7237</v>
      </c>
      <c r="G26" s="18">
        <f t="shared" si="1"/>
        <v>-24</v>
      </c>
      <c r="H26" s="18">
        <f t="shared" si="2"/>
        <v>-29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12">
        <v>227.5</v>
      </c>
      <c r="B27" s="13">
        <v>0.4093</v>
      </c>
      <c r="C27" s="14">
        <f t="shared" si="0"/>
        <v>409300</v>
      </c>
      <c r="D27" s="15">
        <f t="shared" si="3"/>
        <v>0.19801333240712674</v>
      </c>
      <c r="E27" s="16">
        <f t="shared" si="4"/>
        <v>1.9122544055733008</v>
      </c>
      <c r="F27" s="17">
        <v>1.9218999999999999</v>
      </c>
      <c r="G27" s="18">
        <f t="shared" si="1"/>
        <v>-23.5</v>
      </c>
      <c r="H27" s="18">
        <f t="shared" si="2"/>
        <v>-28.5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12">
        <v>228</v>
      </c>
      <c r="B28" s="13">
        <v>0.43290000000000001</v>
      </c>
      <c r="C28" s="14">
        <f t="shared" si="0"/>
        <v>432900</v>
      </c>
      <c r="D28" s="15">
        <f t="shared" si="3"/>
        <v>0.21052243977195001</v>
      </c>
      <c r="E28" s="16">
        <f t="shared" si="4"/>
        <v>2.1227768453452507</v>
      </c>
      <c r="F28" s="17">
        <v>2.1326000000000001</v>
      </c>
      <c r="G28" s="18">
        <f t="shared" si="1"/>
        <v>-23</v>
      </c>
      <c r="H28" s="18">
        <f t="shared" si="2"/>
        <v>-28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2">
        <v>228.5</v>
      </c>
      <c r="B29" s="13">
        <v>0.45550000000000002</v>
      </c>
      <c r="C29" s="14">
        <f t="shared" si="0"/>
        <v>455500</v>
      </c>
      <c r="D29" s="15">
        <f t="shared" si="3"/>
        <v>0.22207604107288631</v>
      </c>
      <c r="E29" s="16">
        <f t="shared" si="4"/>
        <v>2.3448528864181371</v>
      </c>
      <c r="F29" s="17">
        <v>2.355</v>
      </c>
      <c r="G29" s="18">
        <f t="shared" si="1"/>
        <v>-22.5</v>
      </c>
      <c r="H29" s="18">
        <f t="shared" si="2"/>
        <v>-27.5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12">
        <v>229</v>
      </c>
      <c r="B30" s="13">
        <v>0.4803</v>
      </c>
      <c r="C30" s="14">
        <f t="shared" si="0"/>
        <v>480300</v>
      </c>
      <c r="D30" s="15">
        <f t="shared" si="3"/>
        <v>0.23392261042124296</v>
      </c>
      <c r="E30" s="16">
        <f t="shared" si="4"/>
        <v>2.5787754968393801</v>
      </c>
      <c r="F30" s="17">
        <v>2.5895000000000001</v>
      </c>
      <c r="G30" s="18">
        <f t="shared" si="1"/>
        <v>-22</v>
      </c>
      <c r="H30" s="18">
        <f t="shared" si="2"/>
        <v>-27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2">
        <v>229.5</v>
      </c>
      <c r="B31" s="13">
        <v>0.50639999999999996</v>
      </c>
      <c r="C31" s="14">
        <f t="shared" si="0"/>
        <v>506399.99999999994</v>
      </c>
      <c r="D31" s="15">
        <f t="shared" si="3"/>
        <v>0.246646228623946</v>
      </c>
      <c r="E31" s="16">
        <f t="shared" si="4"/>
        <v>2.8254217254633263</v>
      </c>
      <c r="F31" s="17">
        <v>2.8365999999999998</v>
      </c>
      <c r="G31" s="18">
        <f t="shared" si="1"/>
        <v>-21.5</v>
      </c>
      <c r="H31" s="18">
        <f t="shared" si="2"/>
        <v>-26.5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12">
        <v>230</v>
      </c>
      <c r="B32" s="13">
        <v>0.5353</v>
      </c>
      <c r="C32" s="14">
        <f t="shared" si="0"/>
        <v>535300</v>
      </c>
      <c r="D32" s="15">
        <f t="shared" si="3"/>
        <v>0.2603915862383186</v>
      </c>
      <c r="E32" s="16">
        <f t="shared" si="4"/>
        <v>3.0858133117016449</v>
      </c>
      <c r="F32" s="17">
        <v>3.0973999999999999</v>
      </c>
      <c r="G32" s="18">
        <f t="shared" si="1"/>
        <v>-21</v>
      </c>
      <c r="H32" s="18">
        <f t="shared" si="2"/>
        <v>-26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12">
        <v>230.5</v>
      </c>
      <c r="B33" s="13">
        <v>0.56220000000000003</v>
      </c>
      <c r="C33" s="14">
        <f t="shared" si="0"/>
        <v>562200</v>
      </c>
      <c r="D33" s="15">
        <f t="shared" si="3"/>
        <v>0.27434752396696038</v>
      </c>
      <c r="E33" s="16">
        <f t="shared" si="4"/>
        <v>3.360160835668605</v>
      </c>
      <c r="F33" s="17">
        <v>3.3719999999999999</v>
      </c>
      <c r="G33" s="18">
        <f t="shared" si="1"/>
        <v>-20.5</v>
      </c>
      <c r="H33" s="18">
        <f t="shared" si="2"/>
        <v>-25.5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2">
        <v>231</v>
      </c>
      <c r="B34" s="13">
        <v>0.59330000000000005</v>
      </c>
      <c r="C34" s="14">
        <f t="shared" si="0"/>
        <v>593300</v>
      </c>
      <c r="D34" s="15">
        <f t="shared" si="3"/>
        <v>0.28884011664408665</v>
      </c>
      <c r="E34" s="16">
        <f t="shared" si="4"/>
        <v>3.6490009523126918</v>
      </c>
      <c r="F34" s="17">
        <v>3.6610999999999998</v>
      </c>
      <c r="G34" s="18">
        <f t="shared" si="1"/>
        <v>-20</v>
      </c>
      <c r="H34" s="18">
        <f t="shared" si="2"/>
        <v>-25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2">
        <v>231.5</v>
      </c>
      <c r="B35" s="13">
        <v>0.62</v>
      </c>
      <c r="C35" s="14">
        <f t="shared" si="0"/>
        <v>620000</v>
      </c>
      <c r="D35" s="15">
        <f t="shared" si="3"/>
        <v>0.30330051525012952</v>
      </c>
      <c r="E35" s="16">
        <f t="shared" si="4"/>
        <v>3.9523014675628212</v>
      </c>
      <c r="F35" s="17">
        <v>3.9649999999999999</v>
      </c>
      <c r="G35" s="18">
        <f t="shared" si="1"/>
        <v>-19.5</v>
      </c>
      <c r="H35" s="18">
        <f t="shared" si="2"/>
        <v>-24.5</v>
      </c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2">
        <v>232</v>
      </c>
      <c r="B36" s="13">
        <v>0.65539999999999998</v>
      </c>
      <c r="C36" s="14">
        <f t="shared" ref="C36:C67" si="5">B36*1000000</f>
        <v>655400</v>
      </c>
      <c r="D36" s="15">
        <f t="shared" si="3"/>
        <v>0.31880905201472087</v>
      </c>
      <c r="E36" s="16">
        <f t="shared" si="4"/>
        <v>4.2711105195775421</v>
      </c>
      <c r="F36" s="17">
        <v>4.2847999999999997</v>
      </c>
      <c r="G36" s="18">
        <f t="shared" ref="G36:G67" si="6">A36-$K$5</f>
        <v>-19</v>
      </c>
      <c r="H36" s="18">
        <f t="shared" ref="H36:H67" si="7">A36-$K$6</f>
        <v>-24</v>
      </c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12">
        <v>232.5</v>
      </c>
      <c r="B37" s="13">
        <v>0.6865</v>
      </c>
      <c r="C37" s="14">
        <f t="shared" si="5"/>
        <v>686500</v>
      </c>
      <c r="D37" s="15">
        <f t="shared" ref="D37:D68" si="8">(A37-A36)/3*(C36+C37+SQRT(C36*C37))/1000000</f>
        <v>0.33544496361146547</v>
      </c>
      <c r="E37" s="16">
        <f t="shared" ref="E37:E68" si="9">E36+D37</f>
        <v>4.6065554831890072</v>
      </c>
      <c r="F37" s="17">
        <v>4.6200999999999999</v>
      </c>
      <c r="G37" s="18">
        <f t="shared" si="6"/>
        <v>-18.5</v>
      </c>
      <c r="H37" s="18">
        <f t="shared" si="7"/>
        <v>-23.5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12">
        <v>233</v>
      </c>
      <c r="B38" s="13">
        <v>0.72219999999999995</v>
      </c>
      <c r="C38" s="14">
        <f t="shared" si="5"/>
        <v>722200</v>
      </c>
      <c r="D38" s="15">
        <f t="shared" si="8"/>
        <v>0.35213729695526547</v>
      </c>
      <c r="E38" s="16">
        <f t="shared" si="9"/>
        <v>4.9586927801442728</v>
      </c>
      <c r="F38" s="17">
        <v>4.9732000000000003</v>
      </c>
      <c r="G38" s="18">
        <f t="shared" si="6"/>
        <v>-18</v>
      </c>
      <c r="H38" s="18">
        <f t="shared" si="7"/>
        <v>-23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2">
        <v>233.5</v>
      </c>
      <c r="B39" s="13">
        <v>0.76049999999999995</v>
      </c>
      <c r="C39" s="14">
        <f t="shared" si="5"/>
        <v>760500</v>
      </c>
      <c r="D39" s="15">
        <f t="shared" si="8"/>
        <v>0.37063377074541359</v>
      </c>
      <c r="E39" s="16">
        <f t="shared" si="9"/>
        <v>5.3293265508896868</v>
      </c>
      <c r="F39" s="17">
        <v>5.3445</v>
      </c>
      <c r="G39" s="18">
        <f t="shared" si="6"/>
        <v>-17.5</v>
      </c>
      <c r="H39" s="18">
        <f t="shared" si="7"/>
        <v>-22.5</v>
      </c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12">
        <v>234</v>
      </c>
      <c r="B40" s="13">
        <v>0.80549999999999999</v>
      </c>
      <c r="C40" s="14">
        <f t="shared" si="5"/>
        <v>805500</v>
      </c>
      <c r="D40" s="15">
        <f t="shared" si="8"/>
        <v>0.39144610956253156</v>
      </c>
      <c r="E40" s="16">
        <f t="shared" si="9"/>
        <v>5.7207726604522184</v>
      </c>
      <c r="F40" s="17">
        <v>5.7363</v>
      </c>
      <c r="G40" s="18">
        <f t="shared" si="6"/>
        <v>-17</v>
      </c>
      <c r="H40" s="18">
        <f t="shared" si="7"/>
        <v>-22</v>
      </c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12">
        <v>234.5</v>
      </c>
      <c r="B41" s="13">
        <v>0.85019999999999996</v>
      </c>
      <c r="C41" s="14">
        <f t="shared" si="5"/>
        <v>850200</v>
      </c>
      <c r="D41" s="15">
        <f t="shared" si="8"/>
        <v>0.41387470772127816</v>
      </c>
      <c r="E41" s="16">
        <f t="shared" si="9"/>
        <v>6.1346473681734963</v>
      </c>
      <c r="F41" s="17">
        <v>6.1510999999999996</v>
      </c>
      <c r="G41" s="18">
        <f t="shared" si="6"/>
        <v>-16.5</v>
      </c>
      <c r="H41" s="18">
        <f t="shared" si="7"/>
        <v>-21.5</v>
      </c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12">
        <v>235</v>
      </c>
      <c r="B42" s="13">
        <v>0.8901</v>
      </c>
      <c r="C42" s="14">
        <f t="shared" si="5"/>
        <v>890100</v>
      </c>
      <c r="D42" s="15">
        <f t="shared" si="8"/>
        <v>0.4350368787166618</v>
      </c>
      <c r="E42" s="16">
        <f t="shared" si="9"/>
        <v>6.5696842468901577</v>
      </c>
      <c r="F42" s="17">
        <v>6.5868000000000002</v>
      </c>
      <c r="G42" s="18">
        <f t="shared" si="6"/>
        <v>-16</v>
      </c>
      <c r="H42" s="18">
        <f t="shared" si="7"/>
        <v>-21</v>
      </c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12">
        <v>235.5</v>
      </c>
      <c r="B43" s="13">
        <v>0.93459999999999999</v>
      </c>
      <c r="C43" s="14">
        <f t="shared" si="5"/>
        <v>934600</v>
      </c>
      <c r="D43" s="15">
        <f t="shared" si="8"/>
        <v>0.45612977465410304</v>
      </c>
      <c r="E43" s="16">
        <f t="shared" si="9"/>
        <v>7.025814021544261</v>
      </c>
      <c r="F43" s="17">
        <v>7.0433000000000003</v>
      </c>
      <c r="G43" s="18">
        <f t="shared" si="6"/>
        <v>-15.5</v>
      </c>
      <c r="H43" s="18">
        <f t="shared" si="7"/>
        <v>-20.5</v>
      </c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12">
        <v>236</v>
      </c>
      <c r="B44" s="13">
        <v>0.98080000000000001</v>
      </c>
      <c r="C44" s="14">
        <f t="shared" si="5"/>
        <v>980800</v>
      </c>
      <c r="D44" s="15">
        <f t="shared" si="8"/>
        <v>0.47880356168993427</v>
      </c>
      <c r="E44" s="16">
        <f t="shared" si="9"/>
        <v>7.5046175832341957</v>
      </c>
      <c r="F44" s="17">
        <v>7.5228999999999999</v>
      </c>
      <c r="G44" s="18">
        <f t="shared" si="6"/>
        <v>-15</v>
      </c>
      <c r="H44" s="18">
        <f t="shared" si="7"/>
        <v>-20</v>
      </c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12">
        <v>236.5</v>
      </c>
      <c r="B45" s="13">
        <v>1.026</v>
      </c>
      <c r="C45" s="14">
        <f t="shared" si="5"/>
        <v>1026000</v>
      </c>
      <c r="D45" s="15">
        <f t="shared" si="8"/>
        <v>0.50165757551041923</v>
      </c>
      <c r="E45" s="16">
        <f t="shared" si="9"/>
        <v>8.0062751587446144</v>
      </c>
      <c r="F45" s="17">
        <v>8.0249000000000006</v>
      </c>
      <c r="G45" s="18">
        <f t="shared" si="6"/>
        <v>-14.5</v>
      </c>
      <c r="H45" s="18">
        <f t="shared" si="7"/>
        <v>-19.5</v>
      </c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12">
        <v>237</v>
      </c>
      <c r="B46" s="13">
        <v>1.0769</v>
      </c>
      <c r="C46" s="14">
        <f t="shared" si="5"/>
        <v>1076900</v>
      </c>
      <c r="D46" s="15">
        <f t="shared" si="8"/>
        <v>0.52567365840866387</v>
      </c>
      <c r="E46" s="16">
        <f t="shared" si="9"/>
        <v>8.5319488171532782</v>
      </c>
      <c r="F46" s="17">
        <v>8.5510999999999999</v>
      </c>
      <c r="G46" s="18">
        <f t="shared" si="6"/>
        <v>-14</v>
      </c>
      <c r="H46" s="18">
        <f t="shared" si="7"/>
        <v>-19</v>
      </c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12">
        <v>237.5</v>
      </c>
      <c r="B47" s="13">
        <v>1.1281000000000001</v>
      </c>
      <c r="C47" s="14">
        <f t="shared" si="5"/>
        <v>1128100</v>
      </c>
      <c r="D47" s="15">
        <f t="shared" si="8"/>
        <v>0.55120045741792689</v>
      </c>
      <c r="E47" s="16">
        <f t="shared" si="9"/>
        <v>9.0831492745712055</v>
      </c>
      <c r="F47" s="17">
        <v>9.1042000000000005</v>
      </c>
      <c r="G47" s="18">
        <f t="shared" si="6"/>
        <v>-13.5</v>
      </c>
      <c r="H47" s="18">
        <f t="shared" si="7"/>
        <v>-18.5</v>
      </c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12">
        <v>238</v>
      </c>
      <c r="B48" s="13">
        <v>1.177</v>
      </c>
      <c r="C48" s="14">
        <f t="shared" si="5"/>
        <v>1177000</v>
      </c>
      <c r="D48" s="15">
        <f t="shared" si="8"/>
        <v>0.57623177195697262</v>
      </c>
      <c r="E48" s="16">
        <f t="shared" si="9"/>
        <v>9.6593810465281784</v>
      </c>
      <c r="F48" s="17">
        <v>9.6816999999999993</v>
      </c>
      <c r="G48" s="18">
        <f t="shared" si="6"/>
        <v>-13</v>
      </c>
      <c r="H48" s="18">
        <f t="shared" si="7"/>
        <v>-18</v>
      </c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12">
        <v>238.5</v>
      </c>
      <c r="B49" s="13">
        <v>1.2263999999999999</v>
      </c>
      <c r="C49" s="14">
        <f t="shared" si="5"/>
        <v>1226400</v>
      </c>
      <c r="D49" s="15">
        <f t="shared" si="8"/>
        <v>0.60080768810499885</v>
      </c>
      <c r="E49" s="16">
        <f t="shared" si="9"/>
        <v>10.260188734633177</v>
      </c>
      <c r="F49" s="17">
        <v>10.283300000000001</v>
      </c>
      <c r="G49" s="18">
        <f t="shared" si="6"/>
        <v>-12.5</v>
      </c>
      <c r="H49" s="18">
        <f t="shared" si="7"/>
        <v>-17.5</v>
      </c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12">
        <v>239</v>
      </c>
      <c r="B50" s="13">
        <v>1.2707999999999999</v>
      </c>
      <c r="C50" s="14">
        <f t="shared" si="5"/>
        <v>1270800</v>
      </c>
      <c r="D50" s="15">
        <f t="shared" si="8"/>
        <v>0.62426710456004331</v>
      </c>
      <c r="E50" s="16">
        <f t="shared" si="9"/>
        <v>10.884455839193221</v>
      </c>
      <c r="F50" s="17">
        <v>10.9084</v>
      </c>
      <c r="G50" s="18">
        <f t="shared" si="6"/>
        <v>-12</v>
      </c>
      <c r="H50" s="18">
        <f t="shared" si="7"/>
        <v>-17</v>
      </c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12">
        <v>239.5</v>
      </c>
      <c r="B51" s="13">
        <v>1.3191999999999999</v>
      </c>
      <c r="C51" s="14">
        <f t="shared" si="5"/>
        <v>1319200</v>
      </c>
      <c r="D51" s="15">
        <f t="shared" si="8"/>
        <v>0.64746231073762561</v>
      </c>
      <c r="E51" s="16">
        <f t="shared" si="9"/>
        <v>11.531918149930846</v>
      </c>
      <c r="F51" s="17">
        <v>11.5566</v>
      </c>
      <c r="G51" s="18">
        <f t="shared" si="6"/>
        <v>-11.5</v>
      </c>
      <c r="H51" s="18">
        <f t="shared" si="7"/>
        <v>-16.5</v>
      </c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12">
        <v>240</v>
      </c>
      <c r="B52" s="13">
        <v>1.3704000000000001</v>
      </c>
      <c r="C52" s="14">
        <f t="shared" si="5"/>
        <v>1370400</v>
      </c>
      <c r="D52" s="15">
        <f t="shared" si="8"/>
        <v>0.67235938557262909</v>
      </c>
      <c r="E52" s="16">
        <f t="shared" si="9"/>
        <v>12.204277535503476</v>
      </c>
      <c r="F52" s="17">
        <v>12.2296</v>
      </c>
      <c r="G52" s="18">
        <f t="shared" si="6"/>
        <v>-11</v>
      </c>
      <c r="H52" s="18">
        <f t="shared" si="7"/>
        <v>-16</v>
      </c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12">
        <v>240.5</v>
      </c>
      <c r="B53" s="13">
        <v>1.4134</v>
      </c>
      <c r="C53" s="14">
        <f t="shared" si="5"/>
        <v>1413400</v>
      </c>
      <c r="D53" s="15">
        <f t="shared" si="8"/>
        <v>0.69592232334842696</v>
      </c>
      <c r="E53" s="16">
        <f t="shared" si="9"/>
        <v>12.900199858851902</v>
      </c>
      <c r="F53" s="17">
        <v>12.926</v>
      </c>
      <c r="G53" s="18">
        <f t="shared" si="6"/>
        <v>-10.5</v>
      </c>
      <c r="H53" s="18">
        <f t="shared" si="7"/>
        <v>-15.5</v>
      </c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12">
        <v>241</v>
      </c>
      <c r="B54" s="13">
        <v>1.4596</v>
      </c>
      <c r="C54" s="14">
        <f t="shared" si="5"/>
        <v>1459600</v>
      </c>
      <c r="D54" s="15">
        <f t="shared" si="8"/>
        <v>0.71821904255127678</v>
      </c>
      <c r="E54" s="16">
        <f t="shared" si="9"/>
        <v>13.61841890140318</v>
      </c>
      <c r="F54" s="17">
        <v>13.645</v>
      </c>
      <c r="G54" s="18">
        <f t="shared" si="6"/>
        <v>-10</v>
      </c>
      <c r="H54" s="18">
        <f t="shared" si="7"/>
        <v>-15</v>
      </c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12">
        <v>241.5</v>
      </c>
      <c r="B55" s="13">
        <v>1.5038</v>
      </c>
      <c r="C55" s="14">
        <f t="shared" si="5"/>
        <v>1503800</v>
      </c>
      <c r="D55" s="15">
        <f t="shared" si="8"/>
        <v>0.74082252946127769</v>
      </c>
      <c r="E55" s="16">
        <f t="shared" si="9"/>
        <v>14.359241430864458</v>
      </c>
      <c r="F55" s="17">
        <v>14.3866</v>
      </c>
      <c r="G55" s="18">
        <f t="shared" si="6"/>
        <v>-9.5</v>
      </c>
      <c r="H55" s="18">
        <f t="shared" si="7"/>
        <v>-14.5</v>
      </c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12">
        <v>242</v>
      </c>
      <c r="B56" s="13">
        <v>1.5504</v>
      </c>
      <c r="C56" s="14">
        <f t="shared" si="5"/>
        <v>1550400</v>
      </c>
      <c r="D56" s="15">
        <f t="shared" si="8"/>
        <v>0.76352037295094</v>
      </c>
      <c r="E56" s="16">
        <f t="shared" si="9"/>
        <v>15.122761803815397</v>
      </c>
      <c r="F56" s="17">
        <v>15.1509</v>
      </c>
      <c r="G56" s="18">
        <f t="shared" si="6"/>
        <v>-9</v>
      </c>
      <c r="H56" s="18">
        <f t="shared" si="7"/>
        <v>-14</v>
      </c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12">
        <v>242.5</v>
      </c>
      <c r="B57" s="13">
        <v>1.5972999999999999</v>
      </c>
      <c r="C57" s="14">
        <f t="shared" si="5"/>
        <v>1597300</v>
      </c>
      <c r="D57" s="15">
        <f t="shared" si="8"/>
        <v>0.78689588175369296</v>
      </c>
      <c r="E57" s="16">
        <f t="shared" si="9"/>
        <v>15.909657685569091</v>
      </c>
      <c r="F57" s="17">
        <v>15.939</v>
      </c>
      <c r="G57" s="18">
        <f t="shared" si="6"/>
        <v>-8.5</v>
      </c>
      <c r="H57" s="18">
        <f t="shared" si="7"/>
        <v>-13.5</v>
      </c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12">
        <v>243</v>
      </c>
      <c r="B58" s="13">
        <v>1.6445000000000001</v>
      </c>
      <c r="C58" s="14">
        <f t="shared" si="5"/>
        <v>1644500</v>
      </c>
      <c r="D58" s="15">
        <f t="shared" si="8"/>
        <v>0.81042136418448818</v>
      </c>
      <c r="E58" s="16">
        <f t="shared" si="9"/>
        <v>16.720079049753579</v>
      </c>
      <c r="F58" s="17">
        <v>16.750599999999999</v>
      </c>
      <c r="G58" s="18">
        <f t="shared" si="6"/>
        <v>-8</v>
      </c>
      <c r="H58" s="18">
        <f t="shared" si="7"/>
        <v>-13</v>
      </c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12">
        <v>243.5</v>
      </c>
      <c r="B59" s="13">
        <v>1.6894</v>
      </c>
      <c r="C59" s="14">
        <f t="shared" si="5"/>
        <v>1689400</v>
      </c>
      <c r="D59" s="15">
        <f t="shared" si="8"/>
        <v>0.83344980301568894</v>
      </c>
      <c r="E59" s="16">
        <f t="shared" si="9"/>
        <v>17.553528852769269</v>
      </c>
      <c r="F59" s="17">
        <v>17.584900000000001</v>
      </c>
      <c r="G59" s="18">
        <f t="shared" si="6"/>
        <v>-7.5</v>
      </c>
      <c r="H59" s="18">
        <f t="shared" si="7"/>
        <v>-12.5</v>
      </c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12">
        <v>244</v>
      </c>
      <c r="B60" s="13">
        <v>1.7343</v>
      </c>
      <c r="C60" s="14">
        <f t="shared" si="5"/>
        <v>1734300</v>
      </c>
      <c r="D60" s="15">
        <f t="shared" si="8"/>
        <v>0.85590046396332353</v>
      </c>
      <c r="E60" s="16">
        <f t="shared" si="9"/>
        <v>18.409429316732592</v>
      </c>
      <c r="F60" s="17">
        <v>18.441600000000001</v>
      </c>
      <c r="G60" s="18">
        <f t="shared" si="6"/>
        <v>-7</v>
      </c>
      <c r="H60" s="18">
        <f t="shared" si="7"/>
        <v>-12</v>
      </c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12">
        <v>244.5</v>
      </c>
      <c r="B61" s="13">
        <v>1.7811999999999999</v>
      </c>
      <c r="C61" s="14">
        <f t="shared" si="5"/>
        <v>1781200</v>
      </c>
      <c r="D61" s="15">
        <f t="shared" si="8"/>
        <v>0.87884892846109586</v>
      </c>
      <c r="E61" s="16">
        <f t="shared" si="9"/>
        <v>19.288278245193688</v>
      </c>
      <c r="F61" s="17">
        <v>19.321300000000001</v>
      </c>
      <c r="G61" s="18">
        <f t="shared" si="6"/>
        <v>-6.5</v>
      </c>
      <c r="H61" s="18">
        <f t="shared" si="7"/>
        <v>-11.5</v>
      </c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12">
        <v>245</v>
      </c>
      <c r="B62" s="13">
        <v>1.8262</v>
      </c>
      <c r="C62" s="14">
        <f t="shared" si="5"/>
        <v>1826200</v>
      </c>
      <c r="D62" s="15">
        <f t="shared" si="8"/>
        <v>0.90182660966828021</v>
      </c>
      <c r="E62" s="16">
        <f t="shared" si="9"/>
        <v>20.190104854861968</v>
      </c>
      <c r="F62" s="17">
        <v>20.223800000000001</v>
      </c>
      <c r="G62" s="18">
        <f t="shared" si="6"/>
        <v>-6</v>
      </c>
      <c r="H62" s="18">
        <f t="shared" si="7"/>
        <v>-11</v>
      </c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12">
        <v>245.5</v>
      </c>
      <c r="B63" s="13">
        <v>1.873</v>
      </c>
      <c r="C63" s="14">
        <f t="shared" si="5"/>
        <v>1873000</v>
      </c>
      <c r="D63" s="15">
        <f t="shared" si="8"/>
        <v>0.92477532881379643</v>
      </c>
      <c r="E63" s="16">
        <f t="shared" si="9"/>
        <v>21.114880183675766</v>
      </c>
      <c r="F63" s="17">
        <v>21.149100000000001</v>
      </c>
      <c r="G63" s="18">
        <f t="shared" si="6"/>
        <v>-5.5</v>
      </c>
      <c r="H63" s="18">
        <f t="shared" si="7"/>
        <v>-10.5</v>
      </c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12">
        <v>246</v>
      </c>
      <c r="B64" s="13">
        <v>1.9246000000000001</v>
      </c>
      <c r="C64" s="14">
        <f t="shared" si="5"/>
        <v>1924600</v>
      </c>
      <c r="D64" s="15">
        <f t="shared" si="8"/>
        <v>0.94937078546425768</v>
      </c>
      <c r="E64" s="16">
        <f t="shared" si="9"/>
        <v>22.064250969140023</v>
      </c>
      <c r="F64" s="17">
        <v>22.099699999999999</v>
      </c>
      <c r="G64" s="18">
        <f t="shared" si="6"/>
        <v>-5</v>
      </c>
      <c r="H64" s="18">
        <f t="shared" si="7"/>
        <v>-10</v>
      </c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12">
        <v>246.5</v>
      </c>
      <c r="B65" s="13">
        <v>1.9748000000000001</v>
      </c>
      <c r="C65" s="14">
        <f t="shared" si="5"/>
        <v>1974800</v>
      </c>
      <c r="D65" s="15">
        <f t="shared" si="8"/>
        <v>0.97482307123721168</v>
      </c>
      <c r="E65" s="16">
        <f t="shared" si="9"/>
        <v>23.039074040377233</v>
      </c>
      <c r="F65" s="17">
        <v>23.075800000000001</v>
      </c>
      <c r="G65" s="18">
        <f t="shared" si="6"/>
        <v>-4.5</v>
      </c>
      <c r="H65" s="18">
        <f t="shared" si="7"/>
        <v>-9.5</v>
      </c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12">
        <v>247</v>
      </c>
      <c r="B66" s="13">
        <v>2.0337000000000001</v>
      </c>
      <c r="C66" s="14">
        <f t="shared" si="5"/>
        <v>2033700</v>
      </c>
      <c r="D66" s="15">
        <f t="shared" si="8"/>
        <v>1.0020889370787396</v>
      </c>
      <c r="E66" s="16">
        <f t="shared" si="9"/>
        <v>24.041162977455972</v>
      </c>
      <c r="F66" s="17">
        <v>24.0806</v>
      </c>
      <c r="G66" s="18">
        <f t="shared" si="6"/>
        <v>-4</v>
      </c>
      <c r="H66" s="18">
        <f t="shared" si="7"/>
        <v>-9</v>
      </c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12">
        <v>247.5</v>
      </c>
      <c r="B67" s="13">
        <v>2.0977999999999999</v>
      </c>
      <c r="C67" s="14">
        <f t="shared" si="5"/>
        <v>2097800</v>
      </c>
      <c r="D67" s="15">
        <f t="shared" si="8"/>
        <v>1.0328335596707074</v>
      </c>
      <c r="E67" s="16">
        <f t="shared" si="9"/>
        <v>25.073996537126678</v>
      </c>
      <c r="F67" s="17">
        <v>25.114000000000001</v>
      </c>
      <c r="G67" s="18">
        <f t="shared" si="6"/>
        <v>-3.5</v>
      </c>
      <c r="H67" s="18">
        <f t="shared" si="7"/>
        <v>-8.5</v>
      </c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12">
        <v>248</v>
      </c>
      <c r="B68" s="13">
        <v>2.1598999999999999</v>
      </c>
      <c r="C68" s="14">
        <f t="shared" ref="C68:C99" si="10">B68*1000000</f>
        <v>2159900</v>
      </c>
      <c r="D68" s="15">
        <f t="shared" si="8"/>
        <v>1.0643872584267189</v>
      </c>
      <c r="E68" s="16">
        <f t="shared" si="9"/>
        <v>26.138383795553398</v>
      </c>
      <c r="F68" s="17">
        <v>26.180099999999999</v>
      </c>
      <c r="G68" s="18">
        <f t="shared" ref="G68:G84" si="11">A68-$K$5</f>
        <v>-3</v>
      </c>
      <c r="H68" s="18">
        <f t="shared" ref="H68:H84" si="12">A68-$K$6</f>
        <v>-8</v>
      </c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12">
        <v>248.5</v>
      </c>
      <c r="B69" s="13">
        <v>2.2204999999999999</v>
      </c>
      <c r="C69" s="14">
        <f t="shared" si="10"/>
        <v>2220500</v>
      </c>
      <c r="D69" s="15">
        <f t="shared" ref="D69:D100" si="13">(A69-A68)/3*(C68+C69+SQRT(C68*C69))/1000000</f>
        <v>1.095065066587056</v>
      </c>
      <c r="E69" s="16">
        <f t="shared" ref="E69:E100" si="14">E68+D69</f>
        <v>27.233448862140456</v>
      </c>
      <c r="F69" s="17">
        <v>27.276800000000001</v>
      </c>
      <c r="G69" s="18">
        <f t="shared" si="11"/>
        <v>-2.5</v>
      </c>
      <c r="H69" s="18">
        <f t="shared" si="12"/>
        <v>-7.5</v>
      </c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12">
        <v>249</v>
      </c>
      <c r="B70" s="13">
        <v>2.2805</v>
      </c>
      <c r="C70" s="14">
        <f t="shared" si="10"/>
        <v>2280500</v>
      </c>
      <c r="D70" s="15">
        <f t="shared" si="13"/>
        <v>1.1252166725918025</v>
      </c>
      <c r="E70" s="16">
        <f t="shared" si="14"/>
        <v>28.358665534732257</v>
      </c>
      <c r="F70" s="17">
        <v>28.403099999999998</v>
      </c>
      <c r="G70" s="18">
        <f t="shared" si="11"/>
        <v>-2</v>
      </c>
      <c r="H70" s="18">
        <f t="shared" si="12"/>
        <v>-7</v>
      </c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12">
        <v>249.5</v>
      </c>
      <c r="B71" s="13">
        <v>2.3382999999999998</v>
      </c>
      <c r="C71" s="14">
        <f t="shared" si="10"/>
        <v>2338300</v>
      </c>
      <c r="D71" s="15">
        <f t="shared" si="13"/>
        <v>1.1546698607610399</v>
      </c>
      <c r="E71" s="16">
        <f t="shared" si="14"/>
        <v>29.513335395493296</v>
      </c>
      <c r="F71" s="17">
        <v>29.559000000000001</v>
      </c>
      <c r="G71" s="18">
        <f t="shared" si="11"/>
        <v>-1.5</v>
      </c>
      <c r="H71" s="18">
        <f t="shared" si="12"/>
        <v>-6.5</v>
      </c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12">
        <v>250</v>
      </c>
      <c r="B72" s="13">
        <v>2.4066000000000001</v>
      </c>
      <c r="C72" s="14">
        <f t="shared" si="10"/>
        <v>2406600</v>
      </c>
      <c r="D72" s="15">
        <f t="shared" si="13"/>
        <v>1.1861840338076586</v>
      </c>
      <c r="E72" s="16">
        <f t="shared" si="14"/>
        <v>30.699519429300956</v>
      </c>
      <c r="F72" s="17">
        <v>30.747599999999998</v>
      </c>
      <c r="G72" s="18">
        <f t="shared" si="11"/>
        <v>-1</v>
      </c>
      <c r="H72" s="18">
        <f t="shared" si="12"/>
        <v>-6</v>
      </c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12">
        <v>250.5</v>
      </c>
      <c r="B73" s="13">
        <v>2.4727000000000001</v>
      </c>
      <c r="C73" s="14">
        <f t="shared" si="10"/>
        <v>2472700</v>
      </c>
      <c r="D73" s="15">
        <f t="shared" si="13"/>
        <v>1.2197876875228018</v>
      </c>
      <c r="E73" s="16">
        <f t="shared" si="14"/>
        <v>31.919307116823759</v>
      </c>
      <c r="F73" s="17">
        <v>31.968499999999999</v>
      </c>
      <c r="G73" s="18">
        <f t="shared" si="11"/>
        <v>-0.5</v>
      </c>
      <c r="H73" s="18">
        <f t="shared" si="12"/>
        <v>-5.5</v>
      </c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12">
        <v>251</v>
      </c>
      <c r="B74" s="13">
        <v>2.5415999999999999</v>
      </c>
      <c r="C74" s="14">
        <f t="shared" si="10"/>
        <v>2541600</v>
      </c>
      <c r="D74" s="15">
        <f t="shared" si="13"/>
        <v>1.2535355508736874</v>
      </c>
      <c r="E74" s="16">
        <f t="shared" si="14"/>
        <v>33.172842667697445</v>
      </c>
      <c r="F74" s="17">
        <v>33.222900000000003</v>
      </c>
      <c r="G74" s="18">
        <f t="shared" si="11"/>
        <v>0</v>
      </c>
      <c r="H74" s="18">
        <f t="shared" si="12"/>
        <v>-5</v>
      </c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12">
        <v>251.5</v>
      </c>
      <c r="B75" s="13">
        <v>2.6112000000000002</v>
      </c>
      <c r="C75" s="14">
        <f t="shared" si="10"/>
        <v>2611200</v>
      </c>
      <c r="D75" s="15">
        <f t="shared" si="13"/>
        <v>1.2881608272770118</v>
      </c>
      <c r="E75" s="16">
        <f t="shared" si="14"/>
        <v>34.461003494974456</v>
      </c>
      <c r="F75" s="17">
        <v>34.512</v>
      </c>
      <c r="G75" s="18">
        <f t="shared" si="11"/>
        <v>0.5</v>
      </c>
      <c r="H75" s="18">
        <f t="shared" si="12"/>
        <v>-4.5</v>
      </c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12">
        <v>252</v>
      </c>
      <c r="B76" s="13">
        <v>2.6779999999999999</v>
      </c>
      <c r="C76" s="14">
        <f t="shared" si="10"/>
        <v>2678000</v>
      </c>
      <c r="D76" s="15">
        <f t="shared" si="13"/>
        <v>1.3222648464642492</v>
      </c>
      <c r="E76" s="16">
        <f t="shared" si="14"/>
        <v>35.783268341438706</v>
      </c>
      <c r="F76" s="17">
        <v>35.8352</v>
      </c>
      <c r="G76" s="18">
        <f t="shared" si="11"/>
        <v>1</v>
      </c>
      <c r="H76" s="18">
        <f t="shared" si="12"/>
        <v>-4</v>
      </c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12">
        <v>252.5</v>
      </c>
      <c r="B77" s="13">
        <v>2.7502</v>
      </c>
      <c r="C77" s="14">
        <f t="shared" si="10"/>
        <v>2750200</v>
      </c>
      <c r="D77" s="15">
        <f t="shared" si="13"/>
        <v>1.3570099846589971</v>
      </c>
      <c r="E77" s="16">
        <f t="shared" si="14"/>
        <v>37.1402783260977</v>
      </c>
      <c r="F77" s="17">
        <v>37.193199999999997</v>
      </c>
      <c r="G77" s="18">
        <f t="shared" si="11"/>
        <v>1.5</v>
      </c>
      <c r="H77" s="18">
        <f t="shared" si="12"/>
        <v>-3.5</v>
      </c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12">
        <v>253</v>
      </c>
      <c r="B78" s="13">
        <v>2.8216000000000001</v>
      </c>
      <c r="C78" s="14">
        <f t="shared" si="10"/>
        <v>2821600</v>
      </c>
      <c r="D78" s="15">
        <f t="shared" si="13"/>
        <v>1.3929118752071146</v>
      </c>
      <c r="E78" s="16">
        <f t="shared" si="14"/>
        <v>38.533190201304812</v>
      </c>
      <c r="F78" s="17">
        <v>38.587000000000003</v>
      </c>
      <c r="G78" s="18">
        <f t="shared" si="11"/>
        <v>2</v>
      </c>
      <c r="H78" s="18">
        <f t="shared" si="12"/>
        <v>-3</v>
      </c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12">
        <v>253.5</v>
      </c>
      <c r="B79" s="13">
        <v>2.8982999999999999</v>
      </c>
      <c r="C79" s="14">
        <f t="shared" si="10"/>
        <v>2898300</v>
      </c>
      <c r="D79" s="15">
        <f t="shared" si="13"/>
        <v>1.4299321441045416</v>
      </c>
      <c r="E79" s="16">
        <f t="shared" si="14"/>
        <v>39.963122345409353</v>
      </c>
      <c r="F79" s="17">
        <v>40.018099999999997</v>
      </c>
      <c r="G79" s="18">
        <f t="shared" si="11"/>
        <v>2.5</v>
      </c>
      <c r="H79" s="18">
        <f t="shared" si="12"/>
        <v>-2.5</v>
      </c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12">
        <v>254</v>
      </c>
      <c r="B80" s="13">
        <v>2.9714</v>
      </c>
      <c r="C80" s="14">
        <f t="shared" si="10"/>
        <v>2971400</v>
      </c>
      <c r="D80" s="15">
        <f t="shared" si="13"/>
        <v>1.4673870663661803</v>
      </c>
      <c r="E80" s="16">
        <f t="shared" si="14"/>
        <v>41.430509411775532</v>
      </c>
      <c r="F80" s="17">
        <v>41.486400000000003</v>
      </c>
      <c r="G80" s="18">
        <f t="shared" si="11"/>
        <v>3</v>
      </c>
      <c r="H80" s="18">
        <f t="shared" si="12"/>
        <v>-2</v>
      </c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12">
        <v>254.5</v>
      </c>
      <c r="B81" s="13">
        <v>3.05</v>
      </c>
      <c r="C81" s="14">
        <f t="shared" si="10"/>
        <v>3050000</v>
      </c>
      <c r="D81" s="15">
        <f t="shared" si="13"/>
        <v>1.5053072481538639</v>
      </c>
      <c r="E81" s="16">
        <f t="shared" si="14"/>
        <v>42.935816659929394</v>
      </c>
      <c r="F81" s="17">
        <v>42.992100000000001</v>
      </c>
      <c r="G81" s="18">
        <f t="shared" si="11"/>
        <v>3.5</v>
      </c>
      <c r="H81" s="18">
        <f t="shared" si="12"/>
        <v>-1.5</v>
      </c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12">
        <v>255</v>
      </c>
      <c r="B82" s="13">
        <v>3.1284000000000001</v>
      </c>
      <c r="C82" s="14">
        <f t="shared" si="10"/>
        <v>3128400</v>
      </c>
      <c r="D82" s="15">
        <f t="shared" si="13"/>
        <v>1.5445585463911244</v>
      </c>
      <c r="E82" s="16">
        <f t="shared" si="14"/>
        <v>44.480375206320517</v>
      </c>
      <c r="F82" s="17">
        <v>44.539000000000001</v>
      </c>
      <c r="G82" s="18">
        <f t="shared" si="11"/>
        <v>4</v>
      </c>
      <c r="H82" s="18">
        <f t="shared" si="12"/>
        <v>-1</v>
      </c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12">
        <v>255.5</v>
      </c>
      <c r="B83" s="13">
        <v>3.2080000000000002</v>
      </c>
      <c r="C83" s="14">
        <f t="shared" si="10"/>
        <v>3208000</v>
      </c>
      <c r="D83" s="15">
        <f t="shared" si="13"/>
        <v>1.5840583332675704</v>
      </c>
      <c r="E83" s="16">
        <f t="shared" si="14"/>
        <v>46.064433539588087</v>
      </c>
      <c r="F83" s="17">
        <v>46.123899999999999</v>
      </c>
      <c r="G83" s="18">
        <f t="shared" si="11"/>
        <v>4.5</v>
      </c>
      <c r="H83" s="18">
        <f t="shared" si="12"/>
        <v>-0.5</v>
      </c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12">
        <v>256</v>
      </c>
      <c r="B84" s="13">
        <v>3.2894000000000001</v>
      </c>
      <c r="C84" s="14">
        <f t="shared" si="10"/>
        <v>3289400</v>
      </c>
      <c r="D84" s="15">
        <f t="shared" si="13"/>
        <v>1.6243075072335893</v>
      </c>
      <c r="E84" s="16">
        <f t="shared" si="14"/>
        <v>47.688741046821676</v>
      </c>
      <c r="F84" s="17">
        <v>47.749499999999998</v>
      </c>
      <c r="G84" s="18">
        <f t="shared" si="11"/>
        <v>5</v>
      </c>
      <c r="H84" s="18">
        <f t="shared" si="12"/>
        <v>0</v>
      </c>
      <c r="I84" s="2"/>
      <c r="J84" s="2"/>
      <c r="K84" s="2"/>
      <c r="L84" s="2"/>
      <c r="M84" s="2"/>
      <c r="N84" s="2"/>
      <c r="O84" s="2"/>
      <c r="P84" s="2"/>
    </row>
  </sheetData>
  <mergeCells count="1">
    <mergeCell ref="A2:H2"/>
  </mergeCells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47"/>
  <sheetViews>
    <sheetView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5" width="14" customWidth="1"/>
    <col min="6" max="6" width="16" customWidth="1"/>
    <col min="7" max="8" width="14" customWidth="1"/>
    <col min="10" max="10" width="27" customWidth="1"/>
    <col min="11" max="11" width="12" customWidth="1"/>
  </cols>
  <sheetData>
    <row r="1" spans="1:16" ht="15.75" x14ac:dyDescent="0.25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9.950000000000003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</row>
    <row r="3" spans="1:16" ht="42" customHeigh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2"/>
      <c r="J3" s="2"/>
      <c r="K3" s="2"/>
      <c r="L3" s="2"/>
      <c r="M3" s="11" t="s">
        <v>43</v>
      </c>
      <c r="N3" s="2"/>
      <c r="O3" s="2"/>
      <c r="P3" s="2"/>
    </row>
    <row r="4" spans="1:16" x14ac:dyDescent="0.25">
      <c r="A4" s="12">
        <v>43.5</v>
      </c>
      <c r="B4" s="13">
        <v>2.0000000000000001E-4</v>
      </c>
      <c r="C4" s="14">
        <f t="shared" ref="C4:C47" si="0">B4*1000000</f>
        <v>200</v>
      </c>
      <c r="D4" s="15">
        <v>0</v>
      </c>
      <c r="E4" s="16">
        <v>0</v>
      </c>
      <c r="F4" s="17">
        <v>0</v>
      </c>
      <c r="G4" s="18">
        <f t="shared" ref="G4:G47" si="1">A4-$K$5</f>
        <v>-16.5</v>
      </c>
      <c r="H4" s="18">
        <f t="shared" ref="H4:H47" si="2">A4-$K$6</f>
        <v>-21.5</v>
      </c>
      <c r="I4" s="2"/>
      <c r="J4" s="4" t="s">
        <v>44</v>
      </c>
      <c r="K4" s="19" t="str">
        <f>"Hawasinah EX"</f>
        <v>Hawasinah EX</v>
      </c>
      <c r="L4" s="2"/>
      <c r="M4" s="11" t="s">
        <v>45</v>
      </c>
      <c r="N4" s="11" t="s">
        <v>46</v>
      </c>
      <c r="O4" s="11" t="s">
        <v>47</v>
      </c>
      <c r="P4" s="11" t="s">
        <v>48</v>
      </c>
    </row>
    <row r="5" spans="1:16" x14ac:dyDescent="0.25">
      <c r="A5" s="12">
        <v>44</v>
      </c>
      <c r="B5" s="13">
        <v>9.1000000000000004E-3</v>
      </c>
      <c r="C5" s="14">
        <f t="shared" si="0"/>
        <v>9100</v>
      </c>
      <c r="D5" s="15">
        <f t="shared" ref="D5:D47" si="3">(A5-A4)/3*(C4+C5+SQRT(C4*C5))/1000000</f>
        <v>1.7748456260538671E-3</v>
      </c>
      <c r="E5" s="16">
        <f t="shared" ref="E5:E47" si="4">E4+D5</f>
        <v>1.7748456260538671E-3</v>
      </c>
      <c r="F5" s="17">
        <v>1.5E-3</v>
      </c>
      <c r="G5" s="18">
        <f t="shared" si="1"/>
        <v>-16</v>
      </c>
      <c r="H5" s="18">
        <f t="shared" si="2"/>
        <v>-21</v>
      </c>
      <c r="I5" s="2"/>
      <c r="J5" s="20" t="s">
        <v>3</v>
      </c>
      <c r="K5" s="21">
        <f>Dams!C6</f>
        <v>60</v>
      </c>
      <c r="L5" s="2"/>
      <c r="M5" s="2">
        <v>0</v>
      </c>
      <c r="N5" s="2">
        <f>K5</f>
        <v>60</v>
      </c>
      <c r="O5" s="2">
        <f>K6</f>
        <v>65</v>
      </c>
      <c r="P5" s="2">
        <v>0</v>
      </c>
    </row>
    <row r="6" spans="1:16" x14ac:dyDescent="0.25">
      <c r="A6" s="12">
        <v>44.5</v>
      </c>
      <c r="B6" s="13">
        <v>2.5000000000000001E-2</v>
      </c>
      <c r="C6" s="14">
        <f t="shared" si="0"/>
        <v>25000</v>
      </c>
      <c r="D6" s="15">
        <f t="shared" si="3"/>
        <v>8.1971838548330605E-3</v>
      </c>
      <c r="E6" s="16">
        <f t="shared" si="4"/>
        <v>9.9720294808869278E-3</v>
      </c>
      <c r="F6" s="17">
        <v>1.06E-2</v>
      </c>
      <c r="G6" s="18">
        <f t="shared" si="1"/>
        <v>-15.5</v>
      </c>
      <c r="H6" s="18">
        <f t="shared" si="2"/>
        <v>-20.5</v>
      </c>
      <c r="I6" s="2"/>
      <c r="J6" s="20" t="s">
        <v>49</v>
      </c>
      <c r="K6" s="21">
        <f>Dams!B6</f>
        <v>65</v>
      </c>
      <c r="L6" s="2"/>
      <c r="M6" s="2">
        <f>K15*1.02</f>
        <v>145.63060644619202</v>
      </c>
      <c r="N6" s="2">
        <f>K5</f>
        <v>60</v>
      </c>
      <c r="O6" s="2">
        <f>K6</f>
        <v>65</v>
      </c>
      <c r="P6" s="2">
        <f>K16*1.02</f>
        <v>15.005220000000001</v>
      </c>
    </row>
    <row r="7" spans="1:16" x14ac:dyDescent="0.25">
      <c r="A7" s="12">
        <v>45</v>
      </c>
      <c r="B7" s="13">
        <v>3.0300000000000001E-2</v>
      </c>
      <c r="C7" s="14">
        <f t="shared" si="0"/>
        <v>30300</v>
      </c>
      <c r="D7" s="15">
        <f t="shared" si="3"/>
        <v>1.3803786314840961E-2</v>
      </c>
      <c r="E7" s="16">
        <f t="shared" si="4"/>
        <v>2.3775815795727889E-2</v>
      </c>
      <c r="F7" s="17">
        <v>2.47E-2</v>
      </c>
      <c r="G7" s="18">
        <f t="shared" si="1"/>
        <v>-15</v>
      </c>
      <c r="H7" s="18">
        <f t="shared" si="2"/>
        <v>-20</v>
      </c>
      <c r="I7" s="2"/>
      <c r="J7" s="20" t="s">
        <v>9</v>
      </c>
      <c r="K7" s="21">
        <f>A4</f>
        <v>43.5</v>
      </c>
      <c r="L7" s="2"/>
      <c r="M7" s="11" t="str">
        <f>"FSL "&amp;TEXT(K5,"0.0")&amp;" m"</f>
        <v>FSL 60.0 m</v>
      </c>
      <c r="N7" s="2"/>
      <c r="O7" s="2"/>
      <c r="P7" s="2"/>
    </row>
    <row r="8" spans="1:16" x14ac:dyDescent="0.25">
      <c r="A8" s="12">
        <v>45.5</v>
      </c>
      <c r="B8" s="13">
        <v>0.30509999999999998</v>
      </c>
      <c r="C8" s="14">
        <f t="shared" si="0"/>
        <v>305100</v>
      </c>
      <c r="D8" s="15">
        <f t="shared" si="3"/>
        <v>7.1924746487854338E-2</v>
      </c>
      <c r="E8" s="16">
        <f t="shared" si="4"/>
        <v>9.570056228358223E-2</v>
      </c>
      <c r="F8" s="17">
        <v>0.1166</v>
      </c>
      <c r="G8" s="18">
        <f t="shared" si="1"/>
        <v>-14.5</v>
      </c>
      <c r="H8" s="18">
        <f t="shared" si="2"/>
        <v>-19.5</v>
      </c>
      <c r="I8" s="2"/>
      <c r="J8" s="20" t="s">
        <v>10</v>
      </c>
      <c r="K8" s="21">
        <f>K6-K7</f>
        <v>21.5</v>
      </c>
      <c r="L8" s="2"/>
      <c r="M8" s="11" t="str">
        <f>"Crest "&amp;TEXT(K6,"0.0")&amp;" m"</f>
        <v>Crest 65.0 m</v>
      </c>
      <c r="N8" s="2"/>
      <c r="O8" s="2"/>
      <c r="P8" s="2"/>
    </row>
    <row r="9" spans="1:16" x14ac:dyDescent="0.25">
      <c r="A9" s="12">
        <v>46</v>
      </c>
      <c r="B9" s="13">
        <v>0.81779999999999997</v>
      </c>
      <c r="C9" s="14">
        <f t="shared" si="0"/>
        <v>817800</v>
      </c>
      <c r="D9" s="15">
        <f t="shared" si="3"/>
        <v>0.27040175673822137</v>
      </c>
      <c r="E9" s="16">
        <f t="shared" si="4"/>
        <v>0.36610231902180357</v>
      </c>
      <c r="F9" s="17">
        <v>0.42270000000000002</v>
      </c>
      <c r="G9" s="18">
        <f t="shared" si="1"/>
        <v>-14</v>
      </c>
      <c r="H9" s="18">
        <f t="shared" si="2"/>
        <v>-19</v>
      </c>
      <c r="I9" s="2"/>
      <c r="J9" s="20" t="s">
        <v>11</v>
      </c>
      <c r="K9" s="19">
        <f>INDEX(B4:B47,MATCH(K5,A4:A47,0))</f>
        <v>10.774699999999999</v>
      </c>
      <c r="L9" s="2"/>
      <c r="M9" s="11" t="str">
        <f>"Elevation-volume curve"</f>
        <v>Elevation-volume curve</v>
      </c>
      <c r="N9" s="2"/>
      <c r="O9" s="2"/>
      <c r="P9" s="2"/>
    </row>
    <row r="10" spans="1:16" x14ac:dyDescent="0.25">
      <c r="A10" s="12">
        <v>46.5</v>
      </c>
      <c r="B10" s="13">
        <v>1.1237999999999999</v>
      </c>
      <c r="C10" s="14">
        <f t="shared" si="0"/>
        <v>1123800</v>
      </c>
      <c r="D10" s="15">
        <f t="shared" si="3"/>
        <v>0.48337793965375819</v>
      </c>
      <c r="E10" s="16">
        <f t="shared" si="4"/>
        <v>0.84948025867556176</v>
      </c>
      <c r="F10" s="17">
        <v>0.91620000000000001</v>
      </c>
      <c r="G10" s="18">
        <f t="shared" si="1"/>
        <v>-13.5</v>
      </c>
      <c r="H10" s="18">
        <f t="shared" si="2"/>
        <v>-18.5</v>
      </c>
      <c r="I10" s="2"/>
      <c r="J10" s="20" t="s">
        <v>12</v>
      </c>
      <c r="K10" s="19">
        <f>INDEX(E4:E47,MATCH(K5,A4:A47,0))</f>
        <v>79.215780125263706</v>
      </c>
      <c r="L10" s="2"/>
      <c r="M10" s="11" t="str">
        <f>"Elevation-area curve"</f>
        <v>Elevation-area curve</v>
      </c>
      <c r="N10" s="2"/>
      <c r="O10" s="2"/>
      <c r="P10" s="2"/>
    </row>
    <row r="11" spans="1:16" x14ac:dyDescent="0.25">
      <c r="A11" s="12">
        <v>47</v>
      </c>
      <c r="B11" s="13">
        <v>1.4401999999999999</v>
      </c>
      <c r="C11" s="14">
        <f t="shared" si="0"/>
        <v>1440200</v>
      </c>
      <c r="D11" s="15">
        <f t="shared" si="3"/>
        <v>0.63936692343955526</v>
      </c>
      <c r="E11" s="16">
        <f t="shared" si="4"/>
        <v>1.488847182115117</v>
      </c>
      <c r="F11" s="17">
        <v>1.5682</v>
      </c>
      <c r="G11" s="18">
        <f t="shared" si="1"/>
        <v>-13</v>
      </c>
      <c r="H11" s="18">
        <f t="shared" si="2"/>
        <v>-18</v>
      </c>
      <c r="I11" s="2"/>
      <c r="J11" s="20" t="s">
        <v>50</v>
      </c>
      <c r="K11" s="19">
        <f>Dams!D6</f>
        <v>81</v>
      </c>
      <c r="L11" s="2"/>
      <c r="M11" s="2"/>
      <c r="N11" s="2"/>
      <c r="O11" s="2"/>
      <c r="P11" s="2"/>
    </row>
    <row r="12" spans="1:16" x14ac:dyDescent="0.25">
      <c r="A12" s="12">
        <v>47.5</v>
      </c>
      <c r="B12" s="13">
        <v>1.7301</v>
      </c>
      <c r="C12" s="14">
        <f t="shared" si="0"/>
        <v>1730100</v>
      </c>
      <c r="D12" s="15">
        <f t="shared" si="3"/>
        <v>0.79146813271685279</v>
      </c>
      <c r="E12" s="16">
        <f t="shared" si="4"/>
        <v>2.2803153148319697</v>
      </c>
      <c r="F12" s="17">
        <v>2.3712</v>
      </c>
      <c r="G12" s="18">
        <f t="shared" si="1"/>
        <v>-12.5</v>
      </c>
      <c r="H12" s="18">
        <f t="shared" si="2"/>
        <v>-17.5</v>
      </c>
      <c r="I12" s="2"/>
      <c r="J12" s="20" t="s">
        <v>51</v>
      </c>
      <c r="K12" s="22">
        <f>K10/K11-1</f>
        <v>-2.2027405860941873E-2</v>
      </c>
      <c r="L12" s="2"/>
      <c r="M12" s="2"/>
      <c r="N12" s="2"/>
      <c r="O12" s="2"/>
      <c r="P12" s="2"/>
    </row>
    <row r="13" spans="1:16" x14ac:dyDescent="0.25">
      <c r="A13" s="12">
        <v>48</v>
      </c>
      <c r="B13" s="13">
        <v>2.0865</v>
      </c>
      <c r="C13" s="14">
        <f t="shared" si="0"/>
        <v>2086500</v>
      </c>
      <c r="D13" s="15">
        <f t="shared" si="3"/>
        <v>0.95276024774196066</v>
      </c>
      <c r="E13" s="16">
        <f t="shared" si="4"/>
        <v>3.2330755625739305</v>
      </c>
      <c r="F13" s="17">
        <v>3.3334000000000001</v>
      </c>
      <c r="G13" s="18">
        <f t="shared" si="1"/>
        <v>-12</v>
      </c>
      <c r="H13" s="18">
        <f t="shared" si="2"/>
        <v>-17</v>
      </c>
      <c r="I13" s="2"/>
      <c r="J13" s="20" t="s">
        <v>14</v>
      </c>
      <c r="K13" s="19">
        <f>INDEX(B4:B47,MATCH(K6,A4:A47,0))</f>
        <v>14.711</v>
      </c>
      <c r="L13" s="2"/>
      <c r="M13" s="2"/>
      <c r="N13" s="2"/>
      <c r="O13" s="2"/>
      <c r="P13" s="2"/>
    </row>
    <row r="14" spans="1:16" x14ac:dyDescent="0.25">
      <c r="A14" s="12">
        <v>48.5</v>
      </c>
      <c r="B14" s="13">
        <v>2.4117000000000002</v>
      </c>
      <c r="C14" s="14">
        <f t="shared" si="0"/>
        <v>2411700</v>
      </c>
      <c r="D14" s="15">
        <f t="shared" si="3"/>
        <v>1.1235691114547977</v>
      </c>
      <c r="E14" s="16">
        <f t="shared" si="4"/>
        <v>4.3566446740287281</v>
      </c>
      <c r="F14" s="17">
        <v>4.4652000000000003</v>
      </c>
      <c r="G14" s="18">
        <f t="shared" si="1"/>
        <v>-11.5</v>
      </c>
      <c r="H14" s="18">
        <f t="shared" si="2"/>
        <v>-16.5</v>
      </c>
      <c r="I14" s="2"/>
      <c r="J14" s="20" t="s">
        <v>15</v>
      </c>
      <c r="K14" s="19">
        <f>INDEX(E4:E47,MATCH(K6,A4:A47,0))</f>
        <v>142.77510435901178</v>
      </c>
      <c r="L14" s="2"/>
      <c r="M14" s="2"/>
      <c r="N14" s="2"/>
      <c r="O14" s="2"/>
      <c r="P14" s="2"/>
    </row>
    <row r="15" spans="1:16" x14ac:dyDescent="0.25">
      <c r="A15" s="12">
        <v>49</v>
      </c>
      <c r="B15" s="13">
        <v>2.7399</v>
      </c>
      <c r="C15" s="14">
        <f t="shared" si="0"/>
        <v>2739900</v>
      </c>
      <c r="D15" s="15">
        <f t="shared" si="3"/>
        <v>1.2870279023359708</v>
      </c>
      <c r="E15" s="16">
        <f t="shared" si="4"/>
        <v>5.6436725763646987</v>
      </c>
      <c r="F15" s="17">
        <v>5.7603</v>
      </c>
      <c r="G15" s="18">
        <f t="shared" si="1"/>
        <v>-11</v>
      </c>
      <c r="H15" s="18">
        <f t="shared" si="2"/>
        <v>-16</v>
      </c>
      <c r="I15" s="2"/>
      <c r="J15" s="20" t="s">
        <v>52</v>
      </c>
      <c r="K15" s="19">
        <f>MAX(E4:E47)</f>
        <v>142.77510435901178</v>
      </c>
      <c r="L15" s="2"/>
      <c r="M15" s="2"/>
      <c r="N15" s="2"/>
      <c r="O15" s="2"/>
      <c r="P15" s="2"/>
    </row>
    <row r="16" spans="1:16" x14ac:dyDescent="0.25">
      <c r="A16" s="12">
        <v>49.5</v>
      </c>
      <c r="B16" s="13">
        <v>3.0891999999999999</v>
      </c>
      <c r="C16" s="14">
        <f t="shared" si="0"/>
        <v>3089200</v>
      </c>
      <c r="D16" s="15">
        <f t="shared" si="3"/>
        <v>1.4564020792471375</v>
      </c>
      <c r="E16" s="16">
        <f t="shared" si="4"/>
        <v>7.1000746556118361</v>
      </c>
      <c r="F16" s="17">
        <v>7.2262000000000004</v>
      </c>
      <c r="G16" s="18">
        <f t="shared" si="1"/>
        <v>-10.5</v>
      </c>
      <c r="H16" s="18">
        <f t="shared" si="2"/>
        <v>-15.5</v>
      </c>
      <c r="I16" s="2"/>
      <c r="J16" s="20" t="s">
        <v>53</v>
      </c>
      <c r="K16" s="19">
        <f>MAX(B4:B47)</f>
        <v>14.711</v>
      </c>
      <c r="L16" s="2"/>
      <c r="M16" s="2"/>
      <c r="N16" s="2"/>
      <c r="O16" s="2"/>
      <c r="P16" s="2"/>
    </row>
    <row r="17" spans="1:16" x14ac:dyDescent="0.25">
      <c r="A17" s="12">
        <v>50</v>
      </c>
      <c r="B17" s="13">
        <v>3.4651000000000001</v>
      </c>
      <c r="C17" s="14">
        <f t="shared" si="0"/>
        <v>3465100</v>
      </c>
      <c r="D17" s="15">
        <f t="shared" si="3"/>
        <v>1.637675989721727</v>
      </c>
      <c r="E17" s="16">
        <f t="shared" si="4"/>
        <v>8.7377506453335627</v>
      </c>
      <c r="F17" s="17">
        <v>8.8737999999999992</v>
      </c>
      <c r="G17" s="18">
        <f t="shared" si="1"/>
        <v>-10</v>
      </c>
      <c r="H17" s="18">
        <f t="shared" si="2"/>
        <v>-15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2">
        <v>50.5</v>
      </c>
      <c r="B18" s="13">
        <v>3.8285</v>
      </c>
      <c r="C18" s="14">
        <f t="shared" si="0"/>
        <v>3828500</v>
      </c>
      <c r="D18" s="15">
        <f t="shared" si="3"/>
        <v>1.8226451051793615</v>
      </c>
      <c r="E18" s="16">
        <f t="shared" si="4"/>
        <v>10.560395750512924</v>
      </c>
      <c r="F18" s="17">
        <v>10.7043</v>
      </c>
      <c r="G18" s="18">
        <f t="shared" si="1"/>
        <v>-9.5</v>
      </c>
      <c r="H18" s="18">
        <f t="shared" si="2"/>
        <v>-14.5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2">
        <v>51</v>
      </c>
      <c r="B19" s="13">
        <v>4.1801000000000004</v>
      </c>
      <c r="C19" s="14">
        <f t="shared" si="0"/>
        <v>4180100.0000000005</v>
      </c>
      <c r="D19" s="15">
        <f t="shared" si="3"/>
        <v>2.0015065136918095</v>
      </c>
      <c r="E19" s="16">
        <f t="shared" si="4"/>
        <v>12.561902264204734</v>
      </c>
      <c r="F19" s="17">
        <v>12.715299999999999</v>
      </c>
      <c r="G19" s="18">
        <f t="shared" si="1"/>
        <v>-9</v>
      </c>
      <c r="H19" s="18">
        <f t="shared" si="2"/>
        <v>-14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2">
        <v>51.5</v>
      </c>
      <c r="B20" s="13">
        <v>4.5281000000000002</v>
      </c>
      <c r="C20" s="14">
        <f t="shared" si="0"/>
        <v>4528100</v>
      </c>
      <c r="D20" s="15">
        <f t="shared" si="3"/>
        <v>2.1764703146217559</v>
      </c>
      <c r="E20" s="16">
        <f t="shared" si="4"/>
        <v>14.738372578826491</v>
      </c>
      <c r="F20" s="17">
        <v>14.902200000000001</v>
      </c>
      <c r="G20" s="18">
        <f t="shared" si="1"/>
        <v>-8.5</v>
      </c>
      <c r="H20" s="18">
        <f t="shared" si="2"/>
        <v>-13.5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2">
        <v>52</v>
      </c>
      <c r="B21" s="13">
        <v>4.8754999999999997</v>
      </c>
      <c r="C21" s="14">
        <f t="shared" si="0"/>
        <v>4875500</v>
      </c>
      <c r="D21" s="15">
        <f t="shared" si="3"/>
        <v>2.3503650631732045</v>
      </c>
      <c r="E21" s="16">
        <f t="shared" si="4"/>
        <v>17.088737641999696</v>
      </c>
      <c r="F21" s="17">
        <v>17.261500000000002</v>
      </c>
      <c r="G21" s="18">
        <f t="shared" si="1"/>
        <v>-8</v>
      </c>
      <c r="H21" s="18">
        <f t="shared" si="2"/>
        <v>-13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2">
        <v>52.5</v>
      </c>
      <c r="B22" s="13">
        <v>5.2061000000000002</v>
      </c>
      <c r="C22" s="14">
        <f t="shared" si="0"/>
        <v>5206100</v>
      </c>
      <c r="D22" s="15">
        <f t="shared" si="3"/>
        <v>2.5199481629959459</v>
      </c>
      <c r="E22" s="16">
        <f t="shared" si="4"/>
        <v>19.608685804995641</v>
      </c>
      <c r="F22" s="17">
        <v>19.785799999999998</v>
      </c>
      <c r="G22" s="18">
        <f t="shared" si="1"/>
        <v>-7.5</v>
      </c>
      <c r="H22" s="18">
        <f t="shared" si="2"/>
        <v>-12.5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2">
        <v>53</v>
      </c>
      <c r="B23" s="13">
        <v>5.5528000000000004</v>
      </c>
      <c r="C23" s="14">
        <f t="shared" si="0"/>
        <v>5552800</v>
      </c>
      <c r="D23" s="15">
        <f t="shared" si="3"/>
        <v>2.689259369565022</v>
      </c>
      <c r="E23" s="16">
        <f t="shared" si="4"/>
        <v>22.297945174560663</v>
      </c>
      <c r="F23" s="17">
        <v>22.485199999999999</v>
      </c>
      <c r="G23" s="18">
        <f t="shared" si="1"/>
        <v>-7</v>
      </c>
      <c r="H23" s="18">
        <f t="shared" si="2"/>
        <v>-12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2">
        <v>53.5</v>
      </c>
      <c r="B24" s="13">
        <v>5.9211</v>
      </c>
      <c r="C24" s="14">
        <f t="shared" si="0"/>
        <v>5921100</v>
      </c>
      <c r="D24" s="15">
        <f t="shared" si="3"/>
        <v>2.8679822881054622</v>
      </c>
      <c r="E24" s="16">
        <f t="shared" si="4"/>
        <v>25.165927462666126</v>
      </c>
      <c r="F24" s="17">
        <v>25.3645</v>
      </c>
      <c r="G24" s="18">
        <f t="shared" si="1"/>
        <v>-6.5</v>
      </c>
      <c r="H24" s="18">
        <f t="shared" si="2"/>
        <v>-11.5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2">
        <v>54</v>
      </c>
      <c r="B25" s="13">
        <v>6.2968000000000002</v>
      </c>
      <c r="C25" s="14">
        <f t="shared" si="0"/>
        <v>6296800</v>
      </c>
      <c r="D25" s="15">
        <f t="shared" si="3"/>
        <v>3.0539935210757667</v>
      </c>
      <c r="E25" s="16">
        <f t="shared" si="4"/>
        <v>28.219920983741893</v>
      </c>
      <c r="F25" s="17">
        <v>28.429099999999998</v>
      </c>
      <c r="G25" s="18">
        <f t="shared" si="1"/>
        <v>-6</v>
      </c>
      <c r="H25" s="18">
        <f t="shared" si="2"/>
        <v>-11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2">
        <v>54.5</v>
      </c>
      <c r="B26" s="13">
        <v>6.6463999999999999</v>
      </c>
      <c r="C26" s="14">
        <f t="shared" si="0"/>
        <v>6646400</v>
      </c>
      <c r="D26" s="15">
        <f t="shared" si="3"/>
        <v>3.2354064778551872</v>
      </c>
      <c r="E26" s="16">
        <f t="shared" si="4"/>
        <v>31.455327461597079</v>
      </c>
      <c r="F26" s="17">
        <v>31.670300000000001</v>
      </c>
      <c r="G26" s="18">
        <f t="shared" si="1"/>
        <v>-5.5</v>
      </c>
      <c r="H26" s="18">
        <f t="shared" si="2"/>
        <v>-10.5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12">
        <v>55</v>
      </c>
      <c r="B27" s="13">
        <v>7.0137</v>
      </c>
      <c r="C27" s="14">
        <f t="shared" si="0"/>
        <v>7013700</v>
      </c>
      <c r="D27" s="15">
        <f t="shared" si="3"/>
        <v>3.4146134190591653</v>
      </c>
      <c r="E27" s="16">
        <f t="shared" si="4"/>
        <v>34.869940880656245</v>
      </c>
      <c r="F27" s="17">
        <v>35.094999999999999</v>
      </c>
      <c r="G27" s="18">
        <f t="shared" si="1"/>
        <v>-5</v>
      </c>
      <c r="H27" s="18">
        <f t="shared" si="2"/>
        <v>-10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12">
        <v>55.5</v>
      </c>
      <c r="B28" s="13">
        <v>7.3922999999999996</v>
      </c>
      <c r="C28" s="14">
        <f t="shared" si="0"/>
        <v>7392300</v>
      </c>
      <c r="D28" s="15">
        <f t="shared" si="3"/>
        <v>3.6010853500897344</v>
      </c>
      <c r="E28" s="16">
        <f t="shared" si="4"/>
        <v>38.471026230745977</v>
      </c>
      <c r="F28" s="17">
        <v>38.706499999999998</v>
      </c>
      <c r="G28" s="18">
        <f t="shared" si="1"/>
        <v>-4.5</v>
      </c>
      <c r="H28" s="18">
        <f t="shared" si="2"/>
        <v>-9.5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2">
        <v>56</v>
      </c>
      <c r="B29" s="13">
        <v>7.7624000000000004</v>
      </c>
      <c r="C29" s="14">
        <f t="shared" si="0"/>
        <v>7762400</v>
      </c>
      <c r="D29" s="15">
        <f t="shared" si="3"/>
        <v>3.7882983444652139</v>
      </c>
      <c r="E29" s="16">
        <f t="shared" si="4"/>
        <v>42.259324575211188</v>
      </c>
      <c r="F29" s="17">
        <v>42.503599999999999</v>
      </c>
      <c r="G29" s="18">
        <f t="shared" si="1"/>
        <v>-4</v>
      </c>
      <c r="H29" s="18">
        <f t="shared" si="2"/>
        <v>-9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12">
        <v>56.5</v>
      </c>
      <c r="B30" s="13">
        <v>8.1305999999999994</v>
      </c>
      <c r="C30" s="14">
        <f t="shared" si="0"/>
        <v>8130599.9999999991</v>
      </c>
      <c r="D30" s="15">
        <f t="shared" si="3"/>
        <v>3.9728945252727392</v>
      </c>
      <c r="E30" s="16">
        <f t="shared" si="4"/>
        <v>46.232219100483931</v>
      </c>
      <c r="F30" s="17">
        <v>46.482799999999997</v>
      </c>
      <c r="G30" s="18">
        <f t="shared" si="1"/>
        <v>-3.5</v>
      </c>
      <c r="H30" s="18">
        <f t="shared" si="2"/>
        <v>-8.5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2">
        <v>57</v>
      </c>
      <c r="B31" s="13">
        <v>8.4882000000000009</v>
      </c>
      <c r="C31" s="14">
        <f t="shared" si="0"/>
        <v>8488200</v>
      </c>
      <c r="D31" s="15">
        <f t="shared" si="3"/>
        <v>4.1543793476720641</v>
      </c>
      <c r="E31" s="16">
        <f t="shared" si="4"/>
        <v>50.386598448155993</v>
      </c>
      <c r="F31" s="17">
        <v>50.648200000000003</v>
      </c>
      <c r="G31" s="18">
        <f t="shared" si="1"/>
        <v>-3</v>
      </c>
      <c r="H31" s="18">
        <f t="shared" si="2"/>
        <v>-8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12">
        <v>57.5</v>
      </c>
      <c r="B32" s="13">
        <v>8.8397000000000006</v>
      </c>
      <c r="C32" s="14">
        <f t="shared" si="0"/>
        <v>8839700</v>
      </c>
      <c r="D32" s="15">
        <f t="shared" si="3"/>
        <v>4.3316778757025505</v>
      </c>
      <c r="E32" s="16">
        <f t="shared" si="4"/>
        <v>54.718276323858547</v>
      </c>
      <c r="F32" s="17">
        <v>54.989600000000003</v>
      </c>
      <c r="G32" s="18">
        <f t="shared" si="1"/>
        <v>-2.5</v>
      </c>
      <c r="H32" s="18">
        <f t="shared" si="2"/>
        <v>-7.5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12">
        <v>58</v>
      </c>
      <c r="B33" s="13">
        <v>9.2241</v>
      </c>
      <c r="C33" s="14">
        <f t="shared" si="0"/>
        <v>9224100</v>
      </c>
      <c r="D33" s="15">
        <f t="shared" si="3"/>
        <v>4.5156091246668675</v>
      </c>
      <c r="E33" s="16">
        <f t="shared" si="4"/>
        <v>59.233885448525413</v>
      </c>
      <c r="F33" s="17">
        <v>59.514699999999998</v>
      </c>
      <c r="G33" s="18">
        <f t="shared" si="1"/>
        <v>-2</v>
      </c>
      <c r="H33" s="18">
        <f t="shared" si="2"/>
        <v>-7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2">
        <v>58.5</v>
      </c>
      <c r="B34" s="13">
        <v>9.6126000000000005</v>
      </c>
      <c r="C34" s="14">
        <f t="shared" si="0"/>
        <v>9612600</v>
      </c>
      <c r="D34" s="15">
        <f t="shared" si="3"/>
        <v>4.7088411032626629</v>
      </c>
      <c r="E34" s="16">
        <f t="shared" si="4"/>
        <v>63.942726551788077</v>
      </c>
      <c r="F34" s="17">
        <v>64.231399999999994</v>
      </c>
      <c r="G34" s="18">
        <f t="shared" si="1"/>
        <v>-1.5</v>
      </c>
      <c r="H34" s="18">
        <f t="shared" si="2"/>
        <v>-6.5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2">
        <v>59</v>
      </c>
      <c r="B35" s="13">
        <v>9.9886999999999997</v>
      </c>
      <c r="C35" s="14">
        <f t="shared" si="0"/>
        <v>9988700</v>
      </c>
      <c r="D35" s="15">
        <f t="shared" si="3"/>
        <v>4.9000242881603597</v>
      </c>
      <c r="E35" s="16">
        <f t="shared" si="4"/>
        <v>68.842750839948437</v>
      </c>
      <c r="F35" s="17">
        <v>69.143500000000003</v>
      </c>
      <c r="G35" s="18">
        <f t="shared" si="1"/>
        <v>-1</v>
      </c>
      <c r="H35" s="18">
        <f t="shared" si="2"/>
        <v>-6</v>
      </c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2">
        <v>59.5</v>
      </c>
      <c r="B36" s="13">
        <v>10.365600000000001</v>
      </c>
      <c r="C36" s="14">
        <f t="shared" si="0"/>
        <v>10365600</v>
      </c>
      <c r="D36" s="15">
        <f t="shared" si="3"/>
        <v>5.0882841814570279</v>
      </c>
      <c r="E36" s="16">
        <f t="shared" si="4"/>
        <v>73.931035021405464</v>
      </c>
      <c r="F36" s="17">
        <v>74.2423</v>
      </c>
      <c r="G36" s="18">
        <f t="shared" si="1"/>
        <v>-0.5</v>
      </c>
      <c r="H36" s="18">
        <f t="shared" si="2"/>
        <v>-5.5</v>
      </c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12">
        <v>60</v>
      </c>
      <c r="B37" s="13">
        <v>10.774699999999999</v>
      </c>
      <c r="C37" s="14">
        <f t="shared" si="0"/>
        <v>10774700</v>
      </c>
      <c r="D37" s="15">
        <f t="shared" si="3"/>
        <v>5.2847451038582491</v>
      </c>
      <c r="E37" s="16">
        <f t="shared" si="4"/>
        <v>79.215780125263706</v>
      </c>
      <c r="F37" s="17">
        <v>79.536199999999994</v>
      </c>
      <c r="G37" s="18">
        <f t="shared" si="1"/>
        <v>0</v>
      </c>
      <c r="H37" s="18">
        <f t="shared" si="2"/>
        <v>-5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12">
        <v>60.5</v>
      </c>
      <c r="B38" s="13">
        <v>11.149699999999999</v>
      </c>
      <c r="C38" s="14">
        <f t="shared" si="0"/>
        <v>11149700</v>
      </c>
      <c r="D38" s="15">
        <f t="shared" si="3"/>
        <v>5.4808327268427117</v>
      </c>
      <c r="E38" s="16">
        <f t="shared" si="4"/>
        <v>84.696612852106412</v>
      </c>
      <c r="F38" s="17">
        <v>85.021699999999996</v>
      </c>
      <c r="G38" s="18">
        <f t="shared" si="1"/>
        <v>0.5</v>
      </c>
      <c r="H38" s="18">
        <f t="shared" si="2"/>
        <v>-4.5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2">
        <v>61</v>
      </c>
      <c r="B39" s="13">
        <v>11.5266</v>
      </c>
      <c r="C39" s="14">
        <f t="shared" si="0"/>
        <v>11526600</v>
      </c>
      <c r="D39" s="15">
        <f t="shared" si="3"/>
        <v>5.6688139649434657</v>
      </c>
      <c r="E39" s="16">
        <f t="shared" si="4"/>
        <v>90.36542681704988</v>
      </c>
      <c r="F39" s="17">
        <v>90.702200000000005</v>
      </c>
      <c r="G39" s="18">
        <f t="shared" si="1"/>
        <v>1</v>
      </c>
      <c r="H39" s="18">
        <f t="shared" si="2"/>
        <v>-4</v>
      </c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12">
        <v>61.5</v>
      </c>
      <c r="B40" s="13">
        <v>11.923</v>
      </c>
      <c r="C40" s="14">
        <f t="shared" si="0"/>
        <v>11923000</v>
      </c>
      <c r="D40" s="15">
        <f t="shared" si="3"/>
        <v>5.862120776710027</v>
      </c>
      <c r="E40" s="16">
        <f t="shared" si="4"/>
        <v>96.227547593759908</v>
      </c>
      <c r="F40" s="17">
        <v>96.5749</v>
      </c>
      <c r="G40" s="18">
        <f t="shared" si="1"/>
        <v>1.5</v>
      </c>
      <c r="H40" s="18">
        <f t="shared" si="2"/>
        <v>-3.5</v>
      </c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12">
        <v>62</v>
      </c>
      <c r="B41" s="13">
        <v>12.324999999999999</v>
      </c>
      <c r="C41" s="14">
        <f t="shared" si="0"/>
        <v>12325000</v>
      </c>
      <c r="D41" s="15">
        <f t="shared" si="3"/>
        <v>6.0617222879105892</v>
      </c>
      <c r="E41" s="16">
        <f t="shared" si="4"/>
        <v>102.28926988167049</v>
      </c>
      <c r="F41" s="17">
        <v>102.6469</v>
      </c>
      <c r="G41" s="18">
        <f t="shared" si="1"/>
        <v>2</v>
      </c>
      <c r="H41" s="18">
        <f t="shared" si="2"/>
        <v>-3</v>
      </c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12">
        <v>62.5</v>
      </c>
      <c r="B42" s="13">
        <v>12.708399999999999</v>
      </c>
      <c r="C42" s="14">
        <f t="shared" si="0"/>
        <v>12708400</v>
      </c>
      <c r="D42" s="15">
        <f t="shared" si="3"/>
        <v>6.2581053199241792</v>
      </c>
      <c r="E42" s="16">
        <f t="shared" si="4"/>
        <v>108.54737520159468</v>
      </c>
      <c r="F42" s="17">
        <v>108.90940000000001</v>
      </c>
      <c r="G42" s="18">
        <f t="shared" si="1"/>
        <v>2.5</v>
      </c>
      <c r="H42" s="18">
        <f t="shared" si="2"/>
        <v>-2.5</v>
      </c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12">
        <v>63</v>
      </c>
      <c r="B43" s="13">
        <v>13.091100000000001</v>
      </c>
      <c r="C43" s="14">
        <f t="shared" si="0"/>
        <v>13091100</v>
      </c>
      <c r="D43" s="15">
        <f t="shared" si="3"/>
        <v>6.4496384525419144</v>
      </c>
      <c r="E43" s="16">
        <f t="shared" si="4"/>
        <v>114.99701365413659</v>
      </c>
      <c r="F43" s="17">
        <v>115.37309999999999</v>
      </c>
      <c r="G43" s="18">
        <f t="shared" si="1"/>
        <v>3</v>
      </c>
      <c r="H43" s="18">
        <f t="shared" si="2"/>
        <v>-2</v>
      </c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12">
        <v>63.5</v>
      </c>
      <c r="B44" s="13">
        <v>13.476000000000001</v>
      </c>
      <c r="C44" s="14">
        <f t="shared" si="0"/>
        <v>13476000</v>
      </c>
      <c r="D44" s="15">
        <f t="shared" si="3"/>
        <v>6.6415426390084047</v>
      </c>
      <c r="E44" s="16">
        <f t="shared" si="4"/>
        <v>121.638556293145</v>
      </c>
      <c r="F44" s="17">
        <v>122.02670000000001</v>
      </c>
      <c r="G44" s="18">
        <f t="shared" si="1"/>
        <v>3.5</v>
      </c>
      <c r="H44" s="18">
        <f t="shared" si="2"/>
        <v>-1.5</v>
      </c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12">
        <v>64</v>
      </c>
      <c r="B45" s="13">
        <v>13.885400000000001</v>
      </c>
      <c r="C45" s="14">
        <f t="shared" si="0"/>
        <v>13885400</v>
      </c>
      <c r="D45" s="15">
        <f t="shared" si="3"/>
        <v>6.8400947472501228</v>
      </c>
      <c r="E45" s="16">
        <f t="shared" si="4"/>
        <v>128.47865104039514</v>
      </c>
      <c r="F45" s="17">
        <v>128.8767</v>
      </c>
      <c r="G45" s="18">
        <f t="shared" si="1"/>
        <v>4</v>
      </c>
      <c r="H45" s="18">
        <f t="shared" si="2"/>
        <v>-1</v>
      </c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12">
        <v>64.5</v>
      </c>
      <c r="B46" s="13">
        <v>14.2957</v>
      </c>
      <c r="C46" s="14">
        <f t="shared" si="0"/>
        <v>14295700</v>
      </c>
      <c r="D46" s="15">
        <f t="shared" si="3"/>
        <v>7.0450260816760641</v>
      </c>
      <c r="E46" s="16">
        <f t="shared" si="4"/>
        <v>135.52367712207121</v>
      </c>
      <c r="F46" s="17">
        <v>135.9272</v>
      </c>
      <c r="G46" s="18">
        <f t="shared" si="1"/>
        <v>4.5</v>
      </c>
      <c r="H46" s="18">
        <f t="shared" si="2"/>
        <v>-0.5</v>
      </c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12">
        <v>65</v>
      </c>
      <c r="B47" s="13">
        <v>14.711</v>
      </c>
      <c r="C47" s="14">
        <f t="shared" si="0"/>
        <v>14711000</v>
      </c>
      <c r="D47" s="15">
        <f t="shared" si="3"/>
        <v>7.2514272369405743</v>
      </c>
      <c r="E47" s="16">
        <f t="shared" si="4"/>
        <v>142.77510435901178</v>
      </c>
      <c r="F47" s="17">
        <v>143.1917</v>
      </c>
      <c r="G47" s="18">
        <f t="shared" si="1"/>
        <v>5</v>
      </c>
      <c r="H47" s="18">
        <f t="shared" si="2"/>
        <v>0</v>
      </c>
      <c r="I47" s="2"/>
      <c r="J47" s="2"/>
      <c r="K47" s="2"/>
      <c r="L47" s="2"/>
      <c r="M47" s="2"/>
      <c r="N47" s="2"/>
      <c r="O47" s="2"/>
      <c r="P47" s="2"/>
    </row>
  </sheetData>
  <mergeCells count="1">
    <mergeCell ref="A2:H2"/>
  </mergeCells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80"/>
  <sheetViews>
    <sheetView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5" width="14" customWidth="1"/>
    <col min="6" max="6" width="16" customWidth="1"/>
    <col min="7" max="8" width="14" customWidth="1"/>
    <col min="10" max="10" width="27" customWidth="1"/>
    <col min="11" max="11" width="12" customWidth="1"/>
  </cols>
  <sheetData>
    <row r="1" spans="1:16" ht="15.75" x14ac:dyDescent="0.25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9.950000000000003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</row>
    <row r="3" spans="1:16" ht="42" customHeigh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2"/>
      <c r="J3" s="2"/>
      <c r="K3" s="2"/>
      <c r="L3" s="2"/>
      <c r="M3" s="11" t="s">
        <v>43</v>
      </c>
      <c r="N3" s="2"/>
      <c r="O3" s="2"/>
      <c r="P3" s="2"/>
    </row>
    <row r="4" spans="1:16" x14ac:dyDescent="0.25">
      <c r="A4" s="12">
        <v>202</v>
      </c>
      <c r="B4" s="13">
        <v>1.2999999999999999E-3</v>
      </c>
      <c r="C4" s="14">
        <f t="shared" ref="C4:C35" si="0">B4*1000000</f>
        <v>1300</v>
      </c>
      <c r="D4" s="15">
        <v>0</v>
      </c>
      <c r="E4" s="16">
        <v>0</v>
      </c>
      <c r="F4" s="17">
        <v>2.0000000000000001E-4</v>
      </c>
      <c r="G4" s="18">
        <f t="shared" ref="G4:G35" si="1">A4-$K$5</f>
        <v>-33</v>
      </c>
      <c r="H4" s="18">
        <f t="shared" ref="H4:H35" si="2">A4-$K$6</f>
        <v>-38</v>
      </c>
      <c r="I4" s="2"/>
      <c r="J4" s="4" t="s">
        <v>44</v>
      </c>
      <c r="K4" s="19" t="str">
        <f>"Shafan 02"</f>
        <v>Shafan 02</v>
      </c>
      <c r="L4" s="2"/>
      <c r="M4" s="11" t="s">
        <v>45</v>
      </c>
      <c r="N4" s="11" t="s">
        <v>46</v>
      </c>
      <c r="O4" s="11" t="s">
        <v>47</v>
      </c>
      <c r="P4" s="11" t="s">
        <v>48</v>
      </c>
    </row>
    <row r="5" spans="1:16" x14ac:dyDescent="0.25">
      <c r="A5" s="12">
        <v>202.5</v>
      </c>
      <c r="B5" s="13">
        <v>4.7000000000000002E-3</v>
      </c>
      <c r="C5" s="14">
        <f t="shared" si="0"/>
        <v>4700</v>
      </c>
      <c r="D5" s="15">
        <f t="shared" ref="D5:D36" si="3">(A5-A4)/3*(C4+C5+SQRT(C4*C5))/1000000</f>
        <v>1.411973569810276E-3</v>
      </c>
      <c r="E5" s="16">
        <f t="shared" ref="E5:E36" si="4">E4+D5</f>
        <v>1.411973569810276E-3</v>
      </c>
      <c r="F5" s="17">
        <v>1.6999999999999999E-3</v>
      </c>
      <c r="G5" s="18">
        <f t="shared" si="1"/>
        <v>-32.5</v>
      </c>
      <c r="H5" s="18">
        <f t="shared" si="2"/>
        <v>-37.5</v>
      </c>
      <c r="I5" s="2"/>
      <c r="J5" s="20" t="s">
        <v>3</v>
      </c>
      <c r="K5" s="21">
        <f>Dams!C7</f>
        <v>235</v>
      </c>
      <c r="L5" s="2"/>
      <c r="M5" s="2">
        <v>0</v>
      </c>
      <c r="N5" s="2">
        <f>K5</f>
        <v>235</v>
      </c>
      <c r="O5" s="2">
        <f>K6</f>
        <v>240</v>
      </c>
      <c r="P5" s="2">
        <v>0</v>
      </c>
    </row>
    <row r="6" spans="1:16" x14ac:dyDescent="0.25">
      <c r="A6" s="12">
        <v>203</v>
      </c>
      <c r="B6" s="13">
        <v>8.9999999999999993E-3</v>
      </c>
      <c r="C6" s="14">
        <f t="shared" si="0"/>
        <v>9000</v>
      </c>
      <c r="D6" s="15">
        <f t="shared" si="3"/>
        <v>3.3673075027672735E-3</v>
      </c>
      <c r="E6" s="16">
        <f t="shared" si="4"/>
        <v>4.7792810725775497E-3</v>
      </c>
      <c r="F6" s="17">
        <v>5.3E-3</v>
      </c>
      <c r="G6" s="18">
        <f t="shared" si="1"/>
        <v>-32</v>
      </c>
      <c r="H6" s="18">
        <f t="shared" si="2"/>
        <v>-37</v>
      </c>
      <c r="I6" s="2"/>
      <c r="J6" s="20" t="s">
        <v>49</v>
      </c>
      <c r="K6" s="21">
        <f>Dams!B7</f>
        <v>240</v>
      </c>
      <c r="L6" s="2"/>
      <c r="M6" s="2">
        <f>K15*1.02</f>
        <v>63.184076766029683</v>
      </c>
      <c r="N6" s="2">
        <f>K5</f>
        <v>235</v>
      </c>
      <c r="O6" s="2">
        <f>K6</f>
        <v>240</v>
      </c>
      <c r="P6" s="2">
        <f>K16*1.02</f>
        <v>4.5954060000000005</v>
      </c>
    </row>
    <row r="7" spans="1:16" x14ac:dyDescent="0.25">
      <c r="A7" s="12">
        <v>203.5</v>
      </c>
      <c r="B7" s="13">
        <v>1.35E-2</v>
      </c>
      <c r="C7" s="14">
        <f t="shared" si="0"/>
        <v>13500</v>
      </c>
      <c r="D7" s="15">
        <f t="shared" si="3"/>
        <v>5.5871173070873833E-3</v>
      </c>
      <c r="E7" s="16">
        <f t="shared" si="4"/>
        <v>1.0366398379664934E-2</v>
      </c>
      <c r="F7" s="17">
        <v>1.09E-2</v>
      </c>
      <c r="G7" s="18">
        <f t="shared" si="1"/>
        <v>-31.5</v>
      </c>
      <c r="H7" s="18">
        <f t="shared" si="2"/>
        <v>-36.5</v>
      </c>
      <c r="I7" s="2"/>
      <c r="J7" s="20" t="s">
        <v>9</v>
      </c>
      <c r="K7" s="21">
        <f>A4</f>
        <v>202</v>
      </c>
      <c r="L7" s="2"/>
      <c r="M7" s="11" t="str">
        <f>"FSL "&amp;TEXT(K5,"0.0")&amp;" m"</f>
        <v>FSL 235.0 m</v>
      </c>
      <c r="N7" s="2"/>
      <c r="O7" s="2"/>
      <c r="P7" s="2"/>
    </row>
    <row r="8" spans="1:16" x14ac:dyDescent="0.25">
      <c r="A8" s="12">
        <v>204</v>
      </c>
      <c r="B8" s="13">
        <v>1.9900000000000001E-2</v>
      </c>
      <c r="C8" s="14">
        <f t="shared" si="0"/>
        <v>19900</v>
      </c>
      <c r="D8" s="15">
        <f t="shared" si="3"/>
        <v>8.2984243425962122E-3</v>
      </c>
      <c r="E8" s="16">
        <f t="shared" si="4"/>
        <v>1.8664822722261144E-2</v>
      </c>
      <c r="F8" s="17">
        <v>1.9300000000000001E-2</v>
      </c>
      <c r="G8" s="18">
        <f t="shared" si="1"/>
        <v>-31</v>
      </c>
      <c r="H8" s="18">
        <f t="shared" si="2"/>
        <v>-36</v>
      </c>
      <c r="I8" s="2"/>
      <c r="J8" s="20" t="s">
        <v>10</v>
      </c>
      <c r="K8" s="21">
        <f>K6-K7</f>
        <v>38</v>
      </c>
      <c r="L8" s="2"/>
      <c r="M8" s="11" t="str">
        <f>"Crest "&amp;TEXT(K6,"0.0")&amp;" m"</f>
        <v>Crest 240.0 m</v>
      </c>
      <c r="N8" s="2"/>
      <c r="O8" s="2"/>
      <c r="P8" s="2"/>
    </row>
    <row r="9" spans="1:16" x14ac:dyDescent="0.25">
      <c r="A9" s="12">
        <v>204.5</v>
      </c>
      <c r="B9" s="13">
        <v>2.58E-2</v>
      </c>
      <c r="C9" s="14">
        <f t="shared" si="0"/>
        <v>25800</v>
      </c>
      <c r="D9" s="15">
        <f t="shared" si="3"/>
        <v>1.1393128855894392E-2</v>
      </c>
      <c r="E9" s="16">
        <f t="shared" si="4"/>
        <v>3.0057951578155537E-2</v>
      </c>
      <c r="F9" s="17">
        <v>3.0599999999999999E-2</v>
      </c>
      <c r="G9" s="18">
        <f t="shared" si="1"/>
        <v>-30.5</v>
      </c>
      <c r="H9" s="18">
        <f t="shared" si="2"/>
        <v>-35.5</v>
      </c>
      <c r="I9" s="2"/>
      <c r="J9" s="20" t="s">
        <v>11</v>
      </c>
      <c r="K9" s="19">
        <f>INDEX(B4:B80,MATCH(K5,A4:A80,0))</f>
        <v>3.6154000000000002</v>
      </c>
      <c r="L9" s="2"/>
      <c r="M9" s="11" t="str">
        <f>"Elevation-volume curve"</f>
        <v>Elevation-volume curve</v>
      </c>
      <c r="N9" s="2"/>
      <c r="O9" s="2"/>
      <c r="P9" s="2"/>
    </row>
    <row r="10" spans="1:16" x14ac:dyDescent="0.25">
      <c r="A10" s="12">
        <v>205</v>
      </c>
      <c r="B10" s="13">
        <v>3.0099999999999998E-2</v>
      </c>
      <c r="C10" s="14">
        <f t="shared" si="0"/>
        <v>30100</v>
      </c>
      <c r="D10" s="15">
        <f t="shared" si="3"/>
        <v>1.3961197500525633E-2</v>
      </c>
      <c r="E10" s="16">
        <f t="shared" si="4"/>
        <v>4.4019149078681166E-2</v>
      </c>
      <c r="F10" s="17">
        <v>4.4699999999999997E-2</v>
      </c>
      <c r="G10" s="18">
        <f t="shared" si="1"/>
        <v>-30</v>
      </c>
      <c r="H10" s="18">
        <f t="shared" si="2"/>
        <v>-35</v>
      </c>
      <c r="I10" s="2"/>
      <c r="J10" s="20" t="s">
        <v>12</v>
      </c>
      <c r="K10" s="19">
        <f>INDEX(E4:E80,MATCH(K5,A4:A80,0))</f>
        <v>41.607208088495923</v>
      </c>
      <c r="L10" s="2"/>
      <c r="M10" s="11" t="str">
        <f>"Elevation-area curve"</f>
        <v>Elevation-area curve</v>
      </c>
      <c r="N10" s="2"/>
      <c r="O10" s="2"/>
      <c r="P10" s="2"/>
    </row>
    <row r="11" spans="1:16" x14ac:dyDescent="0.25">
      <c r="A11" s="12">
        <v>205.5</v>
      </c>
      <c r="B11" s="13">
        <v>3.6200000000000003E-2</v>
      </c>
      <c r="C11" s="14">
        <f t="shared" si="0"/>
        <v>36200</v>
      </c>
      <c r="D11" s="15">
        <f t="shared" si="3"/>
        <v>1.6551565433785387E-2</v>
      </c>
      <c r="E11" s="16">
        <f t="shared" si="4"/>
        <v>6.0570714512466553E-2</v>
      </c>
      <c r="F11" s="17">
        <v>6.1199999999999997E-2</v>
      </c>
      <c r="G11" s="18">
        <f t="shared" si="1"/>
        <v>-29.5</v>
      </c>
      <c r="H11" s="18">
        <f t="shared" si="2"/>
        <v>-34.5</v>
      </c>
      <c r="I11" s="2"/>
      <c r="J11" s="20" t="s">
        <v>50</v>
      </c>
      <c r="K11" s="19">
        <f>Dams!D7</f>
        <v>43</v>
      </c>
      <c r="L11" s="2"/>
      <c r="M11" s="2"/>
      <c r="N11" s="2"/>
      <c r="O11" s="2"/>
      <c r="P11" s="2"/>
    </row>
    <row r="12" spans="1:16" x14ac:dyDescent="0.25">
      <c r="A12" s="12">
        <v>206</v>
      </c>
      <c r="B12" s="13">
        <v>4.5400000000000003E-2</v>
      </c>
      <c r="C12" s="14">
        <f t="shared" si="0"/>
        <v>45400</v>
      </c>
      <c r="D12" s="15">
        <f t="shared" si="3"/>
        <v>2.0356642821862218E-2</v>
      </c>
      <c r="E12" s="16">
        <f t="shared" si="4"/>
        <v>8.0927357334328764E-2</v>
      </c>
      <c r="F12" s="17">
        <v>8.1500000000000003E-2</v>
      </c>
      <c r="G12" s="18">
        <f t="shared" si="1"/>
        <v>-29</v>
      </c>
      <c r="H12" s="18">
        <f t="shared" si="2"/>
        <v>-34</v>
      </c>
      <c r="I12" s="2"/>
      <c r="J12" s="20" t="s">
        <v>51</v>
      </c>
      <c r="K12" s="22">
        <f>K10/K11-1</f>
        <v>-3.2390509569862225E-2</v>
      </c>
      <c r="L12" s="2"/>
      <c r="M12" s="2"/>
      <c r="N12" s="2"/>
      <c r="O12" s="2"/>
      <c r="P12" s="2"/>
    </row>
    <row r="13" spans="1:16" x14ac:dyDescent="0.25">
      <c r="A13" s="12">
        <v>206.5</v>
      </c>
      <c r="B13" s="13">
        <v>6.2700000000000006E-2</v>
      </c>
      <c r="C13" s="14">
        <f t="shared" si="0"/>
        <v>62700.000000000007</v>
      </c>
      <c r="D13" s="15">
        <f t="shared" si="3"/>
        <v>2.6908891735043346E-2</v>
      </c>
      <c r="E13" s="16">
        <f t="shared" si="4"/>
        <v>0.10783624906937211</v>
      </c>
      <c r="F13" s="17">
        <v>0.1091</v>
      </c>
      <c r="G13" s="18">
        <f t="shared" si="1"/>
        <v>-28.5</v>
      </c>
      <c r="H13" s="18">
        <f t="shared" si="2"/>
        <v>-33.5</v>
      </c>
      <c r="I13" s="2"/>
      <c r="J13" s="20" t="s">
        <v>14</v>
      </c>
      <c r="K13" s="19">
        <f>INDEX(B4:B80,MATCH(K6,A4:A80,0))</f>
        <v>4.5053000000000001</v>
      </c>
      <c r="L13" s="2"/>
      <c r="M13" s="2"/>
      <c r="N13" s="2"/>
      <c r="O13" s="2"/>
      <c r="P13" s="2"/>
    </row>
    <row r="14" spans="1:16" x14ac:dyDescent="0.25">
      <c r="A14" s="12">
        <v>207</v>
      </c>
      <c r="B14" s="13">
        <v>7.8899999999999998E-2</v>
      </c>
      <c r="C14" s="14">
        <f t="shared" si="0"/>
        <v>78900</v>
      </c>
      <c r="D14" s="15">
        <f t="shared" si="3"/>
        <v>3.5322521059908567E-2</v>
      </c>
      <c r="E14" s="16">
        <f t="shared" si="4"/>
        <v>0.14315877012928069</v>
      </c>
      <c r="F14" s="17">
        <v>0.14460000000000001</v>
      </c>
      <c r="G14" s="18">
        <f t="shared" si="1"/>
        <v>-28</v>
      </c>
      <c r="H14" s="18">
        <f t="shared" si="2"/>
        <v>-33</v>
      </c>
      <c r="I14" s="2"/>
      <c r="J14" s="20" t="s">
        <v>15</v>
      </c>
      <c r="K14" s="19">
        <f>INDEX(E4:E80,MATCH(K6,A4:A80,0))</f>
        <v>61.945173300029097</v>
      </c>
      <c r="L14" s="2"/>
      <c r="M14" s="2"/>
      <c r="N14" s="2"/>
      <c r="O14" s="2"/>
      <c r="P14" s="2"/>
    </row>
    <row r="15" spans="1:16" x14ac:dyDescent="0.25">
      <c r="A15" s="12">
        <v>207.5</v>
      </c>
      <c r="B15" s="13">
        <v>0.1007</v>
      </c>
      <c r="C15" s="14">
        <f t="shared" si="0"/>
        <v>100700</v>
      </c>
      <c r="D15" s="15">
        <f t="shared" si="3"/>
        <v>4.4789336609225988E-2</v>
      </c>
      <c r="E15" s="16">
        <f t="shared" si="4"/>
        <v>0.18794810673850668</v>
      </c>
      <c r="F15" s="17">
        <v>0.18990000000000001</v>
      </c>
      <c r="G15" s="18">
        <f t="shared" si="1"/>
        <v>-27.5</v>
      </c>
      <c r="H15" s="18">
        <f t="shared" si="2"/>
        <v>-32.5</v>
      </c>
      <c r="I15" s="2"/>
      <c r="J15" s="20" t="s">
        <v>52</v>
      </c>
      <c r="K15" s="19">
        <f>MAX(E4:E80)</f>
        <v>61.945173300029097</v>
      </c>
      <c r="L15" s="2"/>
      <c r="M15" s="2"/>
      <c r="N15" s="2"/>
      <c r="O15" s="2"/>
      <c r="P15" s="2"/>
    </row>
    <row r="16" spans="1:16" x14ac:dyDescent="0.25">
      <c r="A16" s="12">
        <v>208</v>
      </c>
      <c r="B16" s="13">
        <v>0.1211</v>
      </c>
      <c r="C16" s="14">
        <f t="shared" si="0"/>
        <v>121100</v>
      </c>
      <c r="D16" s="15">
        <f t="shared" si="3"/>
        <v>5.5371655422737968E-2</v>
      </c>
      <c r="E16" s="16">
        <f t="shared" si="4"/>
        <v>0.24331976216124465</v>
      </c>
      <c r="F16" s="17">
        <v>0.2457</v>
      </c>
      <c r="G16" s="18">
        <f t="shared" si="1"/>
        <v>-27</v>
      </c>
      <c r="H16" s="18">
        <f t="shared" si="2"/>
        <v>-32</v>
      </c>
      <c r="I16" s="2"/>
      <c r="J16" s="20" t="s">
        <v>53</v>
      </c>
      <c r="K16" s="19">
        <f>MAX(B4:B80)</f>
        <v>4.5053000000000001</v>
      </c>
      <c r="L16" s="2"/>
      <c r="M16" s="2"/>
      <c r="N16" s="2"/>
      <c r="O16" s="2"/>
      <c r="P16" s="2"/>
    </row>
    <row r="17" spans="1:16" x14ac:dyDescent="0.25">
      <c r="A17" s="12">
        <v>208.5</v>
      </c>
      <c r="B17" s="13">
        <v>0.1416</v>
      </c>
      <c r="C17" s="14">
        <f t="shared" si="0"/>
        <v>141600</v>
      </c>
      <c r="D17" s="15">
        <f t="shared" si="3"/>
        <v>6.5608242649677961E-2</v>
      </c>
      <c r="E17" s="16">
        <f t="shared" si="4"/>
        <v>0.30892800481092264</v>
      </c>
      <c r="F17" s="17">
        <v>0.31159999999999999</v>
      </c>
      <c r="G17" s="18">
        <f t="shared" si="1"/>
        <v>-26.5</v>
      </c>
      <c r="H17" s="18">
        <f t="shared" si="2"/>
        <v>-31.5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2">
        <v>209</v>
      </c>
      <c r="B18" s="13">
        <v>0.1618</v>
      </c>
      <c r="C18" s="14">
        <f t="shared" si="0"/>
        <v>161800</v>
      </c>
      <c r="D18" s="15">
        <f t="shared" si="3"/>
        <v>7.5793900627870836E-2</v>
      </c>
      <c r="E18" s="16">
        <f t="shared" si="4"/>
        <v>0.38472190543879348</v>
      </c>
      <c r="F18" s="17">
        <v>0.38769999999999999</v>
      </c>
      <c r="G18" s="18">
        <f t="shared" si="1"/>
        <v>-26</v>
      </c>
      <c r="H18" s="18">
        <f t="shared" si="2"/>
        <v>-31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2">
        <v>209.5</v>
      </c>
      <c r="B19" s="13">
        <v>0.18340000000000001</v>
      </c>
      <c r="C19" s="14">
        <f t="shared" si="0"/>
        <v>183400</v>
      </c>
      <c r="D19" s="15">
        <f t="shared" si="3"/>
        <v>8.624362958939992E-2</v>
      </c>
      <c r="E19" s="16">
        <f t="shared" si="4"/>
        <v>0.47096553502819338</v>
      </c>
      <c r="F19" s="17">
        <v>0.47420000000000001</v>
      </c>
      <c r="G19" s="18">
        <f t="shared" si="1"/>
        <v>-25.5</v>
      </c>
      <c r="H19" s="18">
        <f t="shared" si="2"/>
        <v>-30.5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2">
        <v>210</v>
      </c>
      <c r="B20" s="13">
        <v>0.2041</v>
      </c>
      <c r="C20" s="14">
        <f t="shared" si="0"/>
        <v>204100</v>
      </c>
      <c r="D20" s="15">
        <f t="shared" si="3"/>
        <v>9.682889288982284E-2</v>
      </c>
      <c r="E20" s="16">
        <f t="shared" si="4"/>
        <v>0.56779442791801626</v>
      </c>
      <c r="F20" s="17">
        <v>0.57099999999999995</v>
      </c>
      <c r="G20" s="18">
        <f t="shared" si="1"/>
        <v>-25</v>
      </c>
      <c r="H20" s="18">
        <f t="shared" si="2"/>
        <v>-30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2">
        <v>210.5</v>
      </c>
      <c r="B21" s="13">
        <v>0.2291</v>
      </c>
      <c r="C21" s="14">
        <f t="shared" si="0"/>
        <v>229100</v>
      </c>
      <c r="D21" s="15">
        <f t="shared" si="3"/>
        <v>0.10823983521358307</v>
      </c>
      <c r="E21" s="16">
        <f t="shared" si="4"/>
        <v>0.67603426313159931</v>
      </c>
      <c r="F21" s="17">
        <v>0.67959999999999998</v>
      </c>
      <c r="G21" s="18">
        <f t="shared" si="1"/>
        <v>-24.5</v>
      </c>
      <c r="H21" s="18">
        <f t="shared" si="2"/>
        <v>-29.5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2">
        <v>211</v>
      </c>
      <c r="B22" s="13">
        <v>0.25290000000000001</v>
      </c>
      <c r="C22" s="14">
        <f t="shared" si="0"/>
        <v>252900</v>
      </c>
      <c r="D22" s="15">
        <f t="shared" si="3"/>
        <v>0.12045100400350059</v>
      </c>
      <c r="E22" s="16">
        <f t="shared" si="4"/>
        <v>0.79648526713509993</v>
      </c>
      <c r="F22" s="17">
        <v>0.80110000000000003</v>
      </c>
      <c r="G22" s="18">
        <f t="shared" si="1"/>
        <v>-24</v>
      </c>
      <c r="H22" s="18">
        <f t="shared" si="2"/>
        <v>-29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2">
        <v>211.5</v>
      </c>
      <c r="B23" s="13">
        <v>0.27700000000000002</v>
      </c>
      <c r="C23" s="14">
        <f t="shared" si="0"/>
        <v>277000</v>
      </c>
      <c r="D23" s="15">
        <f t="shared" si="3"/>
        <v>0.13242930657860119</v>
      </c>
      <c r="E23" s="16">
        <f t="shared" si="4"/>
        <v>0.92891457371370112</v>
      </c>
      <c r="F23" s="17">
        <v>0.93410000000000004</v>
      </c>
      <c r="G23" s="18">
        <f t="shared" si="1"/>
        <v>-23.5</v>
      </c>
      <c r="H23" s="18">
        <f t="shared" si="2"/>
        <v>-28.5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2">
        <v>212</v>
      </c>
      <c r="B24" s="13">
        <v>0.30070000000000002</v>
      </c>
      <c r="C24" s="14">
        <f t="shared" si="0"/>
        <v>300700</v>
      </c>
      <c r="D24" s="15">
        <f t="shared" si="3"/>
        <v>0.14438447099601698</v>
      </c>
      <c r="E24" s="16">
        <f t="shared" si="4"/>
        <v>1.0732990447097182</v>
      </c>
      <c r="F24" s="17">
        <v>1.0791999999999999</v>
      </c>
      <c r="G24" s="18">
        <f t="shared" si="1"/>
        <v>-23</v>
      </c>
      <c r="H24" s="18">
        <f t="shared" si="2"/>
        <v>-28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2">
        <v>212.5</v>
      </c>
      <c r="B25" s="13">
        <v>0.32300000000000001</v>
      </c>
      <c r="C25" s="14">
        <f t="shared" si="0"/>
        <v>323000</v>
      </c>
      <c r="D25" s="15">
        <f t="shared" si="3"/>
        <v>0.15589176760779536</v>
      </c>
      <c r="E25" s="16">
        <f t="shared" si="4"/>
        <v>1.2291908123175135</v>
      </c>
      <c r="F25" s="17">
        <v>1.2355</v>
      </c>
      <c r="G25" s="18">
        <f t="shared" si="1"/>
        <v>-22.5</v>
      </c>
      <c r="H25" s="18">
        <f t="shared" si="2"/>
        <v>-27.5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2">
        <v>213</v>
      </c>
      <c r="B26" s="13">
        <v>0.35220000000000001</v>
      </c>
      <c r="C26" s="14">
        <f t="shared" si="0"/>
        <v>352200</v>
      </c>
      <c r="D26" s="15">
        <f t="shared" si="3"/>
        <v>0.16874735886670594</v>
      </c>
      <c r="E26" s="16">
        <f t="shared" si="4"/>
        <v>1.3979381711842194</v>
      </c>
      <c r="F26" s="17">
        <v>1.4043000000000001</v>
      </c>
      <c r="G26" s="18">
        <f t="shared" si="1"/>
        <v>-22</v>
      </c>
      <c r="H26" s="18">
        <f t="shared" si="2"/>
        <v>-27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12">
        <v>213.5</v>
      </c>
      <c r="B27" s="13">
        <v>0.37709999999999999</v>
      </c>
      <c r="C27" s="14">
        <f t="shared" si="0"/>
        <v>377100</v>
      </c>
      <c r="D27" s="15">
        <f t="shared" si="3"/>
        <v>0.18228956700537136</v>
      </c>
      <c r="E27" s="16">
        <f t="shared" si="4"/>
        <v>1.5802277381895906</v>
      </c>
      <c r="F27" s="17">
        <v>1.5872999999999999</v>
      </c>
      <c r="G27" s="18">
        <f t="shared" si="1"/>
        <v>-21.5</v>
      </c>
      <c r="H27" s="18">
        <f t="shared" si="2"/>
        <v>-26.5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12">
        <v>214</v>
      </c>
      <c r="B28" s="13">
        <v>0.40479999999999999</v>
      </c>
      <c r="C28" s="14">
        <f t="shared" si="0"/>
        <v>404800</v>
      </c>
      <c r="D28" s="15">
        <f t="shared" si="3"/>
        <v>0.19543409904847975</v>
      </c>
      <c r="E28" s="16">
        <f t="shared" si="4"/>
        <v>1.7756618372380704</v>
      </c>
      <c r="F28" s="17">
        <v>1.7828999999999999</v>
      </c>
      <c r="G28" s="18">
        <f t="shared" si="1"/>
        <v>-21</v>
      </c>
      <c r="H28" s="18">
        <f t="shared" si="2"/>
        <v>-26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2">
        <v>214.5</v>
      </c>
      <c r="B29" s="13">
        <v>0.44719999999999999</v>
      </c>
      <c r="C29" s="14">
        <f t="shared" si="0"/>
        <v>447200</v>
      </c>
      <c r="D29" s="15">
        <f t="shared" si="3"/>
        <v>0.21291202687524563</v>
      </c>
      <c r="E29" s="16">
        <f t="shared" si="4"/>
        <v>1.9885738641133159</v>
      </c>
      <c r="F29" s="17">
        <v>1.9962</v>
      </c>
      <c r="G29" s="18">
        <f t="shared" si="1"/>
        <v>-20.5</v>
      </c>
      <c r="H29" s="18">
        <f t="shared" si="2"/>
        <v>-25.5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12">
        <v>215</v>
      </c>
      <c r="B30" s="13">
        <v>0.48649999999999999</v>
      </c>
      <c r="C30" s="14">
        <f t="shared" si="0"/>
        <v>486500</v>
      </c>
      <c r="D30" s="15">
        <f t="shared" si="3"/>
        <v>0.23335604607704727</v>
      </c>
      <c r="E30" s="16">
        <f t="shared" si="4"/>
        <v>2.2219299101903633</v>
      </c>
      <c r="F30" s="17">
        <v>2.2305999999999999</v>
      </c>
      <c r="G30" s="18">
        <f t="shared" si="1"/>
        <v>-20</v>
      </c>
      <c r="H30" s="18">
        <f t="shared" si="2"/>
        <v>-25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2">
        <v>215.5</v>
      </c>
      <c r="B31" s="13">
        <v>0.52980000000000005</v>
      </c>
      <c r="C31" s="14">
        <f t="shared" si="0"/>
        <v>529800</v>
      </c>
      <c r="D31" s="15">
        <f t="shared" si="3"/>
        <v>0.25399809760844866</v>
      </c>
      <c r="E31" s="16">
        <f t="shared" si="4"/>
        <v>2.4759280077988119</v>
      </c>
      <c r="F31" s="17">
        <v>2.4847000000000001</v>
      </c>
      <c r="G31" s="18">
        <f t="shared" si="1"/>
        <v>-19.5</v>
      </c>
      <c r="H31" s="18">
        <f t="shared" si="2"/>
        <v>-24.5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12">
        <v>216</v>
      </c>
      <c r="B32" s="13">
        <v>0.57420000000000004</v>
      </c>
      <c r="C32" s="14">
        <f t="shared" si="0"/>
        <v>574200</v>
      </c>
      <c r="D32" s="15">
        <f t="shared" si="3"/>
        <v>0.27592556771649546</v>
      </c>
      <c r="E32" s="16">
        <f t="shared" si="4"/>
        <v>2.7518535755153075</v>
      </c>
      <c r="F32" s="17">
        <v>2.7616000000000001</v>
      </c>
      <c r="G32" s="18">
        <f t="shared" si="1"/>
        <v>-19</v>
      </c>
      <c r="H32" s="18">
        <f t="shared" si="2"/>
        <v>-24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12">
        <v>216.5</v>
      </c>
      <c r="B33" s="13">
        <v>0.62629999999999997</v>
      </c>
      <c r="C33" s="14">
        <f t="shared" si="0"/>
        <v>626300</v>
      </c>
      <c r="D33" s="15">
        <f t="shared" si="3"/>
        <v>0.30003074450540923</v>
      </c>
      <c r="E33" s="16">
        <f t="shared" si="4"/>
        <v>3.0518843200207169</v>
      </c>
      <c r="F33" s="17">
        <v>3.0617999999999999</v>
      </c>
      <c r="G33" s="18">
        <f t="shared" si="1"/>
        <v>-18.5</v>
      </c>
      <c r="H33" s="18">
        <f t="shared" si="2"/>
        <v>-23.5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2">
        <v>217</v>
      </c>
      <c r="B34" s="13">
        <v>0.68710000000000004</v>
      </c>
      <c r="C34" s="14">
        <f t="shared" si="0"/>
        <v>687100</v>
      </c>
      <c r="D34" s="15">
        <f t="shared" si="3"/>
        <v>0.32823266386990163</v>
      </c>
      <c r="E34" s="16">
        <f t="shared" si="4"/>
        <v>3.3801169838906184</v>
      </c>
      <c r="F34" s="17">
        <v>3.3910999999999998</v>
      </c>
      <c r="G34" s="18">
        <f t="shared" si="1"/>
        <v>-18</v>
      </c>
      <c r="H34" s="18">
        <f t="shared" si="2"/>
        <v>-23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2">
        <v>217.5</v>
      </c>
      <c r="B35" s="13">
        <v>0.74939999999999996</v>
      </c>
      <c r="C35" s="14">
        <f t="shared" si="0"/>
        <v>749400</v>
      </c>
      <c r="D35" s="15">
        <f t="shared" si="3"/>
        <v>0.35901236753700172</v>
      </c>
      <c r="E35" s="16">
        <f t="shared" si="4"/>
        <v>3.73912935142762</v>
      </c>
      <c r="F35" s="17">
        <v>3.7515999999999998</v>
      </c>
      <c r="G35" s="18">
        <f t="shared" si="1"/>
        <v>-17.5</v>
      </c>
      <c r="H35" s="18">
        <f t="shared" si="2"/>
        <v>-22.5</v>
      </c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2">
        <v>218</v>
      </c>
      <c r="B36" s="13">
        <v>0.81330000000000002</v>
      </c>
      <c r="C36" s="14">
        <f t="shared" ref="C36:C67" si="5">B36*1000000</f>
        <v>813300</v>
      </c>
      <c r="D36" s="15">
        <f t="shared" si="3"/>
        <v>0.39056608278764005</v>
      </c>
      <c r="E36" s="16">
        <f t="shared" si="4"/>
        <v>4.1296954342152601</v>
      </c>
      <c r="F36" s="17">
        <v>4.1436000000000002</v>
      </c>
      <c r="G36" s="18">
        <f t="shared" ref="G36:G67" si="6">A36-$K$5</f>
        <v>-17</v>
      </c>
      <c r="H36" s="18">
        <f t="shared" ref="H36:H67" si="7">A36-$K$6</f>
        <v>-22</v>
      </c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12">
        <v>218.5</v>
      </c>
      <c r="B37" s="13">
        <v>0.88170000000000004</v>
      </c>
      <c r="C37" s="14">
        <f t="shared" si="5"/>
        <v>881700</v>
      </c>
      <c r="D37" s="15">
        <f t="shared" ref="D37:D68" si="8">(A37-A36)/3*(C36+C37+SQRT(C36*C37))/1000000</f>
        <v>0.42363494429091608</v>
      </c>
      <c r="E37" s="16">
        <f t="shared" ref="E37:E68" si="9">E36+D37</f>
        <v>4.5533303785061765</v>
      </c>
      <c r="F37" s="17">
        <v>4.5674000000000001</v>
      </c>
      <c r="G37" s="18">
        <f t="shared" si="6"/>
        <v>-16.5</v>
      </c>
      <c r="H37" s="18">
        <f t="shared" si="7"/>
        <v>-21.5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12">
        <v>219</v>
      </c>
      <c r="B38" s="13">
        <v>0.96089999999999998</v>
      </c>
      <c r="C38" s="14">
        <f t="shared" si="5"/>
        <v>960900</v>
      </c>
      <c r="D38" s="15">
        <f t="shared" si="8"/>
        <v>0.4605080913772151</v>
      </c>
      <c r="E38" s="16">
        <f t="shared" si="9"/>
        <v>5.0138384698833915</v>
      </c>
      <c r="F38" s="17">
        <v>5.0301</v>
      </c>
      <c r="G38" s="18">
        <f t="shared" si="6"/>
        <v>-16</v>
      </c>
      <c r="H38" s="18">
        <f t="shared" si="7"/>
        <v>-21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2">
        <v>219.5</v>
      </c>
      <c r="B39" s="13">
        <v>1.0351999999999999</v>
      </c>
      <c r="C39" s="14">
        <f t="shared" si="5"/>
        <v>1035199.9999999999</v>
      </c>
      <c r="D39" s="15">
        <f t="shared" si="8"/>
        <v>0.49890972514081172</v>
      </c>
      <c r="E39" s="16">
        <f t="shared" si="9"/>
        <v>5.5127481950242032</v>
      </c>
      <c r="F39" s="17">
        <v>5.53</v>
      </c>
      <c r="G39" s="18">
        <f t="shared" si="6"/>
        <v>-15.5</v>
      </c>
      <c r="H39" s="18">
        <f t="shared" si="7"/>
        <v>-20.5</v>
      </c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12">
        <v>220</v>
      </c>
      <c r="B40" s="13">
        <v>1.1203000000000001</v>
      </c>
      <c r="C40" s="14">
        <f t="shared" si="5"/>
        <v>1120300</v>
      </c>
      <c r="D40" s="15">
        <f t="shared" si="8"/>
        <v>0.53873495449170339</v>
      </c>
      <c r="E40" s="16">
        <f t="shared" si="9"/>
        <v>6.0514831495159065</v>
      </c>
      <c r="F40" s="17">
        <v>6.0701999999999998</v>
      </c>
      <c r="G40" s="18">
        <f t="shared" si="6"/>
        <v>-15</v>
      </c>
      <c r="H40" s="18">
        <f t="shared" si="7"/>
        <v>-20</v>
      </c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12">
        <v>220.5</v>
      </c>
      <c r="B41" s="13">
        <v>1.2079</v>
      </c>
      <c r="C41" s="14">
        <f t="shared" si="5"/>
        <v>1207900</v>
      </c>
      <c r="D41" s="15">
        <f t="shared" si="8"/>
        <v>0.58191261779777637</v>
      </c>
      <c r="E41" s="16">
        <f t="shared" si="9"/>
        <v>6.633395767313683</v>
      </c>
      <c r="F41" s="17">
        <v>6.6532</v>
      </c>
      <c r="G41" s="18">
        <f t="shared" si="6"/>
        <v>-14.5</v>
      </c>
      <c r="H41" s="18">
        <f t="shared" si="7"/>
        <v>-19.5</v>
      </c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12">
        <v>221</v>
      </c>
      <c r="B42" s="13">
        <v>1.2949999999999999</v>
      </c>
      <c r="C42" s="14">
        <f t="shared" si="5"/>
        <v>1295000</v>
      </c>
      <c r="D42" s="15">
        <f t="shared" si="8"/>
        <v>0.62559866807495357</v>
      </c>
      <c r="E42" s="16">
        <f t="shared" si="9"/>
        <v>7.2589944353886366</v>
      </c>
      <c r="F42" s="17">
        <v>7.2793000000000001</v>
      </c>
      <c r="G42" s="18">
        <f t="shared" si="6"/>
        <v>-14</v>
      </c>
      <c r="H42" s="18">
        <f t="shared" si="7"/>
        <v>-19</v>
      </c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12">
        <v>221.5</v>
      </c>
      <c r="B43" s="13">
        <v>1.3873</v>
      </c>
      <c r="C43" s="14">
        <f t="shared" si="5"/>
        <v>1387300</v>
      </c>
      <c r="D43" s="15">
        <f t="shared" si="8"/>
        <v>0.67044262272709199</v>
      </c>
      <c r="E43" s="16">
        <f t="shared" si="9"/>
        <v>7.9294370581157283</v>
      </c>
      <c r="F43" s="17">
        <v>7.9515000000000002</v>
      </c>
      <c r="G43" s="18">
        <f t="shared" si="6"/>
        <v>-13.5</v>
      </c>
      <c r="H43" s="18">
        <f t="shared" si="7"/>
        <v>-18.5</v>
      </c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12">
        <v>222</v>
      </c>
      <c r="B44" s="13">
        <v>1.4786999999999999</v>
      </c>
      <c r="C44" s="14">
        <f t="shared" si="5"/>
        <v>1478700</v>
      </c>
      <c r="D44" s="15">
        <f t="shared" si="8"/>
        <v>0.71637851702185951</v>
      </c>
      <c r="E44" s="16">
        <f t="shared" si="9"/>
        <v>8.645815575137588</v>
      </c>
      <c r="F44" s="17">
        <v>8.6694999999999993</v>
      </c>
      <c r="G44" s="18">
        <f t="shared" si="6"/>
        <v>-13</v>
      </c>
      <c r="H44" s="18">
        <f t="shared" si="7"/>
        <v>-18</v>
      </c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12">
        <v>222.5</v>
      </c>
      <c r="B45" s="13">
        <v>1.5628</v>
      </c>
      <c r="C45" s="14">
        <f t="shared" si="5"/>
        <v>1562800</v>
      </c>
      <c r="D45" s="15">
        <f t="shared" si="8"/>
        <v>0.76027808835513122</v>
      </c>
      <c r="E45" s="16">
        <f t="shared" si="9"/>
        <v>9.4060936634927188</v>
      </c>
      <c r="F45" s="17">
        <v>9.4312000000000005</v>
      </c>
      <c r="G45" s="18">
        <f t="shared" si="6"/>
        <v>-12.5</v>
      </c>
      <c r="H45" s="18">
        <f t="shared" si="7"/>
        <v>-17.5</v>
      </c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12">
        <v>223</v>
      </c>
      <c r="B46" s="13">
        <v>1.6447000000000001</v>
      </c>
      <c r="C46" s="14">
        <f t="shared" si="5"/>
        <v>1644700</v>
      </c>
      <c r="D46" s="15">
        <f t="shared" si="8"/>
        <v>0.8017878513423754</v>
      </c>
      <c r="E46" s="16">
        <f t="shared" si="9"/>
        <v>10.207881514835094</v>
      </c>
      <c r="F46" s="17">
        <v>10.234999999999999</v>
      </c>
      <c r="G46" s="18">
        <f t="shared" si="6"/>
        <v>-12</v>
      </c>
      <c r="H46" s="18">
        <f t="shared" si="7"/>
        <v>-17</v>
      </c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12">
        <v>223.5</v>
      </c>
      <c r="B47" s="13">
        <v>1.7232000000000001</v>
      </c>
      <c r="C47" s="14">
        <f t="shared" si="5"/>
        <v>1723200</v>
      </c>
      <c r="D47" s="15">
        <f t="shared" si="8"/>
        <v>0.84189875210097709</v>
      </c>
      <c r="E47" s="16">
        <f t="shared" si="9"/>
        <v>11.049780266936072</v>
      </c>
      <c r="F47" s="17">
        <v>11.078200000000001</v>
      </c>
      <c r="G47" s="18">
        <f t="shared" si="6"/>
        <v>-11.5</v>
      </c>
      <c r="H47" s="18">
        <f t="shared" si="7"/>
        <v>-16.5</v>
      </c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12">
        <v>224</v>
      </c>
      <c r="B48" s="13">
        <v>1.8037000000000001</v>
      </c>
      <c r="C48" s="14">
        <f t="shared" si="5"/>
        <v>1803700</v>
      </c>
      <c r="D48" s="15">
        <f t="shared" si="8"/>
        <v>0.88164843259177317</v>
      </c>
      <c r="E48" s="16">
        <f t="shared" si="9"/>
        <v>11.931428699527844</v>
      </c>
      <c r="F48" s="17">
        <v>11.960900000000001</v>
      </c>
      <c r="G48" s="18">
        <f t="shared" si="6"/>
        <v>-11</v>
      </c>
      <c r="H48" s="18">
        <f t="shared" si="7"/>
        <v>-16</v>
      </c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12">
        <v>224.5</v>
      </c>
      <c r="B49" s="13">
        <v>1.8859999999999999</v>
      </c>
      <c r="C49" s="14">
        <f t="shared" si="5"/>
        <v>1886000</v>
      </c>
      <c r="D49" s="15">
        <f t="shared" si="8"/>
        <v>0.92234850176747585</v>
      </c>
      <c r="E49" s="16">
        <f t="shared" si="9"/>
        <v>12.853777201295319</v>
      </c>
      <c r="F49" s="17">
        <v>12.8842</v>
      </c>
      <c r="G49" s="18">
        <f t="shared" si="6"/>
        <v>-10.5</v>
      </c>
      <c r="H49" s="18">
        <f t="shared" si="7"/>
        <v>-15.5</v>
      </c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12">
        <v>225</v>
      </c>
      <c r="B50" s="13">
        <v>1.9689000000000001</v>
      </c>
      <c r="C50" s="14">
        <f t="shared" si="5"/>
        <v>1968900</v>
      </c>
      <c r="D50" s="15">
        <f t="shared" si="8"/>
        <v>0.96365070921907503</v>
      </c>
      <c r="E50" s="16">
        <f t="shared" si="9"/>
        <v>13.817427910514395</v>
      </c>
      <c r="F50" s="17">
        <v>13.8491</v>
      </c>
      <c r="G50" s="18">
        <f t="shared" si="6"/>
        <v>-10</v>
      </c>
      <c r="H50" s="18">
        <f t="shared" si="7"/>
        <v>-15</v>
      </c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12">
        <v>225.5</v>
      </c>
      <c r="B51" s="13">
        <v>2.0552999999999999</v>
      </c>
      <c r="C51" s="14">
        <f t="shared" si="5"/>
        <v>2055300</v>
      </c>
      <c r="D51" s="15">
        <f t="shared" si="8"/>
        <v>1.0059726987095727</v>
      </c>
      <c r="E51" s="16">
        <f t="shared" si="9"/>
        <v>14.823400609223967</v>
      </c>
      <c r="F51" s="17">
        <v>14.855600000000001</v>
      </c>
      <c r="G51" s="18">
        <f t="shared" si="6"/>
        <v>-9.5</v>
      </c>
      <c r="H51" s="18">
        <f t="shared" si="7"/>
        <v>-14.5</v>
      </c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12">
        <v>226</v>
      </c>
      <c r="B52" s="13">
        <v>2.1457999999999999</v>
      </c>
      <c r="C52" s="14">
        <f t="shared" si="5"/>
        <v>2145800</v>
      </c>
      <c r="D52" s="15">
        <f t="shared" si="8"/>
        <v>1.0501937593685204</v>
      </c>
      <c r="E52" s="16">
        <f t="shared" si="9"/>
        <v>15.873594368592487</v>
      </c>
      <c r="F52" s="17">
        <v>15.9079</v>
      </c>
      <c r="G52" s="18">
        <f t="shared" si="6"/>
        <v>-9</v>
      </c>
      <c r="H52" s="18">
        <f t="shared" si="7"/>
        <v>-14</v>
      </c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12">
        <v>226.5</v>
      </c>
      <c r="B53" s="13">
        <v>2.2296999999999998</v>
      </c>
      <c r="C53" s="14">
        <f t="shared" si="5"/>
        <v>2229700</v>
      </c>
      <c r="D53" s="15">
        <f t="shared" si="8"/>
        <v>1.0938079614028777</v>
      </c>
      <c r="E53" s="16">
        <f t="shared" si="9"/>
        <v>16.967402329995366</v>
      </c>
      <c r="F53" s="17">
        <v>17.002099999999999</v>
      </c>
      <c r="G53" s="18">
        <f t="shared" si="6"/>
        <v>-8.5</v>
      </c>
      <c r="H53" s="18">
        <f t="shared" si="7"/>
        <v>-13.5</v>
      </c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12">
        <v>227</v>
      </c>
      <c r="B54" s="13">
        <v>2.3075999999999999</v>
      </c>
      <c r="C54" s="14">
        <f t="shared" si="5"/>
        <v>2307600</v>
      </c>
      <c r="D54" s="15">
        <f t="shared" si="8"/>
        <v>1.1342692688267364</v>
      </c>
      <c r="E54" s="16">
        <f t="shared" si="9"/>
        <v>18.101671598822101</v>
      </c>
      <c r="F54" s="17">
        <v>18.137899999999998</v>
      </c>
      <c r="G54" s="18">
        <f t="shared" si="6"/>
        <v>-8</v>
      </c>
      <c r="H54" s="18">
        <f t="shared" si="7"/>
        <v>-13</v>
      </c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12">
        <v>227.5</v>
      </c>
      <c r="B55" s="13">
        <v>2.3809</v>
      </c>
      <c r="C55" s="14">
        <f t="shared" si="5"/>
        <v>2380900</v>
      </c>
      <c r="D55" s="15">
        <f t="shared" si="8"/>
        <v>1.1720772482461239</v>
      </c>
      <c r="E55" s="16">
        <f t="shared" si="9"/>
        <v>19.273748847068227</v>
      </c>
      <c r="F55" s="17">
        <v>19.3108</v>
      </c>
      <c r="G55" s="18">
        <f t="shared" si="6"/>
        <v>-7.5</v>
      </c>
      <c r="H55" s="18">
        <f t="shared" si="7"/>
        <v>-12.5</v>
      </c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12">
        <v>228</v>
      </c>
      <c r="B56" s="13">
        <v>2.4548999999999999</v>
      </c>
      <c r="C56" s="14">
        <f t="shared" si="5"/>
        <v>2454900</v>
      </c>
      <c r="D56" s="15">
        <f t="shared" si="8"/>
        <v>1.2089028144204599</v>
      </c>
      <c r="E56" s="16">
        <f t="shared" si="9"/>
        <v>20.482651661488685</v>
      </c>
      <c r="F56" s="17">
        <v>20.520700000000001</v>
      </c>
      <c r="G56" s="18">
        <f t="shared" si="6"/>
        <v>-7</v>
      </c>
      <c r="H56" s="18">
        <f t="shared" si="7"/>
        <v>-12</v>
      </c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12">
        <v>228.5</v>
      </c>
      <c r="B57" s="13">
        <v>2.5255000000000001</v>
      </c>
      <c r="C57" s="14">
        <f t="shared" si="5"/>
        <v>2525500</v>
      </c>
      <c r="D57" s="15">
        <f t="shared" si="8"/>
        <v>1.2450582981083942</v>
      </c>
      <c r="E57" s="16">
        <f t="shared" si="9"/>
        <v>21.727709959597078</v>
      </c>
      <c r="F57" s="17">
        <v>21.766500000000001</v>
      </c>
      <c r="G57" s="18">
        <f t="shared" si="6"/>
        <v>-6.5</v>
      </c>
      <c r="H57" s="18">
        <f t="shared" si="7"/>
        <v>-11.5</v>
      </c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12">
        <v>229</v>
      </c>
      <c r="B58" s="13">
        <v>2.5983000000000001</v>
      </c>
      <c r="C58" s="14">
        <f t="shared" si="5"/>
        <v>2598300</v>
      </c>
      <c r="D58" s="15">
        <f t="shared" si="8"/>
        <v>1.2809068996033157</v>
      </c>
      <c r="E58" s="16">
        <f t="shared" si="9"/>
        <v>23.008616859200394</v>
      </c>
      <c r="F58" s="17">
        <v>23.047999999999998</v>
      </c>
      <c r="G58" s="18">
        <f t="shared" si="6"/>
        <v>-6</v>
      </c>
      <c r="H58" s="18">
        <f t="shared" si="7"/>
        <v>-11</v>
      </c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12">
        <v>229.5</v>
      </c>
      <c r="B59" s="13">
        <v>2.6732999999999998</v>
      </c>
      <c r="C59" s="14">
        <f t="shared" si="5"/>
        <v>2673300</v>
      </c>
      <c r="D59" s="15">
        <f t="shared" si="8"/>
        <v>1.3178555378136965</v>
      </c>
      <c r="E59" s="16">
        <f t="shared" si="9"/>
        <v>24.32647239701409</v>
      </c>
      <c r="F59" s="17">
        <v>24.367599999999999</v>
      </c>
      <c r="G59" s="18">
        <f t="shared" si="6"/>
        <v>-5.5</v>
      </c>
      <c r="H59" s="18">
        <f t="shared" si="7"/>
        <v>-10.5</v>
      </c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12">
        <v>230</v>
      </c>
      <c r="B60" s="13">
        <v>2.7509999999999999</v>
      </c>
      <c r="C60" s="14">
        <f t="shared" si="5"/>
        <v>2751000</v>
      </c>
      <c r="D60" s="15">
        <f t="shared" si="8"/>
        <v>1.3560286222820719</v>
      </c>
      <c r="E60" s="16">
        <f t="shared" si="9"/>
        <v>25.682501019296161</v>
      </c>
      <c r="F60" s="17">
        <v>25.725200000000001</v>
      </c>
      <c r="G60" s="18">
        <f t="shared" si="6"/>
        <v>-5</v>
      </c>
      <c r="H60" s="18">
        <f t="shared" si="7"/>
        <v>-10</v>
      </c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12">
        <v>230.5</v>
      </c>
      <c r="B61" s="13">
        <v>2.8327</v>
      </c>
      <c r="C61" s="14">
        <f t="shared" si="5"/>
        <v>2832700</v>
      </c>
      <c r="D61" s="15">
        <f t="shared" si="8"/>
        <v>1.3958751879928932</v>
      </c>
      <c r="E61" s="16">
        <f t="shared" si="9"/>
        <v>27.078376207289054</v>
      </c>
      <c r="F61" s="17">
        <v>27.121600000000001</v>
      </c>
      <c r="G61" s="18">
        <f t="shared" si="6"/>
        <v>-4.5</v>
      </c>
      <c r="H61" s="18">
        <f t="shared" si="7"/>
        <v>-9.5</v>
      </c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12">
        <v>231</v>
      </c>
      <c r="B62" s="13">
        <v>2.9188999999999998</v>
      </c>
      <c r="C62" s="14">
        <f t="shared" si="5"/>
        <v>2918900</v>
      </c>
      <c r="D62" s="15">
        <f t="shared" si="8"/>
        <v>1.4378461681873127</v>
      </c>
      <c r="E62" s="16">
        <f t="shared" si="9"/>
        <v>28.516222375476367</v>
      </c>
      <c r="F62" s="17">
        <v>28.561399999999999</v>
      </c>
      <c r="G62" s="18">
        <f t="shared" si="6"/>
        <v>-4</v>
      </c>
      <c r="H62" s="18">
        <f t="shared" si="7"/>
        <v>-9</v>
      </c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12">
        <v>231.5</v>
      </c>
      <c r="B63" s="13">
        <v>3.0116000000000001</v>
      </c>
      <c r="C63" s="14">
        <f t="shared" si="5"/>
        <v>3011600</v>
      </c>
      <c r="D63" s="15">
        <f t="shared" si="8"/>
        <v>1.4825646213433112</v>
      </c>
      <c r="E63" s="16">
        <f t="shared" si="9"/>
        <v>29.998786996819678</v>
      </c>
      <c r="F63" s="17">
        <v>30.045300000000001</v>
      </c>
      <c r="G63" s="18">
        <f t="shared" si="6"/>
        <v>-3.5</v>
      </c>
      <c r="H63" s="18">
        <f t="shared" si="7"/>
        <v>-8.5</v>
      </c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12">
        <v>232</v>
      </c>
      <c r="B64" s="13">
        <v>3.0985999999999998</v>
      </c>
      <c r="C64" s="14">
        <f t="shared" si="5"/>
        <v>3098600</v>
      </c>
      <c r="D64" s="15">
        <f t="shared" si="8"/>
        <v>1.5274983828702877</v>
      </c>
      <c r="E64" s="16">
        <f t="shared" si="9"/>
        <v>31.526285379689966</v>
      </c>
      <c r="F64" s="17">
        <v>31.575299999999999</v>
      </c>
      <c r="G64" s="18">
        <f t="shared" si="6"/>
        <v>-3</v>
      </c>
      <c r="H64" s="18">
        <f t="shared" si="7"/>
        <v>-8</v>
      </c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12">
        <v>232.5</v>
      </c>
      <c r="B65" s="13">
        <v>3.1865999999999999</v>
      </c>
      <c r="C65" s="14">
        <f t="shared" si="5"/>
        <v>3186600</v>
      </c>
      <c r="D65" s="15">
        <f t="shared" si="8"/>
        <v>1.5712486599501252</v>
      </c>
      <c r="E65" s="16">
        <f t="shared" si="9"/>
        <v>33.097534039640088</v>
      </c>
      <c r="F65" s="17">
        <v>33.147500000000001</v>
      </c>
      <c r="G65" s="18">
        <f t="shared" si="6"/>
        <v>-2.5</v>
      </c>
      <c r="H65" s="18">
        <f t="shared" si="7"/>
        <v>-7.5</v>
      </c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12">
        <v>233</v>
      </c>
      <c r="B66" s="13">
        <v>3.2736000000000001</v>
      </c>
      <c r="C66" s="14">
        <f t="shared" si="5"/>
        <v>3273600</v>
      </c>
      <c r="D66" s="15">
        <f t="shared" si="8"/>
        <v>1.6150011796383137</v>
      </c>
      <c r="E66" s="16">
        <f t="shared" si="9"/>
        <v>34.712535219278401</v>
      </c>
      <c r="F66" s="17">
        <v>34.764600000000002</v>
      </c>
      <c r="G66" s="18">
        <f t="shared" si="6"/>
        <v>-2</v>
      </c>
      <c r="H66" s="18">
        <f t="shared" si="7"/>
        <v>-7</v>
      </c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12">
        <v>233.5</v>
      </c>
      <c r="B67" s="13">
        <v>3.3618999999999999</v>
      </c>
      <c r="C67" s="14">
        <f t="shared" si="5"/>
        <v>3361900</v>
      </c>
      <c r="D67" s="15">
        <f t="shared" si="8"/>
        <v>1.6588260383844313</v>
      </c>
      <c r="E67" s="16">
        <f t="shared" si="9"/>
        <v>36.371361257662834</v>
      </c>
      <c r="F67" s="17">
        <v>36.424500000000002</v>
      </c>
      <c r="G67" s="18">
        <f t="shared" si="6"/>
        <v>-1.5</v>
      </c>
      <c r="H67" s="18">
        <f t="shared" si="7"/>
        <v>-6.5</v>
      </c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12">
        <v>234</v>
      </c>
      <c r="B68" s="13">
        <v>3.45</v>
      </c>
      <c r="C68" s="14">
        <f t="shared" ref="C68:C99" si="10">B68*1000000</f>
        <v>3450000</v>
      </c>
      <c r="D68" s="15">
        <f t="shared" si="8"/>
        <v>1.702927522212377</v>
      </c>
      <c r="E68" s="16">
        <f t="shared" si="9"/>
        <v>38.074288779875211</v>
      </c>
      <c r="F68" s="17">
        <v>38.128500000000003</v>
      </c>
      <c r="G68" s="18">
        <f t="shared" ref="G68:G80" si="11">A68-$K$5</f>
        <v>-1</v>
      </c>
      <c r="H68" s="18">
        <f t="shared" ref="H68:H80" si="12">A68-$K$6</f>
        <v>-6</v>
      </c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12">
        <v>234.5</v>
      </c>
      <c r="B69" s="13">
        <v>3.5333000000000001</v>
      </c>
      <c r="C69" s="14">
        <f t="shared" si="10"/>
        <v>3533300</v>
      </c>
      <c r="D69" s="15">
        <f t="shared" ref="D69:D100" si="13">(A69-A68)/3*(C68+C69+SQRT(C68*C69))/1000000</f>
        <v>1.745783596837885</v>
      </c>
      <c r="E69" s="16">
        <f t="shared" ref="E69:E100" si="14">E68+D69</f>
        <v>39.820072376713092</v>
      </c>
      <c r="F69" s="17">
        <v>39.876399999999997</v>
      </c>
      <c r="G69" s="18">
        <f t="shared" si="11"/>
        <v>-0.5</v>
      </c>
      <c r="H69" s="18">
        <f t="shared" si="12"/>
        <v>-5.5</v>
      </c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12">
        <v>235</v>
      </c>
      <c r="B70" s="13">
        <v>3.6154000000000002</v>
      </c>
      <c r="C70" s="14">
        <f t="shared" si="10"/>
        <v>3615400</v>
      </c>
      <c r="D70" s="15">
        <f t="shared" si="13"/>
        <v>1.7871357117828346</v>
      </c>
      <c r="E70" s="16">
        <f t="shared" si="14"/>
        <v>41.607208088495923</v>
      </c>
      <c r="F70" s="17">
        <v>41.664700000000003</v>
      </c>
      <c r="G70" s="18">
        <f t="shared" si="11"/>
        <v>0</v>
      </c>
      <c r="H70" s="18">
        <f t="shared" si="12"/>
        <v>-5</v>
      </c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12">
        <v>235.5</v>
      </c>
      <c r="B71" s="13">
        <v>3.7021000000000002</v>
      </c>
      <c r="C71" s="14">
        <f t="shared" si="10"/>
        <v>3702100</v>
      </c>
      <c r="D71" s="15">
        <f t="shared" si="13"/>
        <v>1.8293321964820159</v>
      </c>
      <c r="E71" s="16">
        <f t="shared" si="14"/>
        <v>43.436540284977937</v>
      </c>
      <c r="F71" s="17">
        <v>43.495600000000003</v>
      </c>
      <c r="G71" s="18">
        <f t="shared" si="11"/>
        <v>0.5</v>
      </c>
      <c r="H71" s="18">
        <f t="shared" si="12"/>
        <v>-4.5</v>
      </c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12">
        <v>236</v>
      </c>
      <c r="B72" s="13">
        <v>3.7917000000000001</v>
      </c>
      <c r="C72" s="14">
        <f t="shared" si="10"/>
        <v>3791700</v>
      </c>
      <c r="D72" s="15">
        <f t="shared" si="13"/>
        <v>1.8734053606150798</v>
      </c>
      <c r="E72" s="16">
        <f t="shared" si="14"/>
        <v>45.309945645593018</v>
      </c>
      <c r="F72" s="17">
        <v>45.3703</v>
      </c>
      <c r="G72" s="18">
        <f t="shared" si="11"/>
        <v>1</v>
      </c>
      <c r="H72" s="18">
        <f t="shared" si="12"/>
        <v>-4</v>
      </c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12">
        <v>236.5</v>
      </c>
      <c r="B73" s="13">
        <v>3.8845000000000001</v>
      </c>
      <c r="C73" s="14">
        <f t="shared" si="10"/>
        <v>3884500</v>
      </c>
      <c r="D73" s="15">
        <f t="shared" si="13"/>
        <v>1.9190032529404661</v>
      </c>
      <c r="E73" s="16">
        <f t="shared" si="14"/>
        <v>47.228948898533481</v>
      </c>
      <c r="F73" s="17">
        <v>47.2898</v>
      </c>
      <c r="G73" s="18">
        <f t="shared" si="11"/>
        <v>1.5</v>
      </c>
      <c r="H73" s="18">
        <f t="shared" si="12"/>
        <v>-3.5</v>
      </c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12">
        <v>237</v>
      </c>
      <c r="B74" s="13">
        <v>3.9786999999999999</v>
      </c>
      <c r="C74" s="14">
        <f t="shared" si="10"/>
        <v>3978700</v>
      </c>
      <c r="D74" s="15">
        <f t="shared" si="13"/>
        <v>1.9657529773798503</v>
      </c>
      <c r="E74" s="16">
        <f t="shared" si="14"/>
        <v>49.194701875913331</v>
      </c>
      <c r="F74" s="17">
        <v>49.257800000000003</v>
      </c>
      <c r="G74" s="18">
        <f t="shared" si="11"/>
        <v>2</v>
      </c>
      <c r="H74" s="18">
        <f t="shared" si="12"/>
        <v>-3</v>
      </c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12">
        <v>237.5</v>
      </c>
      <c r="B75" s="13">
        <v>4.0702999999999996</v>
      </c>
      <c r="C75" s="14">
        <f t="shared" si="10"/>
        <v>4070299.9999999995</v>
      </c>
      <c r="D75" s="15">
        <f t="shared" si="13"/>
        <v>2.0122065637983737</v>
      </c>
      <c r="E75" s="16">
        <f t="shared" si="14"/>
        <v>51.206908439711704</v>
      </c>
      <c r="F75" s="17">
        <v>51.272300000000001</v>
      </c>
      <c r="G75" s="18">
        <f t="shared" si="11"/>
        <v>2.5</v>
      </c>
      <c r="H75" s="18">
        <f t="shared" si="12"/>
        <v>-2.5</v>
      </c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12">
        <v>238</v>
      </c>
      <c r="B76" s="13">
        <v>4.1665000000000001</v>
      </c>
      <c r="C76" s="14">
        <f t="shared" si="10"/>
        <v>4166500</v>
      </c>
      <c r="D76" s="15">
        <f t="shared" si="13"/>
        <v>2.0591531839042894</v>
      </c>
      <c r="E76" s="16">
        <f t="shared" si="14"/>
        <v>53.266061623615997</v>
      </c>
      <c r="F76" s="17">
        <v>53.333500000000001</v>
      </c>
      <c r="G76" s="18">
        <f t="shared" si="11"/>
        <v>3</v>
      </c>
      <c r="H76" s="18">
        <f t="shared" si="12"/>
        <v>-2</v>
      </c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12">
        <v>238.5</v>
      </c>
      <c r="B77" s="13">
        <v>4.2542</v>
      </c>
      <c r="C77" s="14">
        <f t="shared" si="10"/>
        <v>4254200</v>
      </c>
      <c r="D77" s="15">
        <f t="shared" si="13"/>
        <v>2.1051369415123022</v>
      </c>
      <c r="E77" s="16">
        <f t="shared" si="14"/>
        <v>55.371198565128296</v>
      </c>
      <c r="F77" s="17">
        <v>55.438899999999997</v>
      </c>
      <c r="G77" s="18">
        <f t="shared" si="11"/>
        <v>3.5</v>
      </c>
      <c r="H77" s="18">
        <f t="shared" si="12"/>
        <v>-1.5</v>
      </c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12">
        <v>239</v>
      </c>
      <c r="B78" s="13">
        <v>4.3429000000000002</v>
      </c>
      <c r="C78" s="14">
        <f t="shared" si="10"/>
        <v>4342900</v>
      </c>
      <c r="D78" s="15">
        <f t="shared" si="13"/>
        <v>2.1492368674737756</v>
      </c>
      <c r="E78" s="16">
        <f t="shared" si="14"/>
        <v>57.520435432602071</v>
      </c>
      <c r="F78" s="17">
        <v>57.589599999999997</v>
      </c>
      <c r="G78" s="18">
        <f t="shared" si="11"/>
        <v>4</v>
      </c>
      <c r="H78" s="18">
        <f t="shared" si="12"/>
        <v>-1</v>
      </c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12">
        <v>239.5</v>
      </c>
      <c r="B79" s="13">
        <v>4.4255000000000004</v>
      </c>
      <c r="C79" s="14">
        <f t="shared" si="10"/>
        <v>4425500</v>
      </c>
      <c r="D79" s="15">
        <f t="shared" si="13"/>
        <v>2.1920675781244316</v>
      </c>
      <c r="E79" s="16">
        <f t="shared" si="14"/>
        <v>59.7125030107265</v>
      </c>
      <c r="F79" s="17">
        <v>59.7836</v>
      </c>
      <c r="G79" s="18">
        <f t="shared" si="11"/>
        <v>4.5</v>
      </c>
      <c r="H79" s="18">
        <f t="shared" si="12"/>
        <v>-0.5</v>
      </c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12">
        <v>240</v>
      </c>
      <c r="B80" s="13">
        <v>4.5053000000000001</v>
      </c>
      <c r="C80" s="14">
        <f t="shared" si="10"/>
        <v>4505300</v>
      </c>
      <c r="D80" s="15">
        <f t="shared" si="13"/>
        <v>2.2326702893025985</v>
      </c>
      <c r="E80" s="16">
        <f t="shared" si="14"/>
        <v>61.945173300029097</v>
      </c>
      <c r="F80" s="17">
        <v>62.018000000000001</v>
      </c>
      <c r="G80" s="18">
        <f t="shared" si="11"/>
        <v>5</v>
      </c>
      <c r="H80" s="18">
        <f t="shared" si="12"/>
        <v>0</v>
      </c>
      <c r="I80" s="2"/>
      <c r="J80" s="2"/>
      <c r="K80" s="2"/>
      <c r="L80" s="2"/>
      <c r="M80" s="2"/>
      <c r="N80" s="2"/>
      <c r="O80" s="2"/>
      <c r="P80" s="2"/>
    </row>
  </sheetData>
  <mergeCells count="1">
    <mergeCell ref="A2:H2"/>
  </mergeCells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4"/>
  <sheetViews>
    <sheetView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5" width="14" customWidth="1"/>
    <col min="6" max="6" width="16" customWidth="1"/>
    <col min="7" max="8" width="14" customWidth="1"/>
    <col min="10" max="10" width="27" customWidth="1"/>
    <col min="11" max="11" width="12" customWidth="1"/>
  </cols>
  <sheetData>
    <row r="1" spans="1:16" ht="15.75" x14ac:dyDescent="0.25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9.950000000000003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</row>
    <row r="3" spans="1:16" ht="42" customHeigh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2"/>
      <c r="J3" s="2"/>
      <c r="K3" s="2"/>
      <c r="L3" s="2"/>
      <c r="M3" s="11" t="s">
        <v>43</v>
      </c>
      <c r="N3" s="2"/>
      <c r="O3" s="2"/>
      <c r="P3" s="2"/>
    </row>
    <row r="4" spans="1:16" x14ac:dyDescent="0.25">
      <c r="A4" s="12">
        <v>153</v>
      </c>
      <c r="B4" s="13">
        <v>1.6000000000000001E-3</v>
      </c>
      <c r="C4" s="14">
        <f t="shared" ref="C4:C44" si="0">B4*1000000</f>
        <v>1600</v>
      </c>
      <c r="D4" s="15">
        <v>0</v>
      </c>
      <c r="E4" s="16">
        <v>0</v>
      </c>
      <c r="F4" s="17">
        <v>4.0000000000000002E-4</v>
      </c>
      <c r="G4" s="18">
        <f t="shared" ref="G4:G44" si="1">A4-$K$5</f>
        <v>-15</v>
      </c>
      <c r="H4" s="18">
        <f t="shared" ref="H4:H44" si="2">A4-$K$6</f>
        <v>-20</v>
      </c>
      <c r="I4" s="2"/>
      <c r="J4" s="4" t="s">
        <v>44</v>
      </c>
      <c r="K4" s="19" t="str">
        <f>"Shafan 08"</f>
        <v>Shafan 08</v>
      </c>
      <c r="L4" s="2"/>
      <c r="M4" s="11" t="s">
        <v>45</v>
      </c>
      <c r="N4" s="11" t="s">
        <v>46</v>
      </c>
      <c r="O4" s="11" t="s">
        <v>47</v>
      </c>
      <c r="P4" s="11" t="s">
        <v>48</v>
      </c>
    </row>
    <row r="5" spans="1:16" x14ac:dyDescent="0.25">
      <c r="A5" s="12">
        <v>153.5</v>
      </c>
      <c r="B5" s="13">
        <v>4.4000000000000003E-3</v>
      </c>
      <c r="C5" s="14">
        <f t="shared" si="0"/>
        <v>4400</v>
      </c>
      <c r="D5" s="15">
        <f t="shared" ref="D5:D44" si="3">(A5-A4)/3*(C4+C5+SQRT(C4*C5))/1000000</f>
        <v>1.4422166387140533E-3</v>
      </c>
      <c r="E5" s="16">
        <f t="shared" ref="E5:E44" si="4">E4+D5</f>
        <v>1.4422166387140533E-3</v>
      </c>
      <c r="F5" s="17">
        <v>1.8E-3</v>
      </c>
      <c r="G5" s="18">
        <f t="shared" si="1"/>
        <v>-14.5</v>
      </c>
      <c r="H5" s="18">
        <f t="shared" si="2"/>
        <v>-19.5</v>
      </c>
      <c r="I5" s="2"/>
      <c r="J5" s="20" t="s">
        <v>3</v>
      </c>
      <c r="K5" s="21">
        <f>Dams!C8</f>
        <v>168</v>
      </c>
      <c r="L5" s="2"/>
      <c r="M5" s="2">
        <v>0</v>
      </c>
      <c r="N5" s="2">
        <f>K5</f>
        <v>168</v>
      </c>
      <c r="O5" s="2">
        <f>K6</f>
        <v>173</v>
      </c>
      <c r="P5" s="2">
        <v>0</v>
      </c>
    </row>
    <row r="6" spans="1:16" x14ac:dyDescent="0.25">
      <c r="A6" s="12">
        <v>154</v>
      </c>
      <c r="B6" s="13">
        <v>9.4999999999999998E-3</v>
      </c>
      <c r="C6" s="14">
        <f t="shared" si="0"/>
        <v>9500</v>
      </c>
      <c r="D6" s="15">
        <f t="shared" si="3"/>
        <v>3.3942153250163072E-3</v>
      </c>
      <c r="E6" s="16">
        <f t="shared" si="4"/>
        <v>4.8364319637303607E-3</v>
      </c>
      <c r="F6" s="17">
        <v>5.3E-3</v>
      </c>
      <c r="G6" s="18">
        <f t="shared" si="1"/>
        <v>-14</v>
      </c>
      <c r="H6" s="18">
        <f t="shared" si="2"/>
        <v>-19</v>
      </c>
      <c r="I6" s="2"/>
      <c r="J6" s="20" t="s">
        <v>49</v>
      </c>
      <c r="K6" s="21">
        <f>Dams!B8</f>
        <v>173</v>
      </c>
      <c r="L6" s="2"/>
      <c r="M6" s="2">
        <f>K15*1.02</f>
        <v>34.519133664717188</v>
      </c>
      <c r="N6" s="2">
        <f>K5</f>
        <v>168</v>
      </c>
      <c r="O6" s="2">
        <f>K6</f>
        <v>173</v>
      </c>
      <c r="P6" s="2">
        <f>K16*1.02</f>
        <v>5.2608540000000001</v>
      </c>
    </row>
    <row r="7" spans="1:16" x14ac:dyDescent="0.25">
      <c r="A7" s="12">
        <v>154.5</v>
      </c>
      <c r="B7" s="13">
        <v>2.3199999999999998E-2</v>
      </c>
      <c r="C7" s="14">
        <f t="shared" si="0"/>
        <v>23200</v>
      </c>
      <c r="D7" s="15">
        <f t="shared" si="3"/>
        <v>7.9243124746527505E-3</v>
      </c>
      <c r="E7" s="16">
        <f t="shared" si="4"/>
        <v>1.2760744438383112E-2</v>
      </c>
      <c r="F7" s="17">
        <v>1.3299999999999999E-2</v>
      </c>
      <c r="G7" s="18">
        <f t="shared" si="1"/>
        <v>-13.5</v>
      </c>
      <c r="H7" s="18">
        <f t="shared" si="2"/>
        <v>-18.5</v>
      </c>
      <c r="I7" s="2"/>
      <c r="J7" s="20" t="s">
        <v>9</v>
      </c>
      <c r="K7" s="21">
        <f>A4</f>
        <v>153</v>
      </c>
      <c r="L7" s="2"/>
      <c r="M7" s="11" t="str">
        <f>"FSL "&amp;TEXT(K5,"0.0")&amp;" m"</f>
        <v>FSL 168.0 m</v>
      </c>
      <c r="N7" s="2"/>
      <c r="O7" s="2"/>
      <c r="P7" s="2"/>
    </row>
    <row r="8" spans="1:16" x14ac:dyDescent="0.25">
      <c r="A8" s="12">
        <v>155</v>
      </c>
      <c r="B8" s="13">
        <v>4.02E-2</v>
      </c>
      <c r="C8" s="14">
        <f t="shared" si="0"/>
        <v>40200</v>
      </c>
      <c r="D8" s="15">
        <f t="shared" si="3"/>
        <v>1.5656525865767035E-2</v>
      </c>
      <c r="E8" s="16">
        <f t="shared" si="4"/>
        <v>2.8417270304150147E-2</v>
      </c>
      <c r="F8" s="17">
        <v>2.93E-2</v>
      </c>
      <c r="G8" s="18">
        <f t="shared" si="1"/>
        <v>-13</v>
      </c>
      <c r="H8" s="18">
        <f t="shared" si="2"/>
        <v>-18</v>
      </c>
      <c r="I8" s="2"/>
      <c r="J8" s="20" t="s">
        <v>10</v>
      </c>
      <c r="K8" s="21">
        <f>K6-K7</f>
        <v>20</v>
      </c>
      <c r="L8" s="2"/>
      <c r="M8" s="11" t="str">
        <f>"Crest "&amp;TEXT(K6,"0.0")&amp;" m"</f>
        <v>Crest 173.0 m</v>
      </c>
      <c r="N8" s="2"/>
      <c r="O8" s="2"/>
      <c r="P8" s="2"/>
    </row>
    <row r="9" spans="1:16" x14ac:dyDescent="0.25">
      <c r="A9" s="12">
        <v>155.5</v>
      </c>
      <c r="B9" s="13">
        <v>6.0400000000000002E-2</v>
      </c>
      <c r="C9" s="14">
        <f t="shared" si="0"/>
        <v>60400</v>
      </c>
      <c r="D9" s="15">
        <f t="shared" si="3"/>
        <v>2.4979258624548577E-2</v>
      </c>
      <c r="E9" s="16">
        <f t="shared" si="4"/>
        <v>5.3396528928698728E-2</v>
      </c>
      <c r="F9" s="17">
        <v>5.5E-2</v>
      </c>
      <c r="G9" s="18">
        <f t="shared" si="1"/>
        <v>-12.5</v>
      </c>
      <c r="H9" s="18">
        <f t="shared" si="2"/>
        <v>-17.5</v>
      </c>
      <c r="I9" s="2"/>
      <c r="J9" s="20" t="s">
        <v>11</v>
      </c>
      <c r="K9" s="19">
        <f>INDEX(B4:B44,MATCH(K5,A4:A44,0))</f>
        <v>2.9430000000000001</v>
      </c>
      <c r="L9" s="2"/>
      <c r="M9" s="11" t="str">
        <f>"Elevation-volume curve"</f>
        <v>Elevation-volume curve</v>
      </c>
      <c r="N9" s="2"/>
      <c r="O9" s="2"/>
      <c r="P9" s="2"/>
    </row>
    <row r="10" spans="1:16" x14ac:dyDescent="0.25">
      <c r="A10" s="12">
        <v>156</v>
      </c>
      <c r="B10" s="13">
        <v>9.1600000000000001E-2</v>
      </c>
      <c r="C10" s="14">
        <f t="shared" si="0"/>
        <v>91600</v>
      </c>
      <c r="D10" s="15">
        <f t="shared" si="3"/>
        <v>3.7730286363995516E-2</v>
      </c>
      <c r="E10" s="16">
        <f t="shared" si="4"/>
        <v>9.1126815292694244E-2</v>
      </c>
      <c r="F10" s="17">
        <v>9.4E-2</v>
      </c>
      <c r="G10" s="18">
        <f t="shared" si="1"/>
        <v>-12</v>
      </c>
      <c r="H10" s="18">
        <f t="shared" si="2"/>
        <v>-17</v>
      </c>
      <c r="I10" s="2"/>
      <c r="J10" s="20" t="s">
        <v>12</v>
      </c>
      <c r="K10" s="19">
        <f>INDEX(E4:E44,MATCH(K5,A4:A44,0))</f>
        <v>13.708940982367986</v>
      </c>
      <c r="L10" s="2"/>
      <c r="M10" s="11" t="str">
        <f>"Elevation-area curve"</f>
        <v>Elevation-area curve</v>
      </c>
      <c r="N10" s="2"/>
      <c r="O10" s="2"/>
      <c r="P10" s="2"/>
    </row>
    <row r="11" spans="1:16" x14ac:dyDescent="0.25">
      <c r="A11" s="12">
        <v>156.5</v>
      </c>
      <c r="B11" s="13">
        <v>0.1237</v>
      </c>
      <c r="C11" s="14">
        <f t="shared" si="0"/>
        <v>123700</v>
      </c>
      <c r="D11" s="15">
        <f t="shared" si="3"/>
        <v>5.3624465703556431E-2</v>
      </c>
      <c r="E11" s="16">
        <f t="shared" si="4"/>
        <v>0.14475128099625068</v>
      </c>
      <c r="F11" s="17">
        <v>0.14810000000000001</v>
      </c>
      <c r="G11" s="18">
        <f t="shared" si="1"/>
        <v>-11.5</v>
      </c>
      <c r="H11" s="18">
        <f t="shared" si="2"/>
        <v>-16.5</v>
      </c>
      <c r="I11" s="2"/>
      <c r="J11" s="20" t="s">
        <v>50</v>
      </c>
      <c r="K11" s="19">
        <f>Dams!D8</f>
        <v>15</v>
      </c>
      <c r="L11" s="2"/>
      <c r="M11" s="2"/>
      <c r="N11" s="2"/>
      <c r="O11" s="2"/>
      <c r="P11" s="2"/>
    </row>
    <row r="12" spans="1:16" x14ac:dyDescent="0.25">
      <c r="A12" s="12">
        <v>157</v>
      </c>
      <c r="B12" s="13">
        <v>0.1605</v>
      </c>
      <c r="C12" s="14">
        <f t="shared" si="0"/>
        <v>160500</v>
      </c>
      <c r="D12" s="15">
        <f t="shared" si="3"/>
        <v>7.0850615085391588E-2</v>
      </c>
      <c r="E12" s="16">
        <f t="shared" si="4"/>
        <v>0.21560189608164226</v>
      </c>
      <c r="F12" s="17">
        <v>0.21959999999999999</v>
      </c>
      <c r="G12" s="18">
        <f t="shared" si="1"/>
        <v>-11</v>
      </c>
      <c r="H12" s="18">
        <f t="shared" si="2"/>
        <v>-16</v>
      </c>
      <c r="I12" s="2"/>
      <c r="J12" s="20" t="s">
        <v>51</v>
      </c>
      <c r="K12" s="22">
        <f>K10/K11-1</f>
        <v>-8.6070601175467609E-2</v>
      </c>
      <c r="L12" s="2"/>
      <c r="M12" s="2"/>
      <c r="N12" s="2"/>
      <c r="O12" s="2"/>
      <c r="P12" s="2"/>
    </row>
    <row r="13" spans="1:16" x14ac:dyDescent="0.25">
      <c r="A13" s="12">
        <v>157.5</v>
      </c>
      <c r="B13" s="13">
        <v>0.2039</v>
      </c>
      <c r="C13" s="14">
        <f t="shared" si="0"/>
        <v>203900</v>
      </c>
      <c r="D13" s="15">
        <f t="shared" si="3"/>
        <v>9.0883858480777555E-2</v>
      </c>
      <c r="E13" s="16">
        <f t="shared" si="4"/>
        <v>0.30648575456241983</v>
      </c>
      <c r="F13" s="17">
        <v>0.31159999999999999</v>
      </c>
      <c r="G13" s="18">
        <f t="shared" si="1"/>
        <v>-10.5</v>
      </c>
      <c r="H13" s="18">
        <f t="shared" si="2"/>
        <v>-15.5</v>
      </c>
      <c r="I13" s="2"/>
      <c r="J13" s="20" t="s">
        <v>14</v>
      </c>
      <c r="K13" s="19">
        <f>INDEX(B4:B44,MATCH(K6,A4:A44,0))</f>
        <v>5.1577000000000002</v>
      </c>
      <c r="L13" s="2"/>
      <c r="M13" s="2"/>
      <c r="N13" s="2"/>
      <c r="O13" s="2"/>
      <c r="P13" s="2"/>
    </row>
    <row r="14" spans="1:16" x14ac:dyDescent="0.25">
      <c r="A14" s="12">
        <v>158</v>
      </c>
      <c r="B14" s="13">
        <v>0.25519999999999998</v>
      </c>
      <c r="C14" s="14">
        <f t="shared" si="0"/>
        <v>255199.99999999997</v>
      </c>
      <c r="D14" s="15">
        <f t="shared" si="3"/>
        <v>0.11453540473678735</v>
      </c>
      <c r="E14" s="16">
        <f t="shared" si="4"/>
        <v>0.42102115929920719</v>
      </c>
      <c r="F14" s="17">
        <v>0.4269</v>
      </c>
      <c r="G14" s="18">
        <f t="shared" si="1"/>
        <v>-10</v>
      </c>
      <c r="H14" s="18">
        <f t="shared" si="2"/>
        <v>-15</v>
      </c>
      <c r="I14" s="2"/>
      <c r="J14" s="20" t="s">
        <v>15</v>
      </c>
      <c r="K14" s="19">
        <f>INDEX(E4:E44,MATCH(K6,A4:A44,0))</f>
        <v>33.842287906585476</v>
      </c>
      <c r="L14" s="2"/>
      <c r="M14" s="2"/>
      <c r="N14" s="2"/>
      <c r="O14" s="2"/>
      <c r="P14" s="2"/>
    </row>
    <row r="15" spans="1:16" x14ac:dyDescent="0.25">
      <c r="A15" s="12">
        <v>158.5</v>
      </c>
      <c r="B15" s="13">
        <v>0.3145</v>
      </c>
      <c r="C15" s="14">
        <f t="shared" si="0"/>
        <v>314500</v>
      </c>
      <c r="D15" s="15">
        <f t="shared" si="3"/>
        <v>0.14216711083447986</v>
      </c>
      <c r="E15" s="16">
        <f t="shared" si="4"/>
        <v>0.563188270133687</v>
      </c>
      <c r="F15" s="17">
        <v>0.5696</v>
      </c>
      <c r="G15" s="18">
        <f t="shared" si="1"/>
        <v>-9.5</v>
      </c>
      <c r="H15" s="18">
        <f t="shared" si="2"/>
        <v>-14.5</v>
      </c>
      <c r="I15" s="2"/>
      <c r="J15" s="20" t="s">
        <v>52</v>
      </c>
      <c r="K15" s="19">
        <f>MAX(E4:E44)</f>
        <v>33.842287906585476</v>
      </c>
      <c r="L15" s="2"/>
      <c r="M15" s="2"/>
      <c r="N15" s="2"/>
      <c r="O15" s="2"/>
      <c r="P15" s="2"/>
    </row>
    <row r="16" spans="1:16" x14ac:dyDescent="0.25">
      <c r="A16" s="12">
        <v>159</v>
      </c>
      <c r="B16" s="13">
        <v>0.38229999999999997</v>
      </c>
      <c r="C16" s="14">
        <f t="shared" si="0"/>
        <v>382300</v>
      </c>
      <c r="D16" s="15">
        <f t="shared" si="3"/>
        <v>0.17392446827441038</v>
      </c>
      <c r="E16" s="16">
        <f t="shared" si="4"/>
        <v>0.73711273840809732</v>
      </c>
      <c r="F16" s="17">
        <v>0.745</v>
      </c>
      <c r="G16" s="18">
        <f t="shared" si="1"/>
        <v>-9</v>
      </c>
      <c r="H16" s="18">
        <f t="shared" si="2"/>
        <v>-14</v>
      </c>
      <c r="I16" s="2"/>
      <c r="J16" s="20" t="s">
        <v>53</v>
      </c>
      <c r="K16" s="19">
        <f>MAX(B4:B44)</f>
        <v>5.1577000000000002</v>
      </c>
      <c r="L16" s="2"/>
      <c r="M16" s="2"/>
      <c r="N16" s="2"/>
      <c r="O16" s="2"/>
      <c r="P16" s="2"/>
    </row>
    <row r="17" spans="1:16" x14ac:dyDescent="0.25">
      <c r="A17" s="12">
        <v>159.5</v>
      </c>
      <c r="B17" s="13">
        <v>0.45590000000000003</v>
      </c>
      <c r="C17" s="14">
        <f t="shared" si="0"/>
        <v>455900</v>
      </c>
      <c r="D17" s="15">
        <f t="shared" si="3"/>
        <v>0.20928020352242599</v>
      </c>
      <c r="E17" s="16">
        <f t="shared" si="4"/>
        <v>0.94639294193052326</v>
      </c>
      <c r="F17" s="17">
        <v>0.95579999999999998</v>
      </c>
      <c r="G17" s="18">
        <f t="shared" si="1"/>
        <v>-8.5</v>
      </c>
      <c r="H17" s="18">
        <f t="shared" si="2"/>
        <v>-13.5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2">
        <v>160</v>
      </c>
      <c r="B18" s="13">
        <v>0.54</v>
      </c>
      <c r="C18" s="14">
        <f t="shared" si="0"/>
        <v>540000</v>
      </c>
      <c r="D18" s="15">
        <f t="shared" si="3"/>
        <v>0.24867855689551979</v>
      </c>
      <c r="E18" s="16">
        <f t="shared" si="4"/>
        <v>1.1950714988260431</v>
      </c>
      <c r="F18" s="17">
        <v>1.2061999999999999</v>
      </c>
      <c r="G18" s="18">
        <f t="shared" si="1"/>
        <v>-8</v>
      </c>
      <c r="H18" s="18">
        <f t="shared" si="2"/>
        <v>-13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2">
        <v>160.5</v>
      </c>
      <c r="B19" s="13">
        <v>0.626</v>
      </c>
      <c r="C19" s="14">
        <f t="shared" si="0"/>
        <v>626000</v>
      </c>
      <c r="D19" s="15">
        <f t="shared" si="3"/>
        <v>0.29123534569633847</v>
      </c>
      <c r="E19" s="16">
        <f t="shared" si="4"/>
        <v>1.4863068445223817</v>
      </c>
      <c r="F19" s="17">
        <v>1.4984</v>
      </c>
      <c r="G19" s="18">
        <f t="shared" si="1"/>
        <v>-7.5</v>
      </c>
      <c r="H19" s="18">
        <f t="shared" si="2"/>
        <v>-12.5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2">
        <v>161</v>
      </c>
      <c r="B20" s="13">
        <v>0.72360000000000002</v>
      </c>
      <c r="C20" s="14">
        <f t="shared" si="0"/>
        <v>723600</v>
      </c>
      <c r="D20" s="15">
        <f t="shared" si="3"/>
        <v>0.33710552239996427</v>
      </c>
      <c r="E20" s="16">
        <f t="shared" si="4"/>
        <v>1.8234123669223461</v>
      </c>
      <c r="F20" s="17">
        <v>1.8376999999999999</v>
      </c>
      <c r="G20" s="18">
        <f t="shared" si="1"/>
        <v>-7</v>
      </c>
      <c r="H20" s="18">
        <f t="shared" si="2"/>
        <v>-12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2">
        <v>161.5</v>
      </c>
      <c r="B21" s="13">
        <v>0.83079999999999998</v>
      </c>
      <c r="C21" s="14">
        <f t="shared" si="0"/>
        <v>830800</v>
      </c>
      <c r="D21" s="15">
        <f t="shared" si="3"/>
        <v>0.38829158686397225</v>
      </c>
      <c r="E21" s="16">
        <f t="shared" si="4"/>
        <v>2.2117039537863183</v>
      </c>
      <c r="F21" s="17">
        <v>2.2284999999999999</v>
      </c>
      <c r="G21" s="18">
        <f t="shared" si="1"/>
        <v>-6.5</v>
      </c>
      <c r="H21" s="18">
        <f t="shared" si="2"/>
        <v>-11.5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2">
        <v>162</v>
      </c>
      <c r="B22" s="13">
        <v>0.93259999999999998</v>
      </c>
      <c r="C22" s="14">
        <f t="shared" si="0"/>
        <v>932600</v>
      </c>
      <c r="D22" s="15">
        <f t="shared" si="3"/>
        <v>0.44060492682781838</v>
      </c>
      <c r="E22" s="16">
        <f t="shared" si="4"/>
        <v>2.6523088806141368</v>
      </c>
      <c r="F22" s="17">
        <v>2.6703999999999999</v>
      </c>
      <c r="G22" s="18">
        <f t="shared" si="1"/>
        <v>-6</v>
      </c>
      <c r="H22" s="18">
        <f t="shared" si="2"/>
        <v>-11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2">
        <v>162.5</v>
      </c>
      <c r="B23" s="13">
        <v>1.0444</v>
      </c>
      <c r="C23" s="14">
        <f t="shared" si="0"/>
        <v>1044400</v>
      </c>
      <c r="D23" s="15">
        <f t="shared" si="3"/>
        <v>0.49398635877245933</v>
      </c>
      <c r="E23" s="16">
        <f t="shared" si="4"/>
        <v>3.1462952393865962</v>
      </c>
      <c r="F23" s="17">
        <v>3.1663999999999999</v>
      </c>
      <c r="G23" s="18">
        <f t="shared" si="1"/>
        <v>-5.5</v>
      </c>
      <c r="H23" s="18">
        <f t="shared" si="2"/>
        <v>-10.5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2">
        <v>163</v>
      </c>
      <c r="B24" s="13">
        <v>1.1678999999999999</v>
      </c>
      <c r="C24" s="14">
        <f t="shared" si="0"/>
        <v>1167900</v>
      </c>
      <c r="D24" s="15">
        <f t="shared" si="3"/>
        <v>0.55278751353456868</v>
      </c>
      <c r="E24" s="16">
        <f t="shared" si="4"/>
        <v>3.6990827529211647</v>
      </c>
      <c r="F24" s="17">
        <v>3.7225000000000001</v>
      </c>
      <c r="G24" s="18">
        <f t="shared" si="1"/>
        <v>-5</v>
      </c>
      <c r="H24" s="18">
        <f t="shared" si="2"/>
        <v>-10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2">
        <v>163.5</v>
      </c>
      <c r="B25" s="13">
        <v>1.3046</v>
      </c>
      <c r="C25" s="14">
        <f t="shared" si="0"/>
        <v>1304600</v>
      </c>
      <c r="D25" s="15">
        <f t="shared" si="3"/>
        <v>0.61780984677614004</v>
      </c>
      <c r="E25" s="16">
        <f t="shared" si="4"/>
        <v>4.3168925996973044</v>
      </c>
      <c r="F25" s="17">
        <v>4.3433999999999999</v>
      </c>
      <c r="G25" s="18">
        <f t="shared" si="1"/>
        <v>-4.5</v>
      </c>
      <c r="H25" s="18">
        <f t="shared" si="2"/>
        <v>-9.5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2">
        <v>164</v>
      </c>
      <c r="B26" s="13">
        <v>1.4703999999999999</v>
      </c>
      <c r="C26" s="14">
        <f t="shared" si="0"/>
        <v>1470400</v>
      </c>
      <c r="D26" s="15">
        <f t="shared" si="3"/>
        <v>0.69333687361906071</v>
      </c>
      <c r="E26" s="16">
        <f t="shared" si="4"/>
        <v>5.0102294733163655</v>
      </c>
      <c r="F26" s="17">
        <v>5.0411000000000001</v>
      </c>
      <c r="G26" s="18">
        <f t="shared" si="1"/>
        <v>-4</v>
      </c>
      <c r="H26" s="18">
        <f t="shared" si="2"/>
        <v>-9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12">
        <v>164.5</v>
      </c>
      <c r="B27" s="13">
        <v>1.6394</v>
      </c>
      <c r="C27" s="14">
        <f t="shared" si="0"/>
        <v>1639400</v>
      </c>
      <c r="D27" s="15">
        <f t="shared" si="3"/>
        <v>0.77706704238025015</v>
      </c>
      <c r="E27" s="16">
        <f t="shared" si="4"/>
        <v>5.7872965156966156</v>
      </c>
      <c r="F27" s="17">
        <v>5.8207000000000004</v>
      </c>
      <c r="G27" s="18">
        <f t="shared" si="1"/>
        <v>-3.5</v>
      </c>
      <c r="H27" s="18">
        <f t="shared" si="2"/>
        <v>-8.5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12">
        <v>165</v>
      </c>
      <c r="B28" s="13">
        <v>1.802</v>
      </c>
      <c r="C28" s="14">
        <f t="shared" si="0"/>
        <v>1802000</v>
      </c>
      <c r="D28" s="15">
        <f t="shared" si="3"/>
        <v>0.86002971450665899</v>
      </c>
      <c r="E28" s="16">
        <f t="shared" si="4"/>
        <v>6.6473262302032747</v>
      </c>
      <c r="F28" s="17">
        <v>6.6849999999999996</v>
      </c>
      <c r="G28" s="18">
        <f t="shared" si="1"/>
        <v>-3</v>
      </c>
      <c r="H28" s="18">
        <f t="shared" si="2"/>
        <v>-8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2">
        <v>165.5</v>
      </c>
      <c r="B29" s="13">
        <v>1.9770000000000001</v>
      </c>
      <c r="C29" s="14">
        <f t="shared" si="0"/>
        <v>1977000</v>
      </c>
      <c r="D29" s="15">
        <f t="shared" si="3"/>
        <v>0.94441215228548925</v>
      </c>
      <c r="E29" s="16">
        <f t="shared" si="4"/>
        <v>7.5917383824887636</v>
      </c>
      <c r="F29" s="17">
        <v>7.6337999999999999</v>
      </c>
      <c r="G29" s="18">
        <f t="shared" si="1"/>
        <v>-2.5</v>
      </c>
      <c r="H29" s="18">
        <f t="shared" si="2"/>
        <v>-7.5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12">
        <v>166</v>
      </c>
      <c r="B30" s="13">
        <v>2.1602000000000001</v>
      </c>
      <c r="C30" s="14">
        <f t="shared" si="0"/>
        <v>2160200</v>
      </c>
      <c r="D30" s="15">
        <f t="shared" si="3"/>
        <v>1.0339618213149946</v>
      </c>
      <c r="E30" s="16">
        <f t="shared" si="4"/>
        <v>8.625700203803758</v>
      </c>
      <c r="F30" s="17">
        <v>8.6723999999999997</v>
      </c>
      <c r="G30" s="18">
        <f t="shared" si="1"/>
        <v>-2</v>
      </c>
      <c r="H30" s="18">
        <f t="shared" si="2"/>
        <v>-7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2">
        <v>166.5</v>
      </c>
      <c r="B31" s="13">
        <v>2.3418999999999999</v>
      </c>
      <c r="C31" s="14">
        <f t="shared" si="0"/>
        <v>2341900</v>
      </c>
      <c r="D31" s="15">
        <f t="shared" si="3"/>
        <v>1.1252193246393409</v>
      </c>
      <c r="E31" s="16">
        <f t="shared" si="4"/>
        <v>9.7509195284430987</v>
      </c>
      <c r="F31" s="17">
        <v>9.7997999999999994</v>
      </c>
      <c r="G31" s="18">
        <f t="shared" si="1"/>
        <v>-1.5</v>
      </c>
      <c r="H31" s="18">
        <f t="shared" si="2"/>
        <v>-6.5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12">
        <v>167</v>
      </c>
      <c r="B32" s="13">
        <v>2.5335000000000001</v>
      </c>
      <c r="C32" s="14">
        <f t="shared" si="0"/>
        <v>2533500</v>
      </c>
      <c r="D32" s="15">
        <f t="shared" si="3"/>
        <v>1.2185361390411298</v>
      </c>
      <c r="E32" s="16">
        <f t="shared" si="4"/>
        <v>10.969455667484228</v>
      </c>
      <c r="F32" s="17">
        <v>11.022500000000001</v>
      </c>
      <c r="G32" s="18">
        <f t="shared" si="1"/>
        <v>-1</v>
      </c>
      <c r="H32" s="18">
        <f t="shared" si="2"/>
        <v>-6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12">
        <v>167.5</v>
      </c>
      <c r="B33" s="13">
        <v>2.742</v>
      </c>
      <c r="C33" s="14">
        <f t="shared" si="0"/>
        <v>2742000</v>
      </c>
      <c r="D33" s="15">
        <f t="shared" si="3"/>
        <v>1.3185315156593775</v>
      </c>
      <c r="E33" s="16">
        <f t="shared" si="4"/>
        <v>12.287987183143606</v>
      </c>
      <c r="F33" s="17">
        <v>12.3462</v>
      </c>
      <c r="G33" s="18">
        <f t="shared" si="1"/>
        <v>-0.5</v>
      </c>
      <c r="H33" s="18">
        <f t="shared" si="2"/>
        <v>-5.5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2">
        <v>168</v>
      </c>
      <c r="B34" s="13">
        <v>2.9430000000000001</v>
      </c>
      <c r="C34" s="14">
        <f t="shared" si="0"/>
        <v>2943000</v>
      </c>
      <c r="D34" s="15">
        <f t="shared" si="3"/>
        <v>1.4209537992243804</v>
      </c>
      <c r="E34" s="16">
        <f t="shared" si="4"/>
        <v>13.708940982367986</v>
      </c>
      <c r="F34" s="17">
        <v>13.770799999999999</v>
      </c>
      <c r="G34" s="18">
        <f t="shared" si="1"/>
        <v>0</v>
      </c>
      <c r="H34" s="18">
        <f t="shared" si="2"/>
        <v>-5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2">
        <v>168.5</v>
      </c>
      <c r="B35" s="13">
        <v>3.1454</v>
      </c>
      <c r="C35" s="14">
        <f t="shared" si="0"/>
        <v>3145400</v>
      </c>
      <c r="D35" s="15">
        <f t="shared" si="3"/>
        <v>1.5218195686030356</v>
      </c>
      <c r="E35" s="16">
        <f t="shared" si="4"/>
        <v>15.230760550971022</v>
      </c>
      <c r="F35" s="17">
        <v>15.294700000000001</v>
      </c>
      <c r="G35" s="18">
        <f t="shared" si="1"/>
        <v>0.5</v>
      </c>
      <c r="H35" s="18">
        <f t="shared" si="2"/>
        <v>-4.5</v>
      </c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2">
        <v>169</v>
      </c>
      <c r="B36" s="13">
        <v>3.3639000000000001</v>
      </c>
      <c r="C36" s="14">
        <f t="shared" si="0"/>
        <v>3363900</v>
      </c>
      <c r="D36" s="15">
        <f t="shared" si="3"/>
        <v>1.6270193110486417</v>
      </c>
      <c r="E36" s="16">
        <f t="shared" si="4"/>
        <v>16.857779862019662</v>
      </c>
      <c r="F36" s="17">
        <v>16.927</v>
      </c>
      <c r="G36" s="18">
        <f t="shared" si="1"/>
        <v>1</v>
      </c>
      <c r="H36" s="18">
        <f t="shared" si="2"/>
        <v>-4</v>
      </c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12">
        <v>169.5</v>
      </c>
      <c r="B37" s="13">
        <v>3.5800999999999998</v>
      </c>
      <c r="C37" s="14">
        <f t="shared" si="0"/>
        <v>3580100</v>
      </c>
      <c r="D37" s="15">
        <f t="shared" si="3"/>
        <v>1.7357194594059884</v>
      </c>
      <c r="E37" s="16">
        <f t="shared" si="4"/>
        <v>18.59349932142565</v>
      </c>
      <c r="F37" s="17">
        <v>18.668900000000001</v>
      </c>
      <c r="G37" s="18">
        <f t="shared" si="1"/>
        <v>1.5</v>
      </c>
      <c r="H37" s="18">
        <f t="shared" si="2"/>
        <v>-3.5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12">
        <v>170</v>
      </c>
      <c r="B38" s="13">
        <v>3.7995000000000001</v>
      </c>
      <c r="C38" s="14">
        <f t="shared" si="0"/>
        <v>3799500</v>
      </c>
      <c r="D38" s="15">
        <f t="shared" si="3"/>
        <v>1.8446281526000434</v>
      </c>
      <c r="E38" s="16">
        <f t="shared" si="4"/>
        <v>20.438127474025695</v>
      </c>
      <c r="F38" s="17">
        <v>20.519100000000002</v>
      </c>
      <c r="G38" s="18">
        <f t="shared" si="1"/>
        <v>2</v>
      </c>
      <c r="H38" s="18">
        <f t="shared" si="2"/>
        <v>-3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2">
        <v>170.5</v>
      </c>
      <c r="B39" s="13">
        <v>4.0141</v>
      </c>
      <c r="C39" s="14">
        <f t="shared" si="0"/>
        <v>4014100</v>
      </c>
      <c r="D39" s="15">
        <f t="shared" si="3"/>
        <v>1.9531543713951141</v>
      </c>
      <c r="E39" s="16">
        <f t="shared" si="4"/>
        <v>22.39128184542081</v>
      </c>
      <c r="F39" s="17">
        <v>22.473800000000001</v>
      </c>
      <c r="G39" s="18">
        <f t="shared" si="1"/>
        <v>2.5</v>
      </c>
      <c r="H39" s="18">
        <f t="shared" si="2"/>
        <v>-2.5</v>
      </c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12">
        <v>171</v>
      </c>
      <c r="B40" s="13">
        <v>4.2363999999999997</v>
      </c>
      <c r="C40" s="14">
        <f t="shared" si="0"/>
        <v>4236400</v>
      </c>
      <c r="D40" s="15">
        <f t="shared" si="3"/>
        <v>2.0623753875415698</v>
      </c>
      <c r="E40" s="16">
        <f t="shared" si="4"/>
        <v>24.453657232962378</v>
      </c>
      <c r="F40" s="17">
        <v>24.5413</v>
      </c>
      <c r="G40" s="18">
        <f t="shared" si="1"/>
        <v>3</v>
      </c>
      <c r="H40" s="18">
        <f t="shared" si="2"/>
        <v>-2</v>
      </c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12">
        <v>171.5</v>
      </c>
      <c r="B41" s="13">
        <v>4.4589999999999996</v>
      </c>
      <c r="C41" s="14">
        <f t="shared" si="0"/>
        <v>4459000</v>
      </c>
      <c r="D41" s="15">
        <f t="shared" si="3"/>
        <v>2.1736125234755619</v>
      </c>
      <c r="E41" s="16">
        <f t="shared" si="4"/>
        <v>26.62726975643794</v>
      </c>
      <c r="F41" s="17">
        <v>26.718699999999998</v>
      </c>
      <c r="G41" s="18">
        <f t="shared" si="1"/>
        <v>3.5</v>
      </c>
      <c r="H41" s="18">
        <f t="shared" si="2"/>
        <v>-1.5</v>
      </c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12">
        <v>172</v>
      </c>
      <c r="B42" s="13">
        <v>4.6923000000000004</v>
      </c>
      <c r="C42" s="14">
        <f t="shared" si="0"/>
        <v>4692300</v>
      </c>
      <c r="D42" s="15">
        <f t="shared" si="3"/>
        <v>2.2875771402398093</v>
      </c>
      <c r="E42" s="16">
        <f t="shared" si="4"/>
        <v>28.914846896677748</v>
      </c>
      <c r="F42" s="17">
        <v>29.0108</v>
      </c>
      <c r="G42" s="18">
        <f t="shared" si="1"/>
        <v>4</v>
      </c>
      <c r="H42" s="18">
        <f t="shared" si="2"/>
        <v>-1</v>
      </c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12">
        <v>172.5</v>
      </c>
      <c r="B43" s="13">
        <v>4.9307999999999996</v>
      </c>
      <c r="C43" s="14">
        <f t="shared" si="0"/>
        <v>4930800</v>
      </c>
      <c r="D43" s="15">
        <f t="shared" si="3"/>
        <v>2.4055286700418064</v>
      </c>
      <c r="E43" s="16">
        <f t="shared" si="4"/>
        <v>31.320375566719555</v>
      </c>
      <c r="F43" s="17">
        <v>31.4177</v>
      </c>
      <c r="G43" s="18">
        <f t="shared" si="1"/>
        <v>4.5</v>
      </c>
      <c r="H43" s="18">
        <f t="shared" si="2"/>
        <v>-0.5</v>
      </c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12">
        <v>173</v>
      </c>
      <c r="B44" s="13">
        <v>5.1577000000000002</v>
      </c>
      <c r="C44" s="14">
        <f t="shared" si="0"/>
        <v>5157700</v>
      </c>
      <c r="D44" s="15">
        <f t="shared" si="3"/>
        <v>2.5219123398659202</v>
      </c>
      <c r="E44" s="16">
        <f t="shared" si="4"/>
        <v>33.842287906585476</v>
      </c>
      <c r="F44" s="17">
        <v>33.947600000000001</v>
      </c>
      <c r="G44" s="18">
        <f t="shared" si="1"/>
        <v>5</v>
      </c>
      <c r="H44" s="18">
        <f t="shared" si="2"/>
        <v>0</v>
      </c>
      <c r="I44" s="2"/>
      <c r="J44" s="2"/>
      <c r="K44" s="2"/>
      <c r="L44" s="2"/>
      <c r="M44" s="2"/>
      <c r="N44" s="2"/>
      <c r="O44" s="2"/>
      <c r="P44" s="2"/>
    </row>
  </sheetData>
  <mergeCells count="1">
    <mergeCell ref="A2:H2"/>
  </mergeCells>
  <pageMargins left="0.75" right="0.75" top="1" bottom="1" header="0.5" footer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95"/>
  <sheetViews>
    <sheetView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5" width="14" customWidth="1"/>
    <col min="6" max="6" width="16" customWidth="1"/>
    <col min="7" max="8" width="14" customWidth="1"/>
    <col min="10" max="10" width="27" customWidth="1"/>
    <col min="11" max="11" width="12" customWidth="1"/>
  </cols>
  <sheetData>
    <row r="1" spans="1:16" ht="15.75" x14ac:dyDescent="0.25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9.950000000000003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</row>
    <row r="3" spans="1:16" ht="42" customHeigh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2"/>
      <c r="J3" s="2"/>
      <c r="K3" s="2"/>
      <c r="L3" s="2"/>
      <c r="M3" s="11" t="s">
        <v>43</v>
      </c>
      <c r="N3" s="2"/>
      <c r="O3" s="2"/>
      <c r="P3" s="2"/>
    </row>
    <row r="4" spans="1:16" x14ac:dyDescent="0.25">
      <c r="A4" s="12">
        <v>196.5</v>
      </c>
      <c r="B4" s="13">
        <v>2.3E-3</v>
      </c>
      <c r="C4" s="14">
        <f t="shared" ref="C4:C35" si="0">B4*1000000</f>
        <v>2300</v>
      </c>
      <c r="D4" s="15">
        <v>0</v>
      </c>
      <c r="E4" s="16">
        <v>0</v>
      </c>
      <c r="F4" s="17">
        <v>5.0000000000000001E-4</v>
      </c>
      <c r="G4" s="18">
        <f t="shared" ref="G4:G35" si="1">A4-$K$5</f>
        <v>-40.5</v>
      </c>
      <c r="H4" s="18">
        <f t="shared" ref="H4:H35" si="2">A4-$K$6</f>
        <v>-45.5</v>
      </c>
      <c r="I4" s="2"/>
      <c r="J4" s="4" t="s">
        <v>44</v>
      </c>
      <c r="K4" s="19" t="str">
        <f>"Sarami 03"</f>
        <v>Sarami 03</v>
      </c>
      <c r="L4" s="2"/>
      <c r="M4" s="11" t="s">
        <v>45</v>
      </c>
      <c r="N4" s="11" t="s">
        <v>46</v>
      </c>
      <c r="O4" s="11" t="s">
        <v>47</v>
      </c>
      <c r="P4" s="11" t="s">
        <v>48</v>
      </c>
    </row>
    <row r="5" spans="1:16" x14ac:dyDescent="0.25">
      <c r="A5" s="12">
        <v>197</v>
      </c>
      <c r="B5" s="13">
        <v>5.0000000000000001E-3</v>
      </c>
      <c r="C5" s="14">
        <f t="shared" si="0"/>
        <v>5000</v>
      </c>
      <c r="D5" s="15">
        <f t="shared" ref="D5:D36" si="3">(A5-A4)/3*(C4+C5+SQRT(C4*C5))/1000000</f>
        <v>1.7818608319271055E-3</v>
      </c>
      <c r="E5" s="16">
        <f t="shared" ref="E5:E36" si="4">E4+D5</f>
        <v>1.7818608319271055E-3</v>
      </c>
      <c r="F5" s="17">
        <v>2.5000000000000001E-3</v>
      </c>
      <c r="G5" s="18">
        <f t="shared" si="1"/>
        <v>-40</v>
      </c>
      <c r="H5" s="18">
        <f t="shared" si="2"/>
        <v>-45</v>
      </c>
      <c r="I5" s="2"/>
      <c r="J5" s="20" t="s">
        <v>3</v>
      </c>
      <c r="K5" s="21">
        <f>Dams!C9</f>
        <v>237</v>
      </c>
      <c r="L5" s="2"/>
      <c r="M5" s="2">
        <v>0</v>
      </c>
      <c r="N5" s="2">
        <f>K5</f>
        <v>237</v>
      </c>
      <c r="O5" s="2">
        <f>K6</f>
        <v>242</v>
      </c>
      <c r="P5" s="2">
        <v>0</v>
      </c>
    </row>
    <row r="6" spans="1:16" x14ac:dyDescent="0.25">
      <c r="A6" s="12">
        <v>197.5</v>
      </c>
      <c r="B6" s="13">
        <v>9.4999999999999998E-3</v>
      </c>
      <c r="C6" s="14">
        <f t="shared" si="0"/>
        <v>9500</v>
      </c>
      <c r="D6" s="15">
        <f t="shared" si="3"/>
        <v>3.5653373960075189E-3</v>
      </c>
      <c r="E6" s="16">
        <f t="shared" si="4"/>
        <v>5.3471982279346244E-3</v>
      </c>
      <c r="F6" s="17">
        <v>6.1000000000000004E-3</v>
      </c>
      <c r="G6" s="18">
        <f t="shared" si="1"/>
        <v>-39.5</v>
      </c>
      <c r="H6" s="18">
        <f t="shared" si="2"/>
        <v>-44.5</v>
      </c>
      <c r="I6" s="2"/>
      <c r="J6" s="20" t="s">
        <v>49</v>
      </c>
      <c r="K6" s="21">
        <f>Dams!B9</f>
        <v>242</v>
      </c>
      <c r="L6" s="2"/>
      <c r="M6" s="2">
        <f>K15*1.02</f>
        <v>64.214895643584867</v>
      </c>
      <c r="N6" s="2">
        <f>K5</f>
        <v>237</v>
      </c>
      <c r="O6" s="2">
        <f>K6</f>
        <v>242</v>
      </c>
      <c r="P6" s="2">
        <f>K16*1.02</f>
        <v>4.5169680000000003</v>
      </c>
    </row>
    <row r="7" spans="1:16" x14ac:dyDescent="0.25">
      <c r="A7" s="12">
        <v>198</v>
      </c>
      <c r="B7" s="13">
        <v>1.67E-2</v>
      </c>
      <c r="C7" s="14">
        <f t="shared" si="0"/>
        <v>16700</v>
      </c>
      <c r="D7" s="15">
        <f t="shared" si="3"/>
        <v>6.4659390273775026E-3</v>
      </c>
      <c r="E7" s="16">
        <f t="shared" si="4"/>
        <v>1.1813137255312127E-2</v>
      </c>
      <c r="F7" s="17">
        <v>1.3299999999999999E-2</v>
      </c>
      <c r="G7" s="18">
        <f t="shared" si="1"/>
        <v>-39</v>
      </c>
      <c r="H7" s="18">
        <f t="shared" si="2"/>
        <v>-44</v>
      </c>
      <c r="I7" s="2"/>
      <c r="J7" s="20" t="s">
        <v>9</v>
      </c>
      <c r="K7" s="21">
        <f>A4</f>
        <v>196.5</v>
      </c>
      <c r="L7" s="2"/>
      <c r="M7" s="11" t="str">
        <f>"FSL "&amp;TEXT(K5,"0.0")&amp;" m"</f>
        <v>FSL 237.0 m</v>
      </c>
      <c r="N7" s="2"/>
      <c r="O7" s="2"/>
      <c r="P7" s="2"/>
    </row>
    <row r="8" spans="1:16" x14ac:dyDescent="0.25">
      <c r="A8" s="12">
        <v>198.5</v>
      </c>
      <c r="B8" s="13">
        <v>2.06E-2</v>
      </c>
      <c r="C8" s="14">
        <f t="shared" si="0"/>
        <v>20600</v>
      </c>
      <c r="D8" s="15">
        <f t="shared" si="3"/>
        <v>9.3079626911701605E-3</v>
      </c>
      <c r="E8" s="16">
        <f t="shared" si="4"/>
        <v>2.1121099946482286E-2</v>
      </c>
      <c r="F8" s="17">
        <v>2.2499999999999999E-2</v>
      </c>
      <c r="G8" s="18">
        <f t="shared" si="1"/>
        <v>-38.5</v>
      </c>
      <c r="H8" s="18">
        <f t="shared" si="2"/>
        <v>-43.5</v>
      </c>
      <c r="I8" s="2"/>
      <c r="J8" s="20" t="s">
        <v>10</v>
      </c>
      <c r="K8" s="21">
        <f>K6-K7</f>
        <v>45.5</v>
      </c>
      <c r="L8" s="2"/>
      <c r="M8" s="11" t="str">
        <f>"Crest "&amp;TEXT(K6,"0.0")&amp;" m"</f>
        <v>Crest 242.0 m</v>
      </c>
      <c r="N8" s="2"/>
      <c r="O8" s="2"/>
      <c r="P8" s="2"/>
    </row>
    <row r="9" spans="1:16" x14ac:dyDescent="0.25">
      <c r="A9" s="12">
        <v>199</v>
      </c>
      <c r="B9" s="13">
        <v>2.4799999999999999E-2</v>
      </c>
      <c r="C9" s="14">
        <f t="shared" si="0"/>
        <v>24800</v>
      </c>
      <c r="D9" s="15">
        <f t="shared" si="3"/>
        <v>1.133377578522311E-2</v>
      </c>
      <c r="E9" s="16">
        <f t="shared" si="4"/>
        <v>3.2454875731705399E-2</v>
      </c>
      <c r="F9" s="17">
        <v>3.4000000000000002E-2</v>
      </c>
      <c r="G9" s="18">
        <f t="shared" si="1"/>
        <v>-38</v>
      </c>
      <c r="H9" s="18">
        <f t="shared" si="2"/>
        <v>-43</v>
      </c>
      <c r="I9" s="2"/>
      <c r="J9" s="20" t="s">
        <v>11</v>
      </c>
      <c r="K9" s="19">
        <f>INDEX(B4:B95,MATCH(K5,A4:A95,0))</f>
        <v>3.6392000000000002</v>
      </c>
      <c r="L9" s="2"/>
      <c r="M9" s="11" t="str">
        <f>"Elevation-volume curve"</f>
        <v>Elevation-volume curve</v>
      </c>
      <c r="N9" s="2"/>
      <c r="O9" s="2"/>
      <c r="P9" s="2"/>
    </row>
    <row r="10" spans="1:16" x14ac:dyDescent="0.25">
      <c r="A10" s="12">
        <v>199.5</v>
      </c>
      <c r="B10" s="13">
        <v>3.2300000000000002E-2</v>
      </c>
      <c r="C10" s="14">
        <f t="shared" si="0"/>
        <v>32300.000000000004</v>
      </c>
      <c r="D10" s="15">
        <f t="shared" si="3"/>
        <v>1.4233775008766847E-2</v>
      </c>
      <c r="E10" s="16">
        <f t="shared" si="4"/>
        <v>4.6688650740472244E-2</v>
      </c>
      <c r="F10" s="17">
        <v>4.8399999999999999E-2</v>
      </c>
      <c r="G10" s="18">
        <f t="shared" si="1"/>
        <v>-37.5</v>
      </c>
      <c r="H10" s="18">
        <f t="shared" si="2"/>
        <v>-42.5</v>
      </c>
      <c r="I10" s="2"/>
      <c r="J10" s="20" t="s">
        <v>12</v>
      </c>
      <c r="K10" s="19">
        <f>INDEX(E4:E95,MATCH(K5,A4:A95,0))</f>
        <v>42.701356317329441</v>
      </c>
      <c r="L10" s="2"/>
      <c r="M10" s="11" t="str">
        <f>"Elevation-area curve"</f>
        <v>Elevation-area curve</v>
      </c>
      <c r="N10" s="2"/>
      <c r="O10" s="2"/>
      <c r="P10" s="2"/>
    </row>
    <row r="11" spans="1:16" x14ac:dyDescent="0.25">
      <c r="A11" s="12">
        <v>200</v>
      </c>
      <c r="B11" s="13">
        <v>4.1000000000000002E-2</v>
      </c>
      <c r="C11" s="14">
        <f t="shared" si="0"/>
        <v>41000</v>
      </c>
      <c r="D11" s="15">
        <f t="shared" si="3"/>
        <v>1.8281822156108886E-2</v>
      </c>
      <c r="E11" s="16">
        <f t="shared" si="4"/>
        <v>6.497047289658113E-2</v>
      </c>
      <c r="F11" s="17">
        <v>6.7000000000000004E-2</v>
      </c>
      <c r="G11" s="18">
        <f t="shared" si="1"/>
        <v>-37</v>
      </c>
      <c r="H11" s="18">
        <f t="shared" si="2"/>
        <v>-42</v>
      </c>
      <c r="I11" s="2"/>
      <c r="J11" s="20" t="s">
        <v>50</v>
      </c>
      <c r="K11" s="19">
        <f>Dams!D9</f>
        <v>45</v>
      </c>
      <c r="L11" s="2"/>
      <c r="M11" s="2"/>
      <c r="N11" s="2"/>
      <c r="O11" s="2"/>
      <c r="P11" s="2"/>
    </row>
    <row r="12" spans="1:16" x14ac:dyDescent="0.25">
      <c r="A12" s="12">
        <v>200.5</v>
      </c>
      <c r="B12" s="13">
        <v>4.4900000000000002E-2</v>
      </c>
      <c r="C12" s="14">
        <f t="shared" si="0"/>
        <v>44900</v>
      </c>
      <c r="D12" s="15">
        <f t="shared" si="3"/>
        <v>2.1467618429272195E-2</v>
      </c>
      <c r="E12" s="16">
        <f t="shared" si="4"/>
        <v>8.6438091325853325E-2</v>
      </c>
      <c r="F12" s="17">
        <v>8.8599999999999998E-2</v>
      </c>
      <c r="G12" s="18">
        <f t="shared" si="1"/>
        <v>-36.5</v>
      </c>
      <c r="H12" s="18">
        <f t="shared" si="2"/>
        <v>-41.5</v>
      </c>
      <c r="I12" s="2"/>
      <c r="J12" s="20" t="s">
        <v>51</v>
      </c>
      <c r="K12" s="22">
        <f>K10/K11-1</f>
        <v>-5.1080970726012365E-2</v>
      </c>
      <c r="L12" s="2"/>
      <c r="M12" s="2"/>
      <c r="N12" s="2"/>
      <c r="O12" s="2"/>
      <c r="P12" s="2"/>
    </row>
    <row r="13" spans="1:16" x14ac:dyDescent="0.25">
      <c r="A13" s="12">
        <v>201</v>
      </c>
      <c r="B13" s="13">
        <v>4.8300000000000003E-2</v>
      </c>
      <c r="C13" s="14">
        <f t="shared" si="0"/>
        <v>48300</v>
      </c>
      <c r="D13" s="15">
        <f t="shared" si="3"/>
        <v>2.3294830182094745E-2</v>
      </c>
      <c r="E13" s="16">
        <f t="shared" si="4"/>
        <v>0.10973292150794807</v>
      </c>
      <c r="F13" s="17">
        <v>0.1118</v>
      </c>
      <c r="G13" s="18">
        <f t="shared" si="1"/>
        <v>-36</v>
      </c>
      <c r="H13" s="18">
        <f t="shared" si="2"/>
        <v>-41</v>
      </c>
      <c r="I13" s="2"/>
      <c r="J13" s="20" t="s">
        <v>14</v>
      </c>
      <c r="K13" s="19">
        <f>INDEX(B4:B95,MATCH(K6,A4:A95,0))</f>
        <v>4.4283999999999999</v>
      </c>
      <c r="L13" s="2"/>
      <c r="M13" s="2"/>
      <c r="N13" s="2"/>
      <c r="O13" s="2"/>
      <c r="P13" s="2"/>
    </row>
    <row r="14" spans="1:16" x14ac:dyDescent="0.25">
      <c r="A14" s="12">
        <v>201.5</v>
      </c>
      <c r="B14" s="13">
        <v>5.5800000000000002E-2</v>
      </c>
      <c r="C14" s="14">
        <f t="shared" si="0"/>
        <v>55800</v>
      </c>
      <c r="D14" s="15">
        <f t="shared" si="3"/>
        <v>2.6002456298647222E-2</v>
      </c>
      <c r="E14" s="16">
        <f t="shared" si="4"/>
        <v>0.13573537780659528</v>
      </c>
      <c r="F14" s="17">
        <v>0.13800000000000001</v>
      </c>
      <c r="G14" s="18">
        <f t="shared" si="1"/>
        <v>-35.5</v>
      </c>
      <c r="H14" s="18">
        <f t="shared" si="2"/>
        <v>-40.5</v>
      </c>
      <c r="I14" s="2"/>
      <c r="J14" s="20" t="s">
        <v>15</v>
      </c>
      <c r="K14" s="19">
        <f>INDEX(E4:E95,MATCH(K6,A4:A95,0))</f>
        <v>62.955780042730268</v>
      </c>
      <c r="L14" s="2"/>
      <c r="M14" s="2"/>
      <c r="N14" s="2"/>
      <c r="O14" s="2"/>
      <c r="P14" s="2"/>
    </row>
    <row r="15" spans="1:16" x14ac:dyDescent="0.25">
      <c r="A15" s="12">
        <v>202</v>
      </c>
      <c r="B15" s="13">
        <v>5.9900000000000002E-2</v>
      </c>
      <c r="C15" s="14">
        <f t="shared" si="0"/>
        <v>59900</v>
      </c>
      <c r="D15" s="15">
        <f t="shared" si="3"/>
        <v>2.8918944367408959E-2</v>
      </c>
      <c r="E15" s="16">
        <f t="shared" si="4"/>
        <v>0.16465432217400425</v>
      </c>
      <c r="F15" s="17">
        <v>0.1671</v>
      </c>
      <c r="G15" s="18">
        <f t="shared" si="1"/>
        <v>-35</v>
      </c>
      <c r="H15" s="18">
        <f t="shared" si="2"/>
        <v>-40</v>
      </c>
      <c r="I15" s="2"/>
      <c r="J15" s="20" t="s">
        <v>52</v>
      </c>
      <c r="K15" s="19">
        <f>MAX(E4:E95)</f>
        <v>62.955780042730268</v>
      </c>
      <c r="L15" s="2"/>
      <c r="M15" s="2"/>
      <c r="N15" s="2"/>
      <c r="O15" s="2"/>
      <c r="P15" s="2"/>
    </row>
    <row r="16" spans="1:16" x14ac:dyDescent="0.25">
      <c r="A16" s="12">
        <v>202.5</v>
      </c>
      <c r="B16" s="13">
        <v>6.6400000000000001E-2</v>
      </c>
      <c r="C16" s="14">
        <f t="shared" si="0"/>
        <v>66400</v>
      </c>
      <c r="D16" s="15">
        <f t="shared" si="3"/>
        <v>3.1561052384144139E-2</v>
      </c>
      <c r="E16" s="16">
        <f t="shared" si="4"/>
        <v>0.19621537455814839</v>
      </c>
      <c r="F16" s="17">
        <v>0.19889999999999999</v>
      </c>
      <c r="G16" s="18">
        <f t="shared" si="1"/>
        <v>-34.5</v>
      </c>
      <c r="H16" s="18">
        <f t="shared" si="2"/>
        <v>-39.5</v>
      </c>
      <c r="I16" s="2"/>
      <c r="J16" s="20" t="s">
        <v>53</v>
      </c>
      <c r="K16" s="19">
        <f>MAX(B4:B95)</f>
        <v>4.4283999999999999</v>
      </c>
      <c r="L16" s="2"/>
      <c r="M16" s="2"/>
      <c r="N16" s="2"/>
      <c r="O16" s="2"/>
      <c r="P16" s="2"/>
    </row>
    <row r="17" spans="1:16" x14ac:dyDescent="0.25">
      <c r="A17" s="12">
        <v>203</v>
      </c>
      <c r="B17" s="13">
        <v>7.1099999999999997E-2</v>
      </c>
      <c r="C17" s="14">
        <f t="shared" si="0"/>
        <v>71100</v>
      </c>
      <c r="D17" s="15">
        <f t="shared" si="3"/>
        <v>3.436830410416878E-2</v>
      </c>
      <c r="E17" s="16">
        <f t="shared" si="4"/>
        <v>0.23058367866231716</v>
      </c>
      <c r="F17" s="17">
        <v>0.2334</v>
      </c>
      <c r="G17" s="18">
        <f t="shared" si="1"/>
        <v>-34</v>
      </c>
      <c r="H17" s="18">
        <f t="shared" si="2"/>
        <v>-39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2">
        <v>203.5</v>
      </c>
      <c r="B18" s="13">
        <v>7.6300000000000007E-2</v>
      </c>
      <c r="C18" s="14">
        <f t="shared" si="0"/>
        <v>76300</v>
      </c>
      <c r="D18" s="15">
        <f t="shared" si="3"/>
        <v>3.6842354020130828E-2</v>
      </c>
      <c r="E18" s="16">
        <f t="shared" si="4"/>
        <v>0.26742603268244797</v>
      </c>
      <c r="F18" s="17">
        <v>0.27039999999999997</v>
      </c>
      <c r="G18" s="18">
        <f t="shared" si="1"/>
        <v>-33.5</v>
      </c>
      <c r="H18" s="18">
        <f t="shared" si="2"/>
        <v>-38.5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2">
        <v>204</v>
      </c>
      <c r="B19" s="13">
        <v>8.3099999999999993E-2</v>
      </c>
      <c r="C19" s="14">
        <f t="shared" si="0"/>
        <v>83100</v>
      </c>
      <c r="D19" s="15">
        <f t="shared" si="3"/>
        <v>3.9837907502900984E-2</v>
      </c>
      <c r="E19" s="16">
        <f t="shared" si="4"/>
        <v>0.30726394018534897</v>
      </c>
      <c r="F19" s="17">
        <v>0.31030000000000002</v>
      </c>
      <c r="G19" s="18">
        <f t="shared" si="1"/>
        <v>-33</v>
      </c>
      <c r="H19" s="18">
        <f t="shared" si="2"/>
        <v>-38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2">
        <v>204.5</v>
      </c>
      <c r="B20" s="13">
        <v>9.0300000000000005E-2</v>
      </c>
      <c r="C20" s="14">
        <f t="shared" si="0"/>
        <v>90300</v>
      </c>
      <c r="D20" s="15">
        <f t="shared" si="3"/>
        <v>4.3337537878738196E-2</v>
      </c>
      <c r="E20" s="16">
        <f t="shared" si="4"/>
        <v>0.35060147806408715</v>
      </c>
      <c r="F20" s="17">
        <v>0.35389999999999999</v>
      </c>
      <c r="G20" s="18">
        <f t="shared" si="1"/>
        <v>-32.5</v>
      </c>
      <c r="H20" s="18">
        <f t="shared" si="2"/>
        <v>-37.5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2">
        <v>205</v>
      </c>
      <c r="B21" s="13">
        <v>9.8000000000000004E-2</v>
      </c>
      <c r="C21" s="14">
        <f t="shared" si="0"/>
        <v>98000</v>
      </c>
      <c r="D21" s="15">
        <f t="shared" si="3"/>
        <v>4.7061874932176846E-2</v>
      </c>
      <c r="E21" s="16">
        <f t="shared" si="4"/>
        <v>0.39766335299626399</v>
      </c>
      <c r="F21" s="17">
        <v>0.40110000000000001</v>
      </c>
      <c r="G21" s="18">
        <f t="shared" si="1"/>
        <v>-32</v>
      </c>
      <c r="H21" s="18">
        <f t="shared" si="2"/>
        <v>-37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2">
        <v>205.5</v>
      </c>
      <c r="B22" s="13">
        <v>0.10349999999999999</v>
      </c>
      <c r="C22" s="14">
        <f t="shared" si="0"/>
        <v>103500</v>
      </c>
      <c r="D22" s="15">
        <f t="shared" si="3"/>
        <v>5.0368743664927849E-2</v>
      </c>
      <c r="E22" s="16">
        <f t="shared" si="4"/>
        <v>0.44803209666119181</v>
      </c>
      <c r="F22" s="17">
        <v>0.45150000000000001</v>
      </c>
      <c r="G22" s="18">
        <f t="shared" si="1"/>
        <v>-31.5</v>
      </c>
      <c r="H22" s="18">
        <f t="shared" si="2"/>
        <v>-36.5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2">
        <v>206</v>
      </c>
      <c r="B23" s="13">
        <v>0.1115</v>
      </c>
      <c r="C23" s="14">
        <f t="shared" si="0"/>
        <v>111500</v>
      </c>
      <c r="D23" s="15">
        <f t="shared" si="3"/>
        <v>5.3737592603127209E-2</v>
      </c>
      <c r="E23" s="16">
        <f t="shared" si="4"/>
        <v>0.50176968926431897</v>
      </c>
      <c r="F23" s="17">
        <v>0.50560000000000005</v>
      </c>
      <c r="G23" s="18">
        <f t="shared" si="1"/>
        <v>-31</v>
      </c>
      <c r="H23" s="18">
        <f t="shared" si="2"/>
        <v>-36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2">
        <v>206.5</v>
      </c>
      <c r="B24" s="13">
        <v>0.1195</v>
      </c>
      <c r="C24" s="14">
        <f t="shared" si="0"/>
        <v>119500</v>
      </c>
      <c r="D24" s="15">
        <f t="shared" si="3"/>
        <v>5.7738452524970812E-2</v>
      </c>
      <c r="E24" s="16">
        <f t="shared" si="4"/>
        <v>0.55950814178928976</v>
      </c>
      <c r="F24" s="17">
        <v>0.5635</v>
      </c>
      <c r="G24" s="18">
        <f t="shared" si="1"/>
        <v>-30.5</v>
      </c>
      <c r="H24" s="18">
        <f t="shared" si="2"/>
        <v>-35.5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2">
        <v>207</v>
      </c>
      <c r="B25" s="13">
        <v>0.12809999999999999</v>
      </c>
      <c r="C25" s="14">
        <f t="shared" si="0"/>
        <v>128099.99999999999</v>
      </c>
      <c r="D25" s="15">
        <f t="shared" si="3"/>
        <v>6.1887550094234293E-2</v>
      </c>
      <c r="E25" s="16">
        <f t="shared" si="4"/>
        <v>0.62139569188352406</v>
      </c>
      <c r="F25" s="17">
        <v>0.62580000000000002</v>
      </c>
      <c r="G25" s="18">
        <f t="shared" si="1"/>
        <v>-30</v>
      </c>
      <c r="H25" s="18">
        <f t="shared" si="2"/>
        <v>-35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2">
        <v>207.5</v>
      </c>
      <c r="B26" s="13">
        <v>0.13830000000000001</v>
      </c>
      <c r="C26" s="14">
        <f t="shared" si="0"/>
        <v>138300</v>
      </c>
      <c r="D26" s="15">
        <f t="shared" si="3"/>
        <v>6.6583721509250876E-2</v>
      </c>
      <c r="E26" s="16">
        <f t="shared" si="4"/>
        <v>0.68797941339277491</v>
      </c>
      <c r="F26" s="17">
        <v>0.6925</v>
      </c>
      <c r="G26" s="18">
        <f t="shared" si="1"/>
        <v>-29.5</v>
      </c>
      <c r="H26" s="18">
        <f t="shared" si="2"/>
        <v>-34.5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12">
        <v>208</v>
      </c>
      <c r="B27" s="13">
        <v>0.14949999999999999</v>
      </c>
      <c r="C27" s="14">
        <f t="shared" si="0"/>
        <v>149500</v>
      </c>
      <c r="D27" s="15">
        <f t="shared" si="3"/>
        <v>7.1931832359118417E-2</v>
      </c>
      <c r="E27" s="16">
        <f t="shared" si="4"/>
        <v>0.75991124575189328</v>
      </c>
      <c r="F27" s="17">
        <v>0.7651</v>
      </c>
      <c r="G27" s="18">
        <f t="shared" si="1"/>
        <v>-29</v>
      </c>
      <c r="H27" s="18">
        <f t="shared" si="2"/>
        <v>-34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12">
        <v>208.5</v>
      </c>
      <c r="B28" s="13">
        <v>0.16120000000000001</v>
      </c>
      <c r="C28" s="14">
        <f t="shared" si="0"/>
        <v>161200</v>
      </c>
      <c r="D28" s="15">
        <f t="shared" si="3"/>
        <v>7.7656635746782179E-2</v>
      </c>
      <c r="E28" s="16">
        <f t="shared" si="4"/>
        <v>0.83756788149867545</v>
      </c>
      <c r="F28" s="17">
        <v>0.84299999999999997</v>
      </c>
      <c r="G28" s="18">
        <f t="shared" si="1"/>
        <v>-28.5</v>
      </c>
      <c r="H28" s="18">
        <f t="shared" si="2"/>
        <v>-33.5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2">
        <v>209</v>
      </c>
      <c r="B29" s="13">
        <v>0.17269999999999999</v>
      </c>
      <c r="C29" s="14">
        <f t="shared" si="0"/>
        <v>172700</v>
      </c>
      <c r="D29" s="15">
        <f t="shared" si="3"/>
        <v>8.3458491908448076E-2</v>
      </c>
      <c r="E29" s="16">
        <f t="shared" si="4"/>
        <v>0.92102637340712357</v>
      </c>
      <c r="F29" s="17">
        <v>0.9264</v>
      </c>
      <c r="G29" s="18">
        <f t="shared" si="1"/>
        <v>-28</v>
      </c>
      <c r="H29" s="18">
        <f t="shared" si="2"/>
        <v>-33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12">
        <v>209.5</v>
      </c>
      <c r="B30" s="13">
        <v>0.1862</v>
      </c>
      <c r="C30" s="14">
        <f t="shared" si="0"/>
        <v>186200</v>
      </c>
      <c r="D30" s="15">
        <f t="shared" si="3"/>
        <v>8.9703834109865044E-2</v>
      </c>
      <c r="E30" s="16">
        <f t="shared" si="4"/>
        <v>1.0107302075169886</v>
      </c>
      <c r="F30" s="17">
        <v>1.0165999999999999</v>
      </c>
      <c r="G30" s="18">
        <f t="shared" si="1"/>
        <v>-27.5</v>
      </c>
      <c r="H30" s="18">
        <f t="shared" si="2"/>
        <v>-32.5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2">
        <v>210</v>
      </c>
      <c r="B31" s="13">
        <v>0.2009</v>
      </c>
      <c r="C31" s="14">
        <f t="shared" si="0"/>
        <v>200900</v>
      </c>
      <c r="D31" s="15">
        <f t="shared" si="3"/>
        <v>9.6751732114784564E-2</v>
      </c>
      <c r="E31" s="16">
        <f t="shared" si="4"/>
        <v>1.1074819396317732</v>
      </c>
      <c r="F31" s="17">
        <v>1.1138999999999999</v>
      </c>
      <c r="G31" s="18">
        <f t="shared" si="1"/>
        <v>-27</v>
      </c>
      <c r="H31" s="18">
        <f t="shared" si="2"/>
        <v>-32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12">
        <v>210.5</v>
      </c>
      <c r="B32" s="13">
        <v>0.21540000000000001</v>
      </c>
      <c r="C32" s="14">
        <f t="shared" si="0"/>
        <v>215400</v>
      </c>
      <c r="D32" s="15">
        <f t="shared" si="3"/>
        <v>0.10405395009546589</v>
      </c>
      <c r="E32" s="16">
        <f t="shared" si="4"/>
        <v>1.211535889727239</v>
      </c>
      <c r="F32" s="17">
        <v>1.2181</v>
      </c>
      <c r="G32" s="18">
        <f t="shared" si="1"/>
        <v>-26.5</v>
      </c>
      <c r="H32" s="18">
        <f t="shared" si="2"/>
        <v>-31.5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12">
        <v>211</v>
      </c>
      <c r="B33" s="13">
        <v>0.22939999999999999</v>
      </c>
      <c r="C33" s="14">
        <f t="shared" si="0"/>
        <v>229400</v>
      </c>
      <c r="D33" s="15">
        <f t="shared" si="3"/>
        <v>0.11118163513876925</v>
      </c>
      <c r="E33" s="16">
        <f t="shared" si="4"/>
        <v>1.3227175248660084</v>
      </c>
      <c r="F33" s="17">
        <v>1.3299000000000001</v>
      </c>
      <c r="G33" s="18">
        <f t="shared" si="1"/>
        <v>-26</v>
      </c>
      <c r="H33" s="18">
        <f t="shared" si="2"/>
        <v>-31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2">
        <v>211.5</v>
      </c>
      <c r="B34" s="13">
        <v>0.248</v>
      </c>
      <c r="C34" s="14">
        <f t="shared" si="0"/>
        <v>248000</v>
      </c>
      <c r="D34" s="15">
        <f t="shared" si="3"/>
        <v>0.1193197937274541</v>
      </c>
      <c r="E34" s="16">
        <f t="shared" si="4"/>
        <v>1.4420373185934625</v>
      </c>
      <c r="F34" s="17">
        <v>1.4496</v>
      </c>
      <c r="G34" s="18">
        <f t="shared" si="1"/>
        <v>-25.5</v>
      </c>
      <c r="H34" s="18">
        <f t="shared" si="2"/>
        <v>-30.5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2">
        <v>212</v>
      </c>
      <c r="B35" s="13">
        <v>0.26889999999999997</v>
      </c>
      <c r="C35" s="14">
        <f t="shared" si="0"/>
        <v>268900</v>
      </c>
      <c r="D35" s="15">
        <f t="shared" si="3"/>
        <v>0.12918977488582187</v>
      </c>
      <c r="E35" s="16">
        <f t="shared" si="4"/>
        <v>1.5712270934792845</v>
      </c>
      <c r="F35" s="17">
        <v>1.5810999999999999</v>
      </c>
      <c r="G35" s="18">
        <f t="shared" si="1"/>
        <v>-25</v>
      </c>
      <c r="H35" s="18">
        <f t="shared" si="2"/>
        <v>-30</v>
      </c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2">
        <v>212.5</v>
      </c>
      <c r="B36" s="13">
        <v>0.29099999999999998</v>
      </c>
      <c r="C36" s="14">
        <f t="shared" ref="C36:C67" si="5">B36*1000000</f>
        <v>291000</v>
      </c>
      <c r="D36" s="15">
        <f t="shared" si="3"/>
        <v>0.13993863931190478</v>
      </c>
      <c r="E36" s="16">
        <f t="shared" si="4"/>
        <v>1.7111657327911893</v>
      </c>
      <c r="F36" s="17">
        <v>1.7219</v>
      </c>
      <c r="G36" s="18">
        <f t="shared" ref="G36:G67" si="6">A36-$K$5</f>
        <v>-24.5</v>
      </c>
      <c r="H36" s="18">
        <f t="shared" ref="H36:H67" si="7">A36-$K$6</f>
        <v>-29.5</v>
      </c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12">
        <v>213</v>
      </c>
      <c r="B37" s="13">
        <v>0.31490000000000001</v>
      </c>
      <c r="C37" s="14">
        <f t="shared" si="5"/>
        <v>314900</v>
      </c>
      <c r="D37" s="15">
        <f t="shared" ref="D37:D68" si="8">(A37-A36)/3*(C36+C37+SQRT(C36*C37))/1000000</f>
        <v>0.15143570361131595</v>
      </c>
      <c r="E37" s="16">
        <f t="shared" ref="E37:E68" si="9">E36+D37</f>
        <v>1.8626014364025052</v>
      </c>
      <c r="F37" s="17">
        <v>1.8737999999999999</v>
      </c>
      <c r="G37" s="18">
        <f t="shared" si="6"/>
        <v>-24</v>
      </c>
      <c r="H37" s="18">
        <f t="shared" si="7"/>
        <v>-29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12">
        <v>213.5</v>
      </c>
      <c r="B38" s="13">
        <v>0.34060000000000001</v>
      </c>
      <c r="C38" s="14">
        <f t="shared" si="5"/>
        <v>340600</v>
      </c>
      <c r="D38" s="15">
        <f t="shared" si="8"/>
        <v>0.16383299999898218</v>
      </c>
      <c r="E38" s="16">
        <f t="shared" si="9"/>
        <v>2.0264344364014875</v>
      </c>
      <c r="F38" s="17">
        <v>2.0387</v>
      </c>
      <c r="G38" s="18">
        <f t="shared" si="6"/>
        <v>-23.5</v>
      </c>
      <c r="H38" s="18">
        <f t="shared" si="7"/>
        <v>-28.5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2">
        <v>214</v>
      </c>
      <c r="B39" s="13">
        <v>0.36930000000000002</v>
      </c>
      <c r="C39" s="14">
        <f t="shared" si="5"/>
        <v>369300</v>
      </c>
      <c r="D39" s="15">
        <f t="shared" si="8"/>
        <v>0.17742663480515691</v>
      </c>
      <c r="E39" s="16">
        <f t="shared" si="9"/>
        <v>2.2038610712066444</v>
      </c>
      <c r="F39" s="17">
        <v>2.2170999999999998</v>
      </c>
      <c r="G39" s="18">
        <f t="shared" si="6"/>
        <v>-23</v>
      </c>
      <c r="H39" s="18">
        <f t="shared" si="7"/>
        <v>-28</v>
      </c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12">
        <v>214.5</v>
      </c>
      <c r="B40" s="13">
        <v>0.40739999999999998</v>
      </c>
      <c r="C40" s="14">
        <f t="shared" si="5"/>
        <v>407400</v>
      </c>
      <c r="D40" s="15">
        <f t="shared" si="8"/>
        <v>0.1940970803671751</v>
      </c>
      <c r="E40" s="16">
        <f t="shared" si="9"/>
        <v>2.3979581515738193</v>
      </c>
      <c r="F40" s="17">
        <v>2.4119000000000002</v>
      </c>
      <c r="G40" s="18">
        <f t="shared" si="6"/>
        <v>-22.5</v>
      </c>
      <c r="H40" s="18">
        <f t="shared" si="7"/>
        <v>-27.5</v>
      </c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12">
        <v>215</v>
      </c>
      <c r="B41" s="13">
        <v>0.44330000000000003</v>
      </c>
      <c r="C41" s="14">
        <f t="shared" si="5"/>
        <v>443300</v>
      </c>
      <c r="D41" s="15">
        <f t="shared" si="8"/>
        <v>0.21261184689484564</v>
      </c>
      <c r="E41" s="16">
        <f t="shared" si="9"/>
        <v>2.610569998468665</v>
      </c>
      <c r="F41" s="17">
        <v>2.6254</v>
      </c>
      <c r="G41" s="18">
        <f t="shared" si="6"/>
        <v>-22</v>
      </c>
      <c r="H41" s="18">
        <f t="shared" si="7"/>
        <v>-27</v>
      </c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12">
        <v>215.5</v>
      </c>
      <c r="B42" s="13">
        <v>0.4854</v>
      </c>
      <c r="C42" s="14">
        <f t="shared" si="5"/>
        <v>485400</v>
      </c>
      <c r="D42" s="15">
        <f t="shared" si="8"/>
        <v>0.23209543889686504</v>
      </c>
      <c r="E42" s="16">
        <f t="shared" si="9"/>
        <v>2.8426654373655302</v>
      </c>
      <c r="F42" s="17">
        <v>2.8586999999999998</v>
      </c>
      <c r="G42" s="18">
        <f t="shared" si="6"/>
        <v>-21.5</v>
      </c>
      <c r="H42" s="18">
        <f t="shared" si="7"/>
        <v>-26.5</v>
      </c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12">
        <v>216</v>
      </c>
      <c r="B43" s="13">
        <v>0.52539999999999998</v>
      </c>
      <c r="C43" s="14">
        <f t="shared" si="5"/>
        <v>525400</v>
      </c>
      <c r="D43" s="15">
        <f t="shared" si="8"/>
        <v>0.25263401979918082</v>
      </c>
      <c r="E43" s="16">
        <f t="shared" si="9"/>
        <v>3.0952994571647112</v>
      </c>
      <c r="F43" s="17">
        <v>3.1118999999999999</v>
      </c>
      <c r="G43" s="18">
        <f t="shared" si="6"/>
        <v>-21</v>
      </c>
      <c r="H43" s="18">
        <f t="shared" si="7"/>
        <v>-26</v>
      </c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12">
        <v>216.5</v>
      </c>
      <c r="B44" s="13">
        <v>0.56459999999999999</v>
      </c>
      <c r="C44" s="14">
        <f t="shared" si="5"/>
        <v>564600</v>
      </c>
      <c r="D44" s="15">
        <f t="shared" si="8"/>
        <v>0.27244124093354677</v>
      </c>
      <c r="E44" s="16">
        <f t="shared" si="9"/>
        <v>3.3677406980982578</v>
      </c>
      <c r="F44" s="17">
        <v>3.3849999999999998</v>
      </c>
      <c r="G44" s="18">
        <f t="shared" si="6"/>
        <v>-20.5</v>
      </c>
      <c r="H44" s="18">
        <f t="shared" si="7"/>
        <v>-25.5</v>
      </c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12">
        <v>217</v>
      </c>
      <c r="B45" s="13">
        <v>0.60819999999999996</v>
      </c>
      <c r="C45" s="14">
        <f t="shared" si="5"/>
        <v>608200</v>
      </c>
      <c r="D45" s="15">
        <f t="shared" si="8"/>
        <v>0.29313244026895446</v>
      </c>
      <c r="E45" s="16">
        <f t="shared" si="9"/>
        <v>3.6608731383672124</v>
      </c>
      <c r="F45" s="17">
        <v>3.6793999999999998</v>
      </c>
      <c r="G45" s="18">
        <f t="shared" si="6"/>
        <v>-20</v>
      </c>
      <c r="H45" s="18">
        <f t="shared" si="7"/>
        <v>-25</v>
      </c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12">
        <v>217.5</v>
      </c>
      <c r="B46" s="13">
        <v>0.6532</v>
      </c>
      <c r="C46" s="14">
        <f t="shared" si="5"/>
        <v>653200</v>
      </c>
      <c r="D46" s="15">
        <f t="shared" si="8"/>
        <v>0.31528308874052646</v>
      </c>
      <c r="E46" s="16">
        <f t="shared" si="9"/>
        <v>3.9761562271077389</v>
      </c>
      <c r="F46" s="17">
        <v>3.9956999999999998</v>
      </c>
      <c r="G46" s="18">
        <f t="shared" si="6"/>
        <v>-19.5</v>
      </c>
      <c r="H46" s="18">
        <f t="shared" si="7"/>
        <v>-24.5</v>
      </c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12">
        <v>218</v>
      </c>
      <c r="B47" s="13">
        <v>0.69889999999999997</v>
      </c>
      <c r="C47" s="14">
        <f t="shared" si="5"/>
        <v>698900</v>
      </c>
      <c r="D47" s="15">
        <f t="shared" si="8"/>
        <v>0.33796062215538208</v>
      </c>
      <c r="E47" s="16">
        <f t="shared" si="9"/>
        <v>4.3141168492631206</v>
      </c>
      <c r="F47" s="17">
        <v>4.3348000000000004</v>
      </c>
      <c r="G47" s="18">
        <f t="shared" si="6"/>
        <v>-19</v>
      </c>
      <c r="H47" s="18">
        <f t="shared" si="7"/>
        <v>-24</v>
      </c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12">
        <v>218.5</v>
      </c>
      <c r="B48" s="13">
        <v>0.75060000000000004</v>
      </c>
      <c r="C48" s="14">
        <f t="shared" si="5"/>
        <v>750600</v>
      </c>
      <c r="D48" s="15">
        <f t="shared" si="8"/>
        <v>0.3622981418698174</v>
      </c>
      <c r="E48" s="16">
        <f t="shared" si="9"/>
        <v>4.6764149911329378</v>
      </c>
      <c r="F48" s="17">
        <v>4.6977000000000002</v>
      </c>
      <c r="G48" s="18">
        <f t="shared" si="6"/>
        <v>-18.5</v>
      </c>
      <c r="H48" s="18">
        <f t="shared" si="7"/>
        <v>-23.5</v>
      </c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12">
        <v>219</v>
      </c>
      <c r="B49" s="13">
        <v>0.80310000000000004</v>
      </c>
      <c r="C49" s="14">
        <f t="shared" si="5"/>
        <v>803100</v>
      </c>
      <c r="D49" s="15">
        <f t="shared" si="8"/>
        <v>0.38835106259223684</v>
      </c>
      <c r="E49" s="16">
        <f t="shared" si="9"/>
        <v>5.0647660537251742</v>
      </c>
      <c r="F49" s="17">
        <v>5.0872000000000002</v>
      </c>
      <c r="G49" s="18">
        <f t="shared" si="6"/>
        <v>-18</v>
      </c>
      <c r="H49" s="18">
        <f t="shared" si="7"/>
        <v>-23</v>
      </c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12">
        <v>219.5</v>
      </c>
      <c r="B50" s="13">
        <v>0.85680000000000001</v>
      </c>
      <c r="C50" s="14">
        <f t="shared" si="5"/>
        <v>856800</v>
      </c>
      <c r="D50" s="15">
        <f t="shared" si="8"/>
        <v>0.41490259491235598</v>
      </c>
      <c r="E50" s="16">
        <f t="shared" si="9"/>
        <v>5.4796686486375306</v>
      </c>
      <c r="F50" s="17">
        <v>5.5035999999999996</v>
      </c>
      <c r="G50" s="18">
        <f t="shared" si="6"/>
        <v>-17.5</v>
      </c>
      <c r="H50" s="18">
        <f t="shared" si="7"/>
        <v>-22.5</v>
      </c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12">
        <v>220</v>
      </c>
      <c r="B51" s="13">
        <v>0.91459999999999997</v>
      </c>
      <c r="C51" s="14">
        <f t="shared" si="5"/>
        <v>914600</v>
      </c>
      <c r="D51" s="15">
        <f t="shared" si="8"/>
        <v>0.44277139621881378</v>
      </c>
      <c r="E51" s="16">
        <f t="shared" si="9"/>
        <v>5.9224400448563443</v>
      </c>
      <c r="F51" s="17">
        <v>5.9488000000000003</v>
      </c>
      <c r="G51" s="18">
        <f t="shared" si="6"/>
        <v>-17</v>
      </c>
      <c r="H51" s="18">
        <f t="shared" si="7"/>
        <v>-22</v>
      </c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12">
        <v>220.5</v>
      </c>
      <c r="B52" s="13">
        <v>0.97040000000000004</v>
      </c>
      <c r="C52" s="14">
        <f t="shared" si="5"/>
        <v>970400</v>
      </c>
      <c r="D52" s="15">
        <f t="shared" si="8"/>
        <v>0.47118115998212817</v>
      </c>
      <c r="E52" s="16">
        <f t="shared" si="9"/>
        <v>6.3936212048384728</v>
      </c>
      <c r="F52" s="17">
        <v>6.4206000000000003</v>
      </c>
      <c r="G52" s="18">
        <f t="shared" si="6"/>
        <v>-16.5</v>
      </c>
      <c r="H52" s="18">
        <f t="shared" si="7"/>
        <v>-21.5</v>
      </c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12">
        <v>221</v>
      </c>
      <c r="B53" s="13">
        <v>1.0286999999999999</v>
      </c>
      <c r="C53" s="14">
        <f t="shared" si="5"/>
        <v>1028700</v>
      </c>
      <c r="D53" s="15">
        <f t="shared" si="8"/>
        <v>0.49970414284373654</v>
      </c>
      <c r="E53" s="16">
        <f t="shared" si="9"/>
        <v>6.8933253476822092</v>
      </c>
      <c r="F53" s="17">
        <v>6.9219999999999997</v>
      </c>
      <c r="G53" s="18">
        <f t="shared" si="6"/>
        <v>-16</v>
      </c>
      <c r="H53" s="18">
        <f t="shared" si="7"/>
        <v>-21</v>
      </c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12">
        <v>221.5</v>
      </c>
      <c r="B54" s="13">
        <v>1.0928</v>
      </c>
      <c r="C54" s="14">
        <f t="shared" si="5"/>
        <v>1092800</v>
      </c>
      <c r="D54" s="15">
        <f t="shared" si="8"/>
        <v>0.53029428375803112</v>
      </c>
      <c r="E54" s="16">
        <f t="shared" si="9"/>
        <v>7.4236196314402401</v>
      </c>
      <c r="F54" s="17">
        <v>7.4534000000000002</v>
      </c>
      <c r="G54" s="18">
        <f t="shared" si="6"/>
        <v>-15.5</v>
      </c>
      <c r="H54" s="18">
        <f t="shared" si="7"/>
        <v>-20.5</v>
      </c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12">
        <v>222</v>
      </c>
      <c r="B55" s="13">
        <v>1.1516999999999999</v>
      </c>
      <c r="C55" s="14">
        <f t="shared" si="5"/>
        <v>1151700</v>
      </c>
      <c r="D55" s="15">
        <f t="shared" si="8"/>
        <v>0.56106058685186522</v>
      </c>
      <c r="E55" s="16">
        <f t="shared" si="9"/>
        <v>7.9846802182921053</v>
      </c>
      <c r="F55" s="17">
        <v>8.0154999999999994</v>
      </c>
      <c r="G55" s="18">
        <f t="shared" si="6"/>
        <v>-15</v>
      </c>
      <c r="H55" s="18">
        <f t="shared" si="7"/>
        <v>-20</v>
      </c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12">
        <v>222.5</v>
      </c>
      <c r="B56" s="13">
        <v>1.2173</v>
      </c>
      <c r="C56" s="14">
        <f t="shared" si="5"/>
        <v>1217300</v>
      </c>
      <c r="D56" s="15">
        <f t="shared" si="8"/>
        <v>0.59217429672748856</v>
      </c>
      <c r="E56" s="16">
        <f t="shared" si="9"/>
        <v>8.5768545150195941</v>
      </c>
      <c r="F56" s="17">
        <v>8.6084999999999994</v>
      </c>
      <c r="G56" s="18">
        <f t="shared" si="6"/>
        <v>-14.5</v>
      </c>
      <c r="H56" s="18">
        <f t="shared" si="7"/>
        <v>-19.5</v>
      </c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12">
        <v>223</v>
      </c>
      <c r="B57" s="13">
        <v>1.2836000000000001</v>
      </c>
      <c r="C57" s="14">
        <f t="shared" si="5"/>
        <v>1283600</v>
      </c>
      <c r="D57" s="15">
        <f t="shared" si="8"/>
        <v>0.62515175199263318</v>
      </c>
      <c r="E57" s="16">
        <f t="shared" si="9"/>
        <v>9.2020062670122265</v>
      </c>
      <c r="F57" s="17">
        <v>9.2367000000000008</v>
      </c>
      <c r="G57" s="18">
        <f t="shared" si="6"/>
        <v>-14</v>
      </c>
      <c r="H57" s="18">
        <f t="shared" si="7"/>
        <v>-19</v>
      </c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12">
        <v>223.5</v>
      </c>
      <c r="B58" s="13">
        <v>1.3473999999999999</v>
      </c>
      <c r="C58" s="14">
        <f t="shared" si="5"/>
        <v>1347400</v>
      </c>
      <c r="D58" s="15">
        <f t="shared" si="8"/>
        <v>0.65768552770553879</v>
      </c>
      <c r="E58" s="16">
        <f t="shared" si="9"/>
        <v>9.8596917947177651</v>
      </c>
      <c r="F58" s="17">
        <v>9.8953000000000007</v>
      </c>
      <c r="G58" s="18">
        <f t="shared" si="6"/>
        <v>-13.5</v>
      </c>
      <c r="H58" s="18">
        <f t="shared" si="7"/>
        <v>-18.5</v>
      </c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12">
        <v>224</v>
      </c>
      <c r="B59" s="13">
        <v>1.4180999999999999</v>
      </c>
      <c r="C59" s="14">
        <f t="shared" si="5"/>
        <v>1418100</v>
      </c>
      <c r="D59" s="15">
        <f t="shared" si="8"/>
        <v>0.69129967746969145</v>
      </c>
      <c r="E59" s="16">
        <f t="shared" si="9"/>
        <v>10.550991472187457</v>
      </c>
      <c r="F59" s="17">
        <v>10.587300000000001</v>
      </c>
      <c r="G59" s="18">
        <f t="shared" si="6"/>
        <v>-13</v>
      </c>
      <c r="H59" s="18">
        <f t="shared" si="7"/>
        <v>-18</v>
      </c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12">
        <v>224.5</v>
      </c>
      <c r="B60" s="13">
        <v>1.4902</v>
      </c>
      <c r="C60" s="14">
        <f t="shared" si="5"/>
        <v>1490200</v>
      </c>
      <c r="D60" s="15">
        <f t="shared" si="8"/>
        <v>0.72700051191159154</v>
      </c>
      <c r="E60" s="16">
        <f t="shared" si="9"/>
        <v>11.277991984099048</v>
      </c>
      <c r="F60" s="17">
        <v>11.3165</v>
      </c>
      <c r="G60" s="18">
        <f t="shared" si="6"/>
        <v>-12.5</v>
      </c>
      <c r="H60" s="18">
        <f t="shared" si="7"/>
        <v>-17.5</v>
      </c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12">
        <v>225</v>
      </c>
      <c r="B61" s="13">
        <v>1.5743</v>
      </c>
      <c r="C61" s="14">
        <f t="shared" si="5"/>
        <v>1574300</v>
      </c>
      <c r="D61" s="15">
        <f t="shared" si="8"/>
        <v>0.76602881598144579</v>
      </c>
      <c r="E61" s="16">
        <f t="shared" si="9"/>
        <v>12.044020800080494</v>
      </c>
      <c r="F61" s="17">
        <v>12.087300000000001</v>
      </c>
      <c r="G61" s="18">
        <f t="shared" si="6"/>
        <v>-12</v>
      </c>
      <c r="H61" s="18">
        <f t="shared" si="7"/>
        <v>-17</v>
      </c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12">
        <v>225.5</v>
      </c>
      <c r="B62" s="13">
        <v>1.6491</v>
      </c>
      <c r="C62" s="14">
        <f t="shared" si="5"/>
        <v>1649100</v>
      </c>
      <c r="D62" s="15">
        <f t="shared" si="8"/>
        <v>0.80577766704132037</v>
      </c>
      <c r="E62" s="16">
        <f t="shared" si="9"/>
        <v>12.849798467121815</v>
      </c>
      <c r="F62" s="17">
        <v>12.894600000000001</v>
      </c>
      <c r="G62" s="18">
        <f t="shared" si="6"/>
        <v>-11.5</v>
      </c>
      <c r="H62" s="18">
        <f t="shared" si="7"/>
        <v>-16.5</v>
      </c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12">
        <v>226</v>
      </c>
      <c r="B63" s="13">
        <v>1.7277</v>
      </c>
      <c r="C63" s="14">
        <f t="shared" si="5"/>
        <v>1727700</v>
      </c>
      <c r="D63" s="15">
        <f t="shared" si="8"/>
        <v>0.84412375921702731</v>
      </c>
      <c r="E63" s="16">
        <f t="shared" si="9"/>
        <v>13.693922226338842</v>
      </c>
      <c r="F63" s="17">
        <v>13.741</v>
      </c>
      <c r="G63" s="18">
        <f t="shared" si="6"/>
        <v>-11</v>
      </c>
      <c r="H63" s="18">
        <f t="shared" si="7"/>
        <v>-16</v>
      </c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12">
        <v>226.5</v>
      </c>
      <c r="B64" s="13">
        <v>1.8028999999999999</v>
      </c>
      <c r="C64" s="14">
        <f t="shared" si="5"/>
        <v>1802900</v>
      </c>
      <c r="D64" s="15">
        <f t="shared" si="8"/>
        <v>0.88258325400871507</v>
      </c>
      <c r="E64" s="16">
        <f t="shared" si="9"/>
        <v>14.576505480347556</v>
      </c>
      <c r="F64" s="17">
        <v>14.6243</v>
      </c>
      <c r="G64" s="18">
        <f t="shared" si="6"/>
        <v>-10.5</v>
      </c>
      <c r="H64" s="18">
        <f t="shared" si="7"/>
        <v>-15.5</v>
      </c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12">
        <v>227</v>
      </c>
      <c r="B65" s="13">
        <v>1.8824000000000001</v>
      </c>
      <c r="C65" s="14">
        <f t="shared" si="5"/>
        <v>1882400</v>
      </c>
      <c r="D65" s="15">
        <f t="shared" si="8"/>
        <v>0.92125353379792463</v>
      </c>
      <c r="E65" s="16">
        <f t="shared" si="9"/>
        <v>15.497759014145482</v>
      </c>
      <c r="F65" s="17">
        <v>15.547000000000001</v>
      </c>
      <c r="G65" s="18">
        <f t="shared" si="6"/>
        <v>-10</v>
      </c>
      <c r="H65" s="18">
        <f t="shared" si="7"/>
        <v>-15</v>
      </c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12">
        <v>227.5</v>
      </c>
      <c r="B66" s="13">
        <v>1.9628000000000001</v>
      </c>
      <c r="C66" s="14">
        <f t="shared" si="5"/>
        <v>1962800</v>
      </c>
      <c r="D66" s="15">
        <f t="shared" si="8"/>
        <v>0.9612299465710763</v>
      </c>
      <c r="E66" s="16">
        <f t="shared" si="9"/>
        <v>16.458988960716557</v>
      </c>
      <c r="F66" s="17">
        <v>16.509899999999998</v>
      </c>
      <c r="G66" s="18">
        <f t="shared" si="6"/>
        <v>-9.5</v>
      </c>
      <c r="H66" s="18">
        <f t="shared" si="7"/>
        <v>-14.5</v>
      </c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12">
        <v>228</v>
      </c>
      <c r="B67" s="13">
        <v>2.0470999999999999</v>
      </c>
      <c r="C67" s="14">
        <f t="shared" si="5"/>
        <v>2047100</v>
      </c>
      <c r="D67" s="15">
        <f t="shared" si="8"/>
        <v>1.0024011486635278</v>
      </c>
      <c r="E67" s="16">
        <f t="shared" si="9"/>
        <v>17.461390109380083</v>
      </c>
      <c r="F67" s="17">
        <v>17.512699999999999</v>
      </c>
      <c r="G67" s="18">
        <f t="shared" si="6"/>
        <v>-9</v>
      </c>
      <c r="H67" s="18">
        <f t="shared" si="7"/>
        <v>-14</v>
      </c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12">
        <v>228.5</v>
      </c>
      <c r="B68" s="13">
        <v>2.1334</v>
      </c>
      <c r="C68" s="14">
        <f t="shared" ref="C68:C99" si="10">B68*1000000</f>
        <v>2133400</v>
      </c>
      <c r="D68" s="15">
        <f t="shared" si="8"/>
        <v>1.0450507616350495</v>
      </c>
      <c r="E68" s="16">
        <f t="shared" si="9"/>
        <v>18.506440871015133</v>
      </c>
      <c r="F68" s="17">
        <v>18.558499999999999</v>
      </c>
      <c r="G68" s="18">
        <f t="shared" ref="G68:G95" si="11">A68-$K$5</f>
        <v>-8.5</v>
      </c>
      <c r="H68" s="18">
        <f t="shared" ref="H68:H95" si="12">A68-$K$6</f>
        <v>-13.5</v>
      </c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12">
        <v>229</v>
      </c>
      <c r="B69" s="13">
        <v>2.2210000000000001</v>
      </c>
      <c r="C69" s="14">
        <f t="shared" si="10"/>
        <v>2221000</v>
      </c>
      <c r="D69" s="15">
        <f t="shared" ref="D69:D100" si="13">(A69-A68)/3*(C68+C69+SQRT(C68*C69))/1000000</f>
        <v>1.0885265633938979</v>
      </c>
      <c r="E69" s="16">
        <f t="shared" ref="E69:E100" si="14">E68+D69</f>
        <v>19.594967434409032</v>
      </c>
      <c r="F69" s="17">
        <v>19.648499999999999</v>
      </c>
      <c r="G69" s="18">
        <f t="shared" si="11"/>
        <v>-8</v>
      </c>
      <c r="H69" s="18">
        <f t="shared" si="12"/>
        <v>-13</v>
      </c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12">
        <v>229.5</v>
      </c>
      <c r="B70" s="13">
        <v>2.298</v>
      </c>
      <c r="C70" s="14">
        <f t="shared" si="10"/>
        <v>2298000</v>
      </c>
      <c r="D70" s="15">
        <f t="shared" si="13"/>
        <v>1.1296953287009577</v>
      </c>
      <c r="E70" s="16">
        <f t="shared" si="14"/>
        <v>20.72466276310999</v>
      </c>
      <c r="F70" s="17">
        <v>20.7805</v>
      </c>
      <c r="G70" s="18">
        <f t="shared" si="11"/>
        <v>-7.5</v>
      </c>
      <c r="H70" s="18">
        <f t="shared" si="12"/>
        <v>-12.5</v>
      </c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12">
        <v>230</v>
      </c>
      <c r="B71" s="13">
        <v>2.3719999999999999</v>
      </c>
      <c r="C71" s="14">
        <f t="shared" si="10"/>
        <v>2372000</v>
      </c>
      <c r="D71" s="15">
        <f t="shared" si="13"/>
        <v>1.1674511389740756</v>
      </c>
      <c r="E71" s="16">
        <f t="shared" si="14"/>
        <v>21.892113902084066</v>
      </c>
      <c r="F71" s="17">
        <v>21.949200000000001</v>
      </c>
      <c r="G71" s="18">
        <f t="shared" si="11"/>
        <v>-7</v>
      </c>
      <c r="H71" s="18">
        <f t="shared" si="12"/>
        <v>-12</v>
      </c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12">
        <v>230.5</v>
      </c>
      <c r="B72" s="13">
        <v>2.448</v>
      </c>
      <c r="C72" s="14">
        <f t="shared" si="10"/>
        <v>2448000</v>
      </c>
      <c r="D72" s="15">
        <f t="shared" si="13"/>
        <v>1.2049500660524768</v>
      </c>
      <c r="E72" s="16">
        <f t="shared" si="14"/>
        <v>23.097063968136542</v>
      </c>
      <c r="F72" s="17">
        <v>23.1556</v>
      </c>
      <c r="G72" s="18">
        <f t="shared" si="11"/>
        <v>-6.5</v>
      </c>
      <c r="H72" s="18">
        <f t="shared" si="12"/>
        <v>-11.5</v>
      </c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12">
        <v>231</v>
      </c>
      <c r="B73" s="13">
        <v>2.5213000000000001</v>
      </c>
      <c r="C73" s="14">
        <f t="shared" si="10"/>
        <v>2521300</v>
      </c>
      <c r="D73" s="15">
        <f t="shared" si="13"/>
        <v>1.2422799468546109</v>
      </c>
      <c r="E73" s="16">
        <f t="shared" si="14"/>
        <v>24.339343914991154</v>
      </c>
      <c r="F73" s="17">
        <v>24.401199999999999</v>
      </c>
      <c r="G73" s="18">
        <f t="shared" si="11"/>
        <v>-6</v>
      </c>
      <c r="H73" s="18">
        <f t="shared" si="12"/>
        <v>-11</v>
      </c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12">
        <v>231.5</v>
      </c>
      <c r="B74" s="13">
        <v>2.5990000000000002</v>
      </c>
      <c r="C74" s="14">
        <f t="shared" si="10"/>
        <v>2599000</v>
      </c>
      <c r="D74" s="15">
        <f t="shared" si="13"/>
        <v>1.2800258684582053</v>
      </c>
      <c r="E74" s="16">
        <f t="shared" si="14"/>
        <v>25.619369783449361</v>
      </c>
      <c r="F74" s="17">
        <v>25.6829</v>
      </c>
      <c r="G74" s="18">
        <f t="shared" si="11"/>
        <v>-5.5</v>
      </c>
      <c r="H74" s="18">
        <f t="shared" si="12"/>
        <v>-10.5</v>
      </c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12">
        <v>232</v>
      </c>
      <c r="B75" s="13">
        <v>2.6797</v>
      </c>
      <c r="C75" s="14">
        <f t="shared" si="10"/>
        <v>2679700</v>
      </c>
      <c r="D75" s="15">
        <f t="shared" si="13"/>
        <v>1.3196235915837324</v>
      </c>
      <c r="E75" s="16">
        <f t="shared" si="14"/>
        <v>26.938993375033093</v>
      </c>
      <c r="F75" s="17">
        <v>27.002700000000001</v>
      </c>
      <c r="G75" s="18">
        <f t="shared" si="11"/>
        <v>-5</v>
      </c>
      <c r="H75" s="18">
        <f t="shared" si="12"/>
        <v>-10</v>
      </c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12">
        <v>232.5</v>
      </c>
      <c r="B76" s="13">
        <v>2.7671999999999999</v>
      </c>
      <c r="C76" s="14">
        <f t="shared" si="10"/>
        <v>2767200</v>
      </c>
      <c r="D76" s="15">
        <f t="shared" si="13"/>
        <v>1.3616664288861335</v>
      </c>
      <c r="E76" s="16">
        <f t="shared" si="14"/>
        <v>28.300659803919228</v>
      </c>
      <c r="F76" s="17">
        <v>28.364699999999999</v>
      </c>
      <c r="G76" s="18">
        <f t="shared" si="11"/>
        <v>-4.5</v>
      </c>
      <c r="H76" s="18">
        <f t="shared" si="12"/>
        <v>-9.5</v>
      </c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12">
        <v>233</v>
      </c>
      <c r="B77" s="13">
        <v>2.8567</v>
      </c>
      <c r="C77" s="14">
        <f t="shared" si="10"/>
        <v>2856700</v>
      </c>
      <c r="D77" s="15">
        <f t="shared" si="13"/>
        <v>1.4059156494511651</v>
      </c>
      <c r="E77" s="16">
        <f t="shared" si="14"/>
        <v>29.706575453370391</v>
      </c>
      <c r="F77" s="17">
        <v>29.772300000000001</v>
      </c>
      <c r="G77" s="18">
        <f t="shared" si="11"/>
        <v>-4</v>
      </c>
      <c r="H77" s="18">
        <f t="shared" si="12"/>
        <v>-9</v>
      </c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12">
        <v>233.5</v>
      </c>
      <c r="B78" s="13">
        <v>2.9533</v>
      </c>
      <c r="C78" s="14">
        <f t="shared" si="10"/>
        <v>2953300</v>
      </c>
      <c r="D78" s="15">
        <f t="shared" si="13"/>
        <v>1.4524330736876441</v>
      </c>
      <c r="E78" s="16">
        <f t="shared" si="14"/>
        <v>31.159008527058035</v>
      </c>
      <c r="F78" s="17">
        <v>31.226099999999999</v>
      </c>
      <c r="G78" s="18">
        <f t="shared" si="11"/>
        <v>-3.5</v>
      </c>
      <c r="H78" s="18">
        <f t="shared" si="12"/>
        <v>-8.5</v>
      </c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12">
        <v>234</v>
      </c>
      <c r="B79" s="13">
        <v>3.048</v>
      </c>
      <c r="C79" s="14">
        <f t="shared" si="10"/>
        <v>3048000</v>
      </c>
      <c r="D79" s="15">
        <f t="shared" si="13"/>
        <v>1.5002627312113908</v>
      </c>
      <c r="E79" s="16">
        <f t="shared" si="14"/>
        <v>32.659271258269428</v>
      </c>
      <c r="F79" s="17">
        <v>32.727600000000002</v>
      </c>
      <c r="G79" s="18">
        <f t="shared" si="11"/>
        <v>-3</v>
      </c>
      <c r="H79" s="18">
        <f t="shared" si="12"/>
        <v>-8</v>
      </c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12">
        <v>234.5</v>
      </c>
      <c r="B80" s="13">
        <v>3.1442999999999999</v>
      </c>
      <c r="C80" s="14">
        <f t="shared" si="10"/>
        <v>3144300</v>
      </c>
      <c r="D80" s="15">
        <f t="shared" si="13"/>
        <v>1.5480125955435142</v>
      </c>
      <c r="E80" s="16">
        <f t="shared" si="14"/>
        <v>34.207283853812939</v>
      </c>
      <c r="F80" s="17">
        <v>34.275399999999998</v>
      </c>
      <c r="G80" s="18">
        <f t="shared" si="11"/>
        <v>-2.5</v>
      </c>
      <c r="H80" s="18">
        <f t="shared" si="12"/>
        <v>-7.5</v>
      </c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12">
        <v>235</v>
      </c>
      <c r="B81" s="13">
        <v>3.2477999999999998</v>
      </c>
      <c r="C81" s="14">
        <f t="shared" si="10"/>
        <v>3247800</v>
      </c>
      <c r="D81" s="15">
        <f t="shared" si="13"/>
        <v>1.5979551680184862</v>
      </c>
      <c r="E81" s="16">
        <f t="shared" si="14"/>
        <v>35.805239021831426</v>
      </c>
      <c r="F81" s="17">
        <v>35.876399999999997</v>
      </c>
      <c r="G81" s="18">
        <f t="shared" si="11"/>
        <v>-2</v>
      </c>
      <c r="H81" s="18">
        <f t="shared" si="12"/>
        <v>-7</v>
      </c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12">
        <v>235.5</v>
      </c>
      <c r="B82" s="13">
        <v>3.3504</v>
      </c>
      <c r="C82" s="14">
        <f t="shared" si="10"/>
        <v>3350400</v>
      </c>
      <c r="D82" s="15">
        <f t="shared" si="13"/>
        <v>1.6494835210335064</v>
      </c>
      <c r="E82" s="16">
        <f t="shared" si="14"/>
        <v>37.454722542864936</v>
      </c>
      <c r="F82" s="17">
        <v>37.528599999999997</v>
      </c>
      <c r="G82" s="18">
        <f t="shared" si="11"/>
        <v>-1.5</v>
      </c>
      <c r="H82" s="18">
        <f t="shared" si="12"/>
        <v>-6.5</v>
      </c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12">
        <v>236</v>
      </c>
      <c r="B83" s="13">
        <v>3.4514999999999998</v>
      </c>
      <c r="C83" s="14">
        <f t="shared" si="10"/>
        <v>3451500</v>
      </c>
      <c r="D83" s="15">
        <f t="shared" si="13"/>
        <v>1.7004123840729022</v>
      </c>
      <c r="E83" s="16">
        <f t="shared" si="14"/>
        <v>39.155134926937841</v>
      </c>
      <c r="F83" s="17">
        <v>39.232199999999999</v>
      </c>
      <c r="G83" s="18">
        <f t="shared" si="11"/>
        <v>-1</v>
      </c>
      <c r="H83" s="18">
        <f t="shared" si="12"/>
        <v>-6</v>
      </c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12">
        <v>236.5</v>
      </c>
      <c r="B84" s="13">
        <v>3.5472999999999999</v>
      </c>
      <c r="C84" s="14">
        <f t="shared" si="10"/>
        <v>3547300</v>
      </c>
      <c r="D84" s="15">
        <f t="shared" si="13"/>
        <v>1.7496453592643986</v>
      </c>
      <c r="E84" s="16">
        <f t="shared" si="14"/>
        <v>40.904780286202239</v>
      </c>
      <c r="F84" s="17">
        <v>40.982999999999997</v>
      </c>
      <c r="G84" s="18">
        <f t="shared" si="11"/>
        <v>-0.5</v>
      </c>
      <c r="H84" s="18">
        <f t="shared" si="12"/>
        <v>-5.5</v>
      </c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12">
        <v>237</v>
      </c>
      <c r="B85" s="13">
        <v>3.6392000000000002</v>
      </c>
      <c r="C85" s="14">
        <f t="shared" si="10"/>
        <v>3639200</v>
      </c>
      <c r="D85" s="15">
        <f t="shared" si="13"/>
        <v>1.796576031127201</v>
      </c>
      <c r="E85" s="16">
        <f t="shared" si="14"/>
        <v>42.701356317329441</v>
      </c>
      <c r="F85" s="17">
        <v>42.7819</v>
      </c>
      <c r="G85" s="18">
        <f t="shared" si="11"/>
        <v>0</v>
      </c>
      <c r="H85" s="18">
        <f t="shared" si="12"/>
        <v>-5</v>
      </c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12">
        <v>237.5</v>
      </c>
      <c r="B86" s="13">
        <v>3.7296</v>
      </c>
      <c r="C86" s="14">
        <f t="shared" si="10"/>
        <v>3729600</v>
      </c>
      <c r="D86" s="15">
        <f t="shared" si="13"/>
        <v>1.8421537890186468</v>
      </c>
      <c r="E86" s="16">
        <f t="shared" si="14"/>
        <v>44.543510106348087</v>
      </c>
      <c r="F86" s="17">
        <v>44.625500000000002</v>
      </c>
      <c r="G86" s="18">
        <f t="shared" si="11"/>
        <v>0.5</v>
      </c>
      <c r="H86" s="18">
        <f t="shared" si="12"/>
        <v>-4.5</v>
      </c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12">
        <v>238</v>
      </c>
      <c r="B87" s="13">
        <v>3.8130000000000002</v>
      </c>
      <c r="C87" s="14">
        <f t="shared" si="10"/>
        <v>3813000</v>
      </c>
      <c r="D87" s="15">
        <f t="shared" si="13"/>
        <v>1.8856115750724087</v>
      </c>
      <c r="E87" s="16">
        <f t="shared" si="14"/>
        <v>46.429121681420497</v>
      </c>
      <c r="F87" s="17">
        <v>46.512700000000002</v>
      </c>
      <c r="G87" s="18">
        <f t="shared" si="11"/>
        <v>1</v>
      </c>
      <c r="H87" s="18">
        <f t="shared" si="12"/>
        <v>-4</v>
      </c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12">
        <v>238.5</v>
      </c>
      <c r="B88" s="13">
        <v>3.8923999999999999</v>
      </c>
      <c r="C88" s="14">
        <f t="shared" si="10"/>
        <v>3892400</v>
      </c>
      <c r="D88" s="15">
        <f t="shared" si="13"/>
        <v>1.9263159085005257</v>
      </c>
      <c r="E88" s="16">
        <f t="shared" si="14"/>
        <v>48.355437589921024</v>
      </c>
      <c r="F88" s="17">
        <v>48.439700000000002</v>
      </c>
      <c r="G88" s="18">
        <f t="shared" si="11"/>
        <v>1.5</v>
      </c>
      <c r="H88" s="18">
        <f t="shared" si="12"/>
        <v>-3.5</v>
      </c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12">
        <v>239</v>
      </c>
      <c r="B89" s="13">
        <v>3.9746999999999999</v>
      </c>
      <c r="C89" s="14">
        <f t="shared" si="10"/>
        <v>3974700</v>
      </c>
      <c r="D89" s="15">
        <f t="shared" si="13"/>
        <v>1.9667391255178481</v>
      </c>
      <c r="E89" s="16">
        <f t="shared" si="14"/>
        <v>50.322176715438871</v>
      </c>
      <c r="F89" s="17">
        <v>50.407699999999998</v>
      </c>
      <c r="G89" s="18">
        <f t="shared" si="11"/>
        <v>2</v>
      </c>
      <c r="H89" s="18">
        <f t="shared" si="12"/>
        <v>-3</v>
      </c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12">
        <v>239.5</v>
      </c>
      <c r="B90" s="13">
        <v>4.0578000000000003</v>
      </c>
      <c r="C90" s="14">
        <f t="shared" si="10"/>
        <v>4057800.0000000005</v>
      </c>
      <c r="D90" s="15">
        <f t="shared" si="13"/>
        <v>2.0080891778463292</v>
      </c>
      <c r="E90" s="16">
        <f t="shared" si="14"/>
        <v>52.330265893285201</v>
      </c>
      <c r="F90" s="17">
        <v>52.417299999999997</v>
      </c>
      <c r="G90" s="18">
        <f t="shared" si="11"/>
        <v>2.5</v>
      </c>
      <c r="H90" s="18">
        <f t="shared" si="12"/>
        <v>-2.5</v>
      </c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12">
        <v>240</v>
      </c>
      <c r="B91" s="13">
        <v>4.1386000000000003</v>
      </c>
      <c r="C91" s="14">
        <f t="shared" si="10"/>
        <v>4138600.0000000005</v>
      </c>
      <c r="D91" s="15">
        <f t="shared" si="13"/>
        <v>2.0490668106393213</v>
      </c>
      <c r="E91" s="16">
        <f t="shared" si="14"/>
        <v>54.379332703924526</v>
      </c>
      <c r="F91" s="17">
        <v>54.4681</v>
      </c>
      <c r="G91" s="18">
        <f t="shared" si="11"/>
        <v>3</v>
      </c>
      <c r="H91" s="18">
        <f t="shared" si="12"/>
        <v>-2</v>
      </c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12">
        <v>240.5</v>
      </c>
      <c r="B92" s="13">
        <v>4.2167000000000003</v>
      </c>
      <c r="C92" s="14">
        <f t="shared" si="10"/>
        <v>4216700</v>
      </c>
      <c r="D92" s="15">
        <f t="shared" si="13"/>
        <v>2.0887945814670461</v>
      </c>
      <c r="E92" s="16">
        <f t="shared" si="14"/>
        <v>56.468127285391574</v>
      </c>
      <c r="F92" s="17">
        <v>56.558300000000003</v>
      </c>
      <c r="G92" s="18">
        <f t="shared" si="11"/>
        <v>3.5</v>
      </c>
      <c r="H92" s="18">
        <f t="shared" si="12"/>
        <v>-1.5</v>
      </c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12">
        <v>241</v>
      </c>
      <c r="B93" s="13">
        <v>4.29</v>
      </c>
      <c r="C93" s="14">
        <f t="shared" si="10"/>
        <v>4290000</v>
      </c>
      <c r="D93" s="15">
        <f t="shared" si="13"/>
        <v>2.1266486825593574</v>
      </c>
      <c r="E93" s="16">
        <f t="shared" si="14"/>
        <v>58.59477596795093</v>
      </c>
      <c r="F93" s="17">
        <v>58.685499999999998</v>
      </c>
      <c r="G93" s="18">
        <f t="shared" si="11"/>
        <v>4</v>
      </c>
      <c r="H93" s="18">
        <f t="shared" si="12"/>
        <v>-1</v>
      </c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12">
        <v>241.5</v>
      </c>
      <c r="B94" s="13">
        <v>4.3628999999999998</v>
      </c>
      <c r="C94" s="14">
        <f t="shared" si="10"/>
        <v>4362900</v>
      </c>
      <c r="D94" s="15">
        <f t="shared" si="13"/>
        <v>2.1631994088479654</v>
      </c>
      <c r="E94" s="16">
        <f t="shared" si="14"/>
        <v>60.757975376798896</v>
      </c>
      <c r="F94" s="17">
        <v>60.849600000000002</v>
      </c>
      <c r="G94" s="18">
        <f t="shared" si="11"/>
        <v>4.5</v>
      </c>
      <c r="H94" s="18">
        <f t="shared" si="12"/>
        <v>-0.5</v>
      </c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12">
        <v>242</v>
      </c>
      <c r="B95" s="13">
        <v>4.4283999999999999</v>
      </c>
      <c r="C95" s="14">
        <f t="shared" si="10"/>
        <v>4428400</v>
      </c>
      <c r="D95" s="15">
        <f t="shared" si="13"/>
        <v>2.1978046659313737</v>
      </c>
      <c r="E95" s="16">
        <f t="shared" si="14"/>
        <v>62.955780042730268</v>
      </c>
      <c r="F95" s="17">
        <v>63.048099999999998</v>
      </c>
      <c r="G95" s="18">
        <f t="shared" si="11"/>
        <v>5</v>
      </c>
      <c r="H95" s="18">
        <f t="shared" si="12"/>
        <v>0</v>
      </c>
      <c r="I95" s="2"/>
      <c r="J95" s="2"/>
      <c r="K95" s="2"/>
      <c r="L95" s="2"/>
      <c r="M95" s="2"/>
      <c r="N95" s="2"/>
      <c r="O95" s="2"/>
      <c r="P95" s="2"/>
    </row>
  </sheetData>
  <mergeCells count="1">
    <mergeCell ref="A2:H2"/>
  </mergeCells>
  <pageMargins left="0.75" right="0.75" top="1" bottom="1" header="0.5" footer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56"/>
  <sheetViews>
    <sheetView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5" width="14" customWidth="1"/>
    <col min="6" max="6" width="16" customWidth="1"/>
    <col min="7" max="8" width="14" customWidth="1"/>
    <col min="10" max="10" width="27" customWidth="1"/>
    <col min="11" max="11" width="12" customWidth="1"/>
  </cols>
  <sheetData>
    <row r="1" spans="1:16" ht="15.75" x14ac:dyDescent="0.25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9.950000000000003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</row>
    <row r="3" spans="1:16" ht="42" customHeigh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2"/>
      <c r="J3" s="2"/>
      <c r="K3" s="2"/>
      <c r="L3" s="2"/>
      <c r="M3" s="11" t="s">
        <v>43</v>
      </c>
      <c r="N3" s="2"/>
      <c r="O3" s="2"/>
      <c r="P3" s="2"/>
    </row>
    <row r="4" spans="1:16" x14ac:dyDescent="0.25">
      <c r="A4" s="12">
        <v>163</v>
      </c>
      <c r="B4" s="13">
        <v>5.9999999999999995E-4</v>
      </c>
      <c r="C4" s="14">
        <f t="shared" ref="C4:C35" si="0">B4*1000000</f>
        <v>600</v>
      </c>
      <c r="D4" s="15">
        <v>0</v>
      </c>
      <c r="E4" s="16">
        <v>0</v>
      </c>
      <c r="F4" s="17">
        <v>1E-4</v>
      </c>
      <c r="G4" s="18">
        <f t="shared" ref="G4:G35" si="1">A4-$K$5</f>
        <v>-21</v>
      </c>
      <c r="H4" s="18">
        <f t="shared" ref="H4:H35" si="2">A4-$K$6</f>
        <v>-26</v>
      </c>
      <c r="I4" s="2"/>
      <c r="J4" s="4" t="s">
        <v>44</v>
      </c>
      <c r="K4" s="19" t="str">
        <f>"Sarami 05"</f>
        <v>Sarami 05</v>
      </c>
      <c r="L4" s="2"/>
      <c r="M4" s="11" t="s">
        <v>45</v>
      </c>
      <c r="N4" s="11" t="s">
        <v>46</v>
      </c>
      <c r="O4" s="11" t="s">
        <v>47</v>
      </c>
      <c r="P4" s="11" t="s">
        <v>48</v>
      </c>
    </row>
    <row r="5" spans="1:16" x14ac:dyDescent="0.25">
      <c r="A5" s="12">
        <v>163.5</v>
      </c>
      <c r="B5" s="13">
        <v>3.5000000000000001E-3</v>
      </c>
      <c r="C5" s="14">
        <f t="shared" si="0"/>
        <v>3500</v>
      </c>
      <c r="D5" s="15">
        <f t="shared" ref="D5:D36" si="3">(A5-A4)/3*(C4+C5+SQRT(C4*C5))/1000000</f>
        <v>9.248562791031573E-4</v>
      </c>
      <c r="E5" s="16">
        <f t="shared" ref="E5:E36" si="4">E4+D5</f>
        <v>9.248562791031573E-4</v>
      </c>
      <c r="F5" s="17">
        <v>1.1000000000000001E-3</v>
      </c>
      <c r="G5" s="18">
        <f t="shared" si="1"/>
        <v>-20.5</v>
      </c>
      <c r="H5" s="18">
        <f t="shared" si="2"/>
        <v>-25.5</v>
      </c>
      <c r="I5" s="2"/>
      <c r="J5" s="20" t="s">
        <v>3</v>
      </c>
      <c r="K5" s="21">
        <f>Dams!C10</f>
        <v>184</v>
      </c>
      <c r="L5" s="2"/>
      <c r="M5" s="2">
        <v>0</v>
      </c>
      <c r="N5" s="2">
        <f>K5</f>
        <v>184</v>
      </c>
      <c r="O5" s="2">
        <f>K6</f>
        <v>189</v>
      </c>
      <c r="P5" s="2">
        <v>0</v>
      </c>
    </row>
    <row r="6" spans="1:16" x14ac:dyDescent="0.25">
      <c r="A6" s="12">
        <v>164</v>
      </c>
      <c r="B6" s="13">
        <v>8.8999999999999999E-3</v>
      </c>
      <c r="C6" s="14">
        <f t="shared" si="0"/>
        <v>8900</v>
      </c>
      <c r="D6" s="15">
        <f t="shared" si="3"/>
        <v>2.9968697508250554E-3</v>
      </c>
      <c r="E6" s="16">
        <f t="shared" si="4"/>
        <v>3.9217260299282131E-3</v>
      </c>
      <c r="F6" s="17">
        <v>4.1999999999999997E-3</v>
      </c>
      <c r="G6" s="18">
        <f t="shared" si="1"/>
        <v>-20</v>
      </c>
      <c r="H6" s="18">
        <f t="shared" si="2"/>
        <v>-25</v>
      </c>
      <c r="I6" s="2"/>
      <c r="J6" s="20" t="s">
        <v>49</v>
      </c>
      <c r="K6" s="21">
        <f>Dams!B10</f>
        <v>189</v>
      </c>
      <c r="L6" s="2"/>
      <c r="M6" s="2">
        <f>K15*1.02</f>
        <v>24.828018701872594</v>
      </c>
      <c r="N6" s="2">
        <f>K5</f>
        <v>184</v>
      </c>
      <c r="O6" s="2">
        <f>K6</f>
        <v>189</v>
      </c>
      <c r="P6" s="2">
        <f>K16*1.02</f>
        <v>2.2510380000000003</v>
      </c>
    </row>
    <row r="7" spans="1:16" x14ac:dyDescent="0.25">
      <c r="A7" s="12">
        <v>164.5</v>
      </c>
      <c r="B7" s="13">
        <v>1.6899999999999998E-2</v>
      </c>
      <c r="C7" s="14">
        <f t="shared" si="0"/>
        <v>16900</v>
      </c>
      <c r="D7" s="15">
        <f t="shared" si="3"/>
        <v>6.344029245278931E-3</v>
      </c>
      <c r="E7" s="16">
        <f t="shared" si="4"/>
        <v>1.0265755275207143E-2</v>
      </c>
      <c r="F7" s="17">
        <v>1.0500000000000001E-2</v>
      </c>
      <c r="G7" s="18">
        <f t="shared" si="1"/>
        <v>-19.5</v>
      </c>
      <c r="H7" s="18">
        <f t="shared" si="2"/>
        <v>-24.5</v>
      </c>
      <c r="I7" s="2"/>
      <c r="J7" s="20" t="s">
        <v>9</v>
      </c>
      <c r="K7" s="21">
        <f>A4</f>
        <v>163</v>
      </c>
      <c r="L7" s="2"/>
      <c r="M7" s="11" t="str">
        <f>"FSL "&amp;TEXT(K5,"0.0")&amp;" m"</f>
        <v>FSL 184.0 m</v>
      </c>
      <c r="N7" s="2"/>
      <c r="O7" s="2"/>
      <c r="P7" s="2"/>
    </row>
    <row r="8" spans="1:16" x14ac:dyDescent="0.25">
      <c r="A8" s="12">
        <v>165</v>
      </c>
      <c r="B8" s="13">
        <v>3.6200000000000003E-2</v>
      </c>
      <c r="C8" s="14">
        <f t="shared" si="0"/>
        <v>36200</v>
      </c>
      <c r="D8" s="15">
        <f t="shared" si="3"/>
        <v>1.2972364477928764E-2</v>
      </c>
      <c r="E8" s="16">
        <f t="shared" si="4"/>
        <v>2.3238119753135909E-2</v>
      </c>
      <c r="F8" s="17">
        <v>2.3800000000000002E-2</v>
      </c>
      <c r="G8" s="18">
        <f t="shared" si="1"/>
        <v>-19</v>
      </c>
      <c r="H8" s="18">
        <f t="shared" si="2"/>
        <v>-24</v>
      </c>
      <c r="I8" s="2"/>
      <c r="J8" s="20" t="s">
        <v>10</v>
      </c>
      <c r="K8" s="21">
        <f>K6-K7</f>
        <v>26</v>
      </c>
      <c r="L8" s="2"/>
      <c r="M8" s="11" t="str">
        <f>"Crest "&amp;TEXT(K6,"0.0")&amp;" m"</f>
        <v>Crest 189.0 m</v>
      </c>
      <c r="N8" s="2"/>
      <c r="O8" s="2"/>
      <c r="P8" s="2"/>
    </row>
    <row r="9" spans="1:16" x14ac:dyDescent="0.25">
      <c r="A9" s="12">
        <v>165.5</v>
      </c>
      <c r="B9" s="13">
        <v>6.0199999999999997E-2</v>
      </c>
      <c r="C9" s="14">
        <f t="shared" si="0"/>
        <v>60200</v>
      </c>
      <c r="D9" s="15">
        <f t="shared" si="3"/>
        <v>2.3847055117408981E-2</v>
      </c>
      <c r="E9" s="16">
        <f t="shared" si="4"/>
        <v>4.7085174870544894E-2</v>
      </c>
      <c r="F9" s="17">
        <v>4.8599999999999997E-2</v>
      </c>
      <c r="G9" s="18">
        <f t="shared" si="1"/>
        <v>-18.5</v>
      </c>
      <c r="H9" s="18">
        <f t="shared" si="2"/>
        <v>-23.5</v>
      </c>
      <c r="I9" s="2"/>
      <c r="J9" s="20" t="s">
        <v>11</v>
      </c>
      <c r="K9" s="19">
        <f>INDEX(B4:B56,MATCH(K5,A4:A56,0))</f>
        <v>1.722</v>
      </c>
      <c r="L9" s="2"/>
      <c r="M9" s="11" t="str">
        <f>"Elevation-volume curve"</f>
        <v>Elevation-volume curve</v>
      </c>
      <c r="N9" s="2"/>
      <c r="O9" s="2"/>
      <c r="P9" s="2"/>
    </row>
    <row r="10" spans="1:16" x14ac:dyDescent="0.25">
      <c r="A10" s="12">
        <v>166</v>
      </c>
      <c r="B10" s="13">
        <v>8.2100000000000006E-2</v>
      </c>
      <c r="C10" s="14">
        <f t="shared" si="0"/>
        <v>82100</v>
      </c>
      <c r="D10" s="15">
        <f t="shared" si="3"/>
        <v>3.5433724507457777E-2</v>
      </c>
      <c r="E10" s="16">
        <f t="shared" si="4"/>
        <v>8.2518899378002664E-2</v>
      </c>
      <c r="F10" s="17">
        <v>8.4699999999999998E-2</v>
      </c>
      <c r="G10" s="18">
        <f t="shared" si="1"/>
        <v>-18</v>
      </c>
      <c r="H10" s="18">
        <f t="shared" si="2"/>
        <v>-23</v>
      </c>
      <c r="I10" s="2"/>
      <c r="J10" s="20" t="s">
        <v>12</v>
      </c>
      <c r="K10" s="19">
        <f>INDEX(E4:E56,MATCH(K5,A4:A56,0))</f>
        <v>14.523170697794248</v>
      </c>
      <c r="L10" s="2"/>
      <c r="M10" s="11" t="str">
        <f>"Elevation-area curve"</f>
        <v>Elevation-area curve</v>
      </c>
      <c r="N10" s="2"/>
      <c r="O10" s="2"/>
      <c r="P10" s="2"/>
    </row>
    <row r="11" spans="1:16" x14ac:dyDescent="0.25">
      <c r="A11" s="12">
        <v>166.5</v>
      </c>
      <c r="B11" s="13">
        <v>0.1046</v>
      </c>
      <c r="C11" s="14">
        <f t="shared" si="0"/>
        <v>104600</v>
      </c>
      <c r="D11" s="15">
        <f t="shared" si="3"/>
        <v>4.6561604708339442E-2</v>
      </c>
      <c r="E11" s="16">
        <f t="shared" si="4"/>
        <v>0.12908050408634211</v>
      </c>
      <c r="F11" s="17">
        <v>0.1318</v>
      </c>
      <c r="G11" s="18">
        <f t="shared" si="1"/>
        <v>-17.5</v>
      </c>
      <c r="H11" s="18">
        <f t="shared" si="2"/>
        <v>-22.5</v>
      </c>
      <c r="I11" s="2"/>
      <c r="J11" s="20" t="s">
        <v>50</v>
      </c>
      <c r="K11" s="19">
        <f>Dams!D10</f>
        <v>15</v>
      </c>
      <c r="L11" s="2"/>
      <c r="M11" s="2"/>
      <c r="N11" s="2"/>
      <c r="O11" s="2"/>
      <c r="P11" s="2"/>
    </row>
    <row r="12" spans="1:16" x14ac:dyDescent="0.25">
      <c r="A12" s="12">
        <v>167</v>
      </c>
      <c r="B12" s="13">
        <v>0.1265</v>
      </c>
      <c r="C12" s="14">
        <f t="shared" si="0"/>
        <v>126500</v>
      </c>
      <c r="D12" s="15">
        <f t="shared" si="3"/>
        <v>5.7688332681329495E-2</v>
      </c>
      <c r="E12" s="16">
        <f t="shared" si="4"/>
        <v>0.18676883676767161</v>
      </c>
      <c r="F12" s="17">
        <v>0.19040000000000001</v>
      </c>
      <c r="G12" s="18">
        <f t="shared" si="1"/>
        <v>-17</v>
      </c>
      <c r="H12" s="18">
        <f t="shared" si="2"/>
        <v>-22</v>
      </c>
      <c r="I12" s="2"/>
      <c r="J12" s="20" t="s">
        <v>51</v>
      </c>
      <c r="K12" s="22">
        <f>K10/K11-1</f>
        <v>-3.1788620147050195E-2</v>
      </c>
      <c r="L12" s="2"/>
      <c r="M12" s="2"/>
      <c r="N12" s="2"/>
      <c r="O12" s="2"/>
      <c r="P12" s="2"/>
    </row>
    <row r="13" spans="1:16" x14ac:dyDescent="0.25">
      <c r="A13" s="12">
        <v>167.5</v>
      </c>
      <c r="B13" s="13">
        <v>0.14860000000000001</v>
      </c>
      <c r="C13" s="14">
        <f t="shared" si="0"/>
        <v>148600</v>
      </c>
      <c r="D13" s="15">
        <f t="shared" si="3"/>
        <v>6.8700905647017321E-2</v>
      </c>
      <c r="E13" s="16">
        <f t="shared" si="4"/>
        <v>0.25546974241468895</v>
      </c>
      <c r="F13" s="17">
        <v>0.26</v>
      </c>
      <c r="G13" s="18">
        <f t="shared" si="1"/>
        <v>-16.5</v>
      </c>
      <c r="H13" s="18">
        <f t="shared" si="2"/>
        <v>-21.5</v>
      </c>
      <c r="I13" s="2"/>
      <c r="J13" s="20" t="s">
        <v>14</v>
      </c>
      <c r="K13" s="19">
        <f>INDEX(B4:B56,MATCH(K6,A4:A56,0))</f>
        <v>2.2069000000000001</v>
      </c>
      <c r="L13" s="2"/>
      <c r="M13" s="2"/>
      <c r="N13" s="2"/>
      <c r="O13" s="2"/>
      <c r="P13" s="2"/>
    </row>
    <row r="14" spans="1:16" x14ac:dyDescent="0.25">
      <c r="A14" s="12">
        <v>168</v>
      </c>
      <c r="B14" s="13">
        <v>0.1724</v>
      </c>
      <c r="C14" s="14">
        <f t="shared" si="0"/>
        <v>172400</v>
      </c>
      <c r="D14" s="15">
        <f t="shared" si="3"/>
        <v>8.0176373233423026E-2</v>
      </c>
      <c r="E14" s="16">
        <f t="shared" si="4"/>
        <v>0.33564611564811198</v>
      </c>
      <c r="F14" s="17">
        <v>0.34089999999999998</v>
      </c>
      <c r="G14" s="18">
        <f t="shared" si="1"/>
        <v>-16</v>
      </c>
      <c r="H14" s="18">
        <f t="shared" si="2"/>
        <v>-21</v>
      </c>
      <c r="I14" s="2"/>
      <c r="J14" s="20" t="s">
        <v>15</v>
      </c>
      <c r="K14" s="19">
        <f>INDEX(E4:E56,MATCH(K6,A4:A56,0))</f>
        <v>24.341194805757446</v>
      </c>
      <c r="L14" s="2"/>
      <c r="M14" s="2"/>
      <c r="N14" s="2"/>
      <c r="O14" s="2"/>
      <c r="P14" s="2"/>
    </row>
    <row r="15" spans="1:16" x14ac:dyDescent="0.25">
      <c r="A15" s="12">
        <v>168.5</v>
      </c>
      <c r="B15" s="13">
        <v>0.1961</v>
      </c>
      <c r="C15" s="14">
        <f t="shared" si="0"/>
        <v>196100</v>
      </c>
      <c r="D15" s="15">
        <f t="shared" si="3"/>
        <v>9.2061423332548534E-2</v>
      </c>
      <c r="E15" s="16">
        <f t="shared" si="4"/>
        <v>0.4277075389806605</v>
      </c>
      <c r="F15" s="17">
        <v>0.43330000000000002</v>
      </c>
      <c r="G15" s="18">
        <f t="shared" si="1"/>
        <v>-15.5</v>
      </c>
      <c r="H15" s="18">
        <f t="shared" si="2"/>
        <v>-20.5</v>
      </c>
      <c r="I15" s="2"/>
      <c r="J15" s="20" t="s">
        <v>52</v>
      </c>
      <c r="K15" s="19">
        <f>MAX(E4:E56)</f>
        <v>24.341194805757446</v>
      </c>
      <c r="L15" s="2"/>
      <c r="M15" s="2"/>
      <c r="N15" s="2"/>
      <c r="O15" s="2"/>
      <c r="P15" s="2"/>
    </row>
    <row r="16" spans="1:16" x14ac:dyDescent="0.25">
      <c r="A16" s="12">
        <v>169</v>
      </c>
      <c r="B16" s="13">
        <v>0.22689999999999999</v>
      </c>
      <c r="C16" s="14">
        <f t="shared" si="0"/>
        <v>226900</v>
      </c>
      <c r="D16" s="15">
        <f t="shared" si="3"/>
        <v>0.10565643216002188</v>
      </c>
      <c r="E16" s="16">
        <f t="shared" si="4"/>
        <v>0.53336397114068235</v>
      </c>
      <c r="F16" s="17">
        <v>0.53949999999999998</v>
      </c>
      <c r="G16" s="18">
        <f t="shared" si="1"/>
        <v>-15</v>
      </c>
      <c r="H16" s="18">
        <f t="shared" si="2"/>
        <v>-20</v>
      </c>
      <c r="I16" s="2"/>
      <c r="J16" s="20" t="s">
        <v>53</v>
      </c>
      <c r="K16" s="19">
        <f>MAX(B4:B56)</f>
        <v>2.2069000000000001</v>
      </c>
      <c r="L16" s="2"/>
      <c r="M16" s="2"/>
      <c r="N16" s="2"/>
      <c r="O16" s="2"/>
      <c r="P16" s="2"/>
    </row>
    <row r="17" spans="1:16" x14ac:dyDescent="0.25">
      <c r="A17" s="12">
        <v>169.5</v>
      </c>
      <c r="B17" s="13">
        <v>0.2646</v>
      </c>
      <c r="C17" s="14">
        <f t="shared" si="0"/>
        <v>264600</v>
      </c>
      <c r="D17" s="15">
        <f t="shared" si="3"/>
        <v>0.12275433310342576</v>
      </c>
      <c r="E17" s="16">
        <f t="shared" si="4"/>
        <v>0.65611830424410811</v>
      </c>
      <c r="F17" s="17">
        <v>0.66279999999999994</v>
      </c>
      <c r="G17" s="18">
        <f t="shared" si="1"/>
        <v>-14.5</v>
      </c>
      <c r="H17" s="18">
        <f t="shared" si="2"/>
        <v>-19.5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2">
        <v>170</v>
      </c>
      <c r="B18" s="13">
        <v>0.3044</v>
      </c>
      <c r="C18" s="14">
        <f t="shared" si="0"/>
        <v>304400</v>
      </c>
      <c r="D18" s="15">
        <f t="shared" si="3"/>
        <v>0.14213386187160656</v>
      </c>
      <c r="E18" s="16">
        <f t="shared" si="4"/>
        <v>0.7982521661157147</v>
      </c>
      <c r="F18" s="17">
        <v>0.80630000000000002</v>
      </c>
      <c r="G18" s="18">
        <f t="shared" si="1"/>
        <v>-14</v>
      </c>
      <c r="H18" s="18">
        <f t="shared" si="2"/>
        <v>-19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2">
        <v>170.5</v>
      </c>
      <c r="B19" s="13">
        <v>0.34539999999999998</v>
      </c>
      <c r="C19" s="14">
        <f t="shared" si="0"/>
        <v>345400</v>
      </c>
      <c r="D19" s="15">
        <f t="shared" si="3"/>
        <v>0.16234210292807716</v>
      </c>
      <c r="E19" s="16">
        <f t="shared" si="4"/>
        <v>0.96059426904379186</v>
      </c>
      <c r="F19" s="17">
        <v>0.96870000000000001</v>
      </c>
      <c r="G19" s="18">
        <f t="shared" si="1"/>
        <v>-13.5</v>
      </c>
      <c r="H19" s="18">
        <f t="shared" si="2"/>
        <v>-18.5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2">
        <v>171</v>
      </c>
      <c r="B20" s="13">
        <v>0.38919999999999999</v>
      </c>
      <c r="C20" s="14">
        <f t="shared" si="0"/>
        <v>389200</v>
      </c>
      <c r="D20" s="15">
        <f t="shared" si="3"/>
        <v>0.18354108879675857</v>
      </c>
      <c r="E20" s="16">
        <f t="shared" si="4"/>
        <v>1.1441353578405504</v>
      </c>
      <c r="F20" s="17">
        <v>1.1529</v>
      </c>
      <c r="G20" s="18">
        <f t="shared" si="1"/>
        <v>-13</v>
      </c>
      <c r="H20" s="18">
        <f t="shared" si="2"/>
        <v>-18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2">
        <v>171.5</v>
      </c>
      <c r="B21" s="13">
        <v>0.43340000000000001</v>
      </c>
      <c r="C21" s="14">
        <f t="shared" si="0"/>
        <v>433400</v>
      </c>
      <c r="D21" s="15">
        <f t="shared" si="3"/>
        <v>0.2055509719109638</v>
      </c>
      <c r="E21" s="16">
        <f t="shared" si="4"/>
        <v>1.3496863297515143</v>
      </c>
      <c r="F21" s="17">
        <v>1.3593999999999999</v>
      </c>
      <c r="G21" s="18">
        <f t="shared" si="1"/>
        <v>-12.5</v>
      </c>
      <c r="H21" s="18">
        <f t="shared" si="2"/>
        <v>-17.5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2">
        <v>172</v>
      </c>
      <c r="B22" s="13">
        <v>0.47670000000000001</v>
      </c>
      <c r="C22" s="14">
        <f t="shared" si="0"/>
        <v>476700</v>
      </c>
      <c r="D22" s="15">
        <f t="shared" si="3"/>
        <v>0.22743911419085822</v>
      </c>
      <c r="E22" s="16">
        <f t="shared" si="4"/>
        <v>1.5771254439423725</v>
      </c>
      <c r="F22" s="17">
        <v>1.5871</v>
      </c>
      <c r="G22" s="18">
        <f t="shared" si="1"/>
        <v>-12</v>
      </c>
      <c r="H22" s="18">
        <f t="shared" si="2"/>
        <v>-17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2">
        <v>172.5</v>
      </c>
      <c r="B23" s="13">
        <v>0.52690000000000003</v>
      </c>
      <c r="C23" s="14">
        <f t="shared" si="0"/>
        <v>526900</v>
      </c>
      <c r="D23" s="15">
        <f t="shared" si="3"/>
        <v>0.25079530945862555</v>
      </c>
      <c r="E23" s="16">
        <f t="shared" si="4"/>
        <v>1.827920753400998</v>
      </c>
      <c r="F23" s="17">
        <v>1.8385</v>
      </c>
      <c r="G23" s="18">
        <f t="shared" si="1"/>
        <v>-11.5</v>
      </c>
      <c r="H23" s="18">
        <f t="shared" si="2"/>
        <v>-16.5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2">
        <v>173</v>
      </c>
      <c r="B24" s="13">
        <v>0.58030000000000004</v>
      </c>
      <c r="C24" s="14">
        <f t="shared" si="0"/>
        <v>580300</v>
      </c>
      <c r="D24" s="15">
        <f t="shared" si="3"/>
        <v>0.27669262628731484</v>
      </c>
      <c r="E24" s="16">
        <f t="shared" si="4"/>
        <v>2.1046133796883129</v>
      </c>
      <c r="F24" s="17">
        <v>2.1162000000000001</v>
      </c>
      <c r="G24" s="18">
        <f t="shared" si="1"/>
        <v>-11</v>
      </c>
      <c r="H24" s="18">
        <f t="shared" si="2"/>
        <v>-16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2">
        <v>173.5</v>
      </c>
      <c r="B25" s="13">
        <v>0.63280000000000003</v>
      </c>
      <c r="C25" s="14">
        <f t="shared" si="0"/>
        <v>632800</v>
      </c>
      <c r="D25" s="15">
        <f t="shared" si="3"/>
        <v>0.3031802859826308</v>
      </c>
      <c r="E25" s="16">
        <f t="shared" si="4"/>
        <v>2.4077936656709436</v>
      </c>
      <c r="F25" s="17">
        <v>2.4209000000000001</v>
      </c>
      <c r="G25" s="18">
        <f t="shared" si="1"/>
        <v>-10.5</v>
      </c>
      <c r="H25" s="18">
        <f t="shared" si="2"/>
        <v>-15.5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2">
        <v>174</v>
      </c>
      <c r="B26" s="13">
        <v>0.68379999999999996</v>
      </c>
      <c r="C26" s="14">
        <f t="shared" si="0"/>
        <v>683800</v>
      </c>
      <c r="D26" s="15">
        <f t="shared" si="3"/>
        <v>0.329067654804506</v>
      </c>
      <c r="E26" s="16">
        <f t="shared" si="4"/>
        <v>2.7368613204754495</v>
      </c>
      <c r="F26" s="17">
        <v>2.7511999999999999</v>
      </c>
      <c r="G26" s="18">
        <f t="shared" si="1"/>
        <v>-10</v>
      </c>
      <c r="H26" s="18">
        <f t="shared" si="2"/>
        <v>-15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12">
        <v>174.5</v>
      </c>
      <c r="B27" s="13">
        <v>0.73029999999999995</v>
      </c>
      <c r="C27" s="14">
        <f t="shared" si="0"/>
        <v>730300</v>
      </c>
      <c r="D27" s="15">
        <f t="shared" si="3"/>
        <v>0.35346127175041459</v>
      </c>
      <c r="E27" s="16">
        <f t="shared" si="4"/>
        <v>3.0903225922258639</v>
      </c>
      <c r="F27" s="17">
        <v>3.1053999999999999</v>
      </c>
      <c r="G27" s="18">
        <f t="shared" si="1"/>
        <v>-9.5</v>
      </c>
      <c r="H27" s="18">
        <f t="shared" si="2"/>
        <v>-14.5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12">
        <v>175</v>
      </c>
      <c r="B28" s="13">
        <v>0.77559999999999996</v>
      </c>
      <c r="C28" s="14">
        <f t="shared" si="0"/>
        <v>775600</v>
      </c>
      <c r="D28" s="15">
        <f t="shared" si="3"/>
        <v>0.37641820798060904</v>
      </c>
      <c r="E28" s="16">
        <f t="shared" si="4"/>
        <v>3.4667408002064728</v>
      </c>
      <c r="F28" s="17">
        <v>3.4822000000000002</v>
      </c>
      <c r="G28" s="18">
        <f t="shared" si="1"/>
        <v>-9</v>
      </c>
      <c r="H28" s="18">
        <f t="shared" si="2"/>
        <v>-14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2">
        <v>175.5</v>
      </c>
      <c r="B29" s="13">
        <v>0.81979999999999997</v>
      </c>
      <c r="C29" s="14">
        <f t="shared" si="0"/>
        <v>819800</v>
      </c>
      <c r="D29" s="15">
        <f t="shared" si="3"/>
        <v>0.39879896747362475</v>
      </c>
      <c r="E29" s="16">
        <f t="shared" si="4"/>
        <v>3.8655397676800973</v>
      </c>
      <c r="F29" s="17">
        <v>3.8820999999999999</v>
      </c>
      <c r="G29" s="18">
        <f t="shared" si="1"/>
        <v>-8.5</v>
      </c>
      <c r="H29" s="18">
        <f t="shared" si="2"/>
        <v>-13.5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12">
        <v>176</v>
      </c>
      <c r="B30" s="13">
        <v>0.86129999999999995</v>
      </c>
      <c r="C30" s="14">
        <f t="shared" si="0"/>
        <v>861300</v>
      </c>
      <c r="D30" s="15">
        <f t="shared" si="3"/>
        <v>0.42023230691043595</v>
      </c>
      <c r="E30" s="16">
        <f t="shared" si="4"/>
        <v>4.2857720745905334</v>
      </c>
      <c r="F30" s="17">
        <v>4.3029000000000002</v>
      </c>
      <c r="G30" s="18">
        <f t="shared" si="1"/>
        <v>-8</v>
      </c>
      <c r="H30" s="18">
        <f t="shared" si="2"/>
        <v>-13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2">
        <v>176.5</v>
      </c>
      <c r="B31" s="13">
        <v>0.90549999999999997</v>
      </c>
      <c r="C31" s="14">
        <f t="shared" si="0"/>
        <v>905500</v>
      </c>
      <c r="D31" s="15">
        <f t="shared" si="3"/>
        <v>0.44165391985117308</v>
      </c>
      <c r="E31" s="16">
        <f t="shared" si="4"/>
        <v>4.7274259944417061</v>
      </c>
      <c r="F31" s="17">
        <v>4.7449000000000003</v>
      </c>
      <c r="G31" s="18">
        <f t="shared" si="1"/>
        <v>-7.5</v>
      </c>
      <c r="H31" s="18">
        <f t="shared" si="2"/>
        <v>-12.5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12">
        <v>177</v>
      </c>
      <c r="B32" s="13">
        <v>0.94750000000000001</v>
      </c>
      <c r="C32" s="14">
        <f t="shared" si="0"/>
        <v>947500</v>
      </c>
      <c r="D32" s="15">
        <f t="shared" si="3"/>
        <v>0.46321032949676583</v>
      </c>
      <c r="E32" s="16">
        <f t="shared" si="4"/>
        <v>5.1906363239384721</v>
      </c>
      <c r="F32" s="17">
        <v>5.2084999999999999</v>
      </c>
      <c r="G32" s="18">
        <f t="shared" si="1"/>
        <v>-7</v>
      </c>
      <c r="H32" s="18">
        <f t="shared" si="2"/>
        <v>-12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12">
        <v>177.5</v>
      </c>
      <c r="B33" s="13">
        <v>0.99529999999999996</v>
      </c>
      <c r="C33" s="14">
        <f t="shared" si="0"/>
        <v>995300</v>
      </c>
      <c r="D33" s="15">
        <f t="shared" si="3"/>
        <v>0.48565099028290043</v>
      </c>
      <c r="E33" s="16">
        <f t="shared" si="4"/>
        <v>5.6762873142213728</v>
      </c>
      <c r="F33" s="17">
        <v>5.6946000000000003</v>
      </c>
      <c r="G33" s="18">
        <f t="shared" si="1"/>
        <v>-6.5</v>
      </c>
      <c r="H33" s="18">
        <f t="shared" si="2"/>
        <v>-11.5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2">
        <v>178</v>
      </c>
      <c r="B34" s="13">
        <v>1.0444</v>
      </c>
      <c r="C34" s="14">
        <f t="shared" si="0"/>
        <v>1044400</v>
      </c>
      <c r="D34" s="15">
        <f t="shared" si="3"/>
        <v>0.50987574522093138</v>
      </c>
      <c r="E34" s="16">
        <f t="shared" si="4"/>
        <v>6.186163059442304</v>
      </c>
      <c r="F34" s="17">
        <v>6.2049000000000003</v>
      </c>
      <c r="G34" s="18">
        <f t="shared" si="1"/>
        <v>-6</v>
      </c>
      <c r="H34" s="18">
        <f t="shared" si="2"/>
        <v>-11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2">
        <v>178.5</v>
      </c>
      <c r="B35" s="13">
        <v>1.1002000000000001</v>
      </c>
      <c r="C35" s="14">
        <f t="shared" si="0"/>
        <v>1100200</v>
      </c>
      <c r="D35" s="15">
        <f t="shared" si="3"/>
        <v>0.53608949595988376</v>
      </c>
      <c r="E35" s="16">
        <f t="shared" si="4"/>
        <v>6.7222525554021875</v>
      </c>
      <c r="F35" s="17">
        <v>6.7408999999999999</v>
      </c>
      <c r="G35" s="18">
        <f t="shared" si="1"/>
        <v>-5.5</v>
      </c>
      <c r="H35" s="18">
        <f t="shared" si="2"/>
        <v>-10.5</v>
      </c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2">
        <v>179</v>
      </c>
      <c r="B36" s="13">
        <v>1.1595</v>
      </c>
      <c r="C36" s="14">
        <f t="shared" ref="C36:C67" si="5">B36*1000000</f>
        <v>1159500</v>
      </c>
      <c r="D36" s="15">
        <f t="shared" si="3"/>
        <v>0.56486014818284902</v>
      </c>
      <c r="E36" s="16">
        <f t="shared" si="4"/>
        <v>7.287112703585036</v>
      </c>
      <c r="F36" s="17">
        <v>7.3067000000000002</v>
      </c>
      <c r="G36" s="18">
        <f t="shared" ref="G36:G56" si="6">A36-$K$5</f>
        <v>-5</v>
      </c>
      <c r="H36" s="18">
        <f t="shared" ref="H36:H56" si="7">A36-$K$6</f>
        <v>-10</v>
      </c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12">
        <v>179.5</v>
      </c>
      <c r="B37" s="13">
        <v>1.2181999999999999</v>
      </c>
      <c r="C37" s="14">
        <f t="shared" si="5"/>
        <v>1218200</v>
      </c>
      <c r="D37" s="15">
        <f t="shared" ref="D37:D68" si="8">(A37-A36)/3*(C36+C37+SQRT(C36*C37))/1000000</f>
        <v>0.59436460873983565</v>
      </c>
      <c r="E37" s="16">
        <f t="shared" ref="E37:E68" si="9">E36+D37</f>
        <v>7.881477312324872</v>
      </c>
      <c r="F37" s="17">
        <v>7.9019000000000004</v>
      </c>
      <c r="G37" s="18">
        <f t="shared" si="6"/>
        <v>-4.5</v>
      </c>
      <c r="H37" s="18">
        <f t="shared" si="7"/>
        <v>-9.5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12">
        <v>180</v>
      </c>
      <c r="B38" s="13">
        <v>1.2758</v>
      </c>
      <c r="C38" s="14">
        <f t="shared" si="5"/>
        <v>1275800</v>
      </c>
      <c r="D38" s="15">
        <f t="shared" si="8"/>
        <v>0.62344456357691169</v>
      </c>
      <c r="E38" s="16">
        <f t="shared" si="9"/>
        <v>8.5049218759017844</v>
      </c>
      <c r="F38" s="17">
        <v>8.5263000000000009</v>
      </c>
      <c r="G38" s="18">
        <f t="shared" si="6"/>
        <v>-4</v>
      </c>
      <c r="H38" s="18">
        <f t="shared" si="7"/>
        <v>-9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2">
        <v>180.5</v>
      </c>
      <c r="B39" s="13">
        <v>1.3323</v>
      </c>
      <c r="C39" s="14">
        <f t="shared" si="5"/>
        <v>1332300</v>
      </c>
      <c r="D39" s="15">
        <f t="shared" si="8"/>
        <v>0.65197399504401676</v>
      </c>
      <c r="E39" s="16">
        <f t="shared" si="9"/>
        <v>9.1568958709458013</v>
      </c>
      <c r="F39" s="17">
        <v>9.1788000000000007</v>
      </c>
      <c r="G39" s="18">
        <f t="shared" si="6"/>
        <v>-3.5</v>
      </c>
      <c r="H39" s="18">
        <f t="shared" si="7"/>
        <v>-8.5</v>
      </c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12">
        <v>181</v>
      </c>
      <c r="B40" s="13">
        <v>1.3922000000000001</v>
      </c>
      <c r="C40" s="14">
        <f t="shared" si="5"/>
        <v>1392200</v>
      </c>
      <c r="D40" s="15">
        <f t="shared" si="8"/>
        <v>0.68107012076085449</v>
      </c>
      <c r="E40" s="16">
        <f t="shared" si="9"/>
        <v>9.8379659917066551</v>
      </c>
      <c r="F40" s="17">
        <v>9.8613999999999997</v>
      </c>
      <c r="G40" s="18">
        <f t="shared" si="6"/>
        <v>-3</v>
      </c>
      <c r="H40" s="18">
        <f t="shared" si="7"/>
        <v>-8</v>
      </c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12">
        <v>181.5</v>
      </c>
      <c r="B41" s="13">
        <v>1.4483999999999999</v>
      </c>
      <c r="C41" s="14">
        <f t="shared" si="5"/>
        <v>1448400</v>
      </c>
      <c r="D41" s="15">
        <f t="shared" si="8"/>
        <v>0.7101036666382633</v>
      </c>
      <c r="E41" s="16">
        <f t="shared" si="9"/>
        <v>10.548069658344918</v>
      </c>
      <c r="F41" s="17">
        <v>10.5724</v>
      </c>
      <c r="G41" s="18">
        <f t="shared" si="6"/>
        <v>-2.5</v>
      </c>
      <c r="H41" s="18">
        <f t="shared" si="7"/>
        <v>-7.5</v>
      </c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12">
        <v>182</v>
      </c>
      <c r="B42" s="13">
        <v>1.5107999999999999</v>
      </c>
      <c r="C42" s="14">
        <f t="shared" si="5"/>
        <v>1510800</v>
      </c>
      <c r="D42" s="15">
        <f t="shared" si="8"/>
        <v>0.73974516827551084</v>
      </c>
      <c r="E42" s="16">
        <f t="shared" si="9"/>
        <v>11.287814826620428</v>
      </c>
      <c r="F42" s="17">
        <v>11.3131</v>
      </c>
      <c r="G42" s="18">
        <f t="shared" si="6"/>
        <v>-2</v>
      </c>
      <c r="H42" s="18">
        <f t="shared" si="7"/>
        <v>-7</v>
      </c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12">
        <v>182.5</v>
      </c>
      <c r="B43" s="13">
        <v>1.5651999999999999</v>
      </c>
      <c r="C43" s="14">
        <f t="shared" si="5"/>
        <v>1565200</v>
      </c>
      <c r="D43" s="15">
        <f t="shared" si="8"/>
        <v>0.7689599101723561</v>
      </c>
      <c r="E43" s="16">
        <f t="shared" si="9"/>
        <v>12.056774736792784</v>
      </c>
      <c r="F43" s="17">
        <v>12.083</v>
      </c>
      <c r="G43" s="18">
        <f t="shared" si="6"/>
        <v>-1.5</v>
      </c>
      <c r="H43" s="18">
        <f t="shared" si="7"/>
        <v>-6.5</v>
      </c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12">
        <v>183</v>
      </c>
      <c r="B44" s="13">
        <v>1.6188</v>
      </c>
      <c r="C44" s="14">
        <f t="shared" si="5"/>
        <v>1618800</v>
      </c>
      <c r="D44" s="15">
        <f t="shared" si="8"/>
        <v>0.79596240102111615</v>
      </c>
      <c r="E44" s="16">
        <f t="shared" si="9"/>
        <v>12.8527371378139</v>
      </c>
      <c r="F44" s="17">
        <v>12.88</v>
      </c>
      <c r="G44" s="18">
        <f t="shared" si="6"/>
        <v>-1</v>
      </c>
      <c r="H44" s="18">
        <f t="shared" si="7"/>
        <v>-6</v>
      </c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12">
        <v>183.5</v>
      </c>
      <c r="B45" s="13">
        <v>1.6706000000000001</v>
      </c>
      <c r="C45" s="14">
        <f t="shared" si="5"/>
        <v>1670600</v>
      </c>
      <c r="D45" s="15">
        <f t="shared" si="8"/>
        <v>0.82231600942456917</v>
      </c>
      <c r="E45" s="16">
        <f t="shared" si="9"/>
        <v>13.675053147238469</v>
      </c>
      <c r="F45" s="17">
        <v>13.7034</v>
      </c>
      <c r="G45" s="18">
        <f t="shared" si="6"/>
        <v>-0.5</v>
      </c>
      <c r="H45" s="18">
        <f t="shared" si="7"/>
        <v>-5.5</v>
      </c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12">
        <v>184</v>
      </c>
      <c r="B46" s="13">
        <v>1.722</v>
      </c>
      <c r="C46" s="14">
        <f t="shared" si="5"/>
        <v>1722000</v>
      </c>
      <c r="D46" s="15">
        <f t="shared" si="8"/>
        <v>0.84811755055577864</v>
      </c>
      <c r="E46" s="16">
        <f t="shared" si="9"/>
        <v>14.523170697794248</v>
      </c>
      <c r="F46" s="17">
        <v>14.552099999999999</v>
      </c>
      <c r="G46" s="18">
        <f t="shared" si="6"/>
        <v>0</v>
      </c>
      <c r="H46" s="18">
        <f t="shared" si="7"/>
        <v>-5</v>
      </c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12">
        <v>184.5</v>
      </c>
      <c r="B47" s="13">
        <v>1.7706</v>
      </c>
      <c r="C47" s="14">
        <f t="shared" si="5"/>
        <v>1770600</v>
      </c>
      <c r="D47" s="15">
        <f t="shared" si="8"/>
        <v>0.87312182048774278</v>
      </c>
      <c r="E47" s="16">
        <f t="shared" si="9"/>
        <v>15.396292518281991</v>
      </c>
      <c r="F47" s="17">
        <v>15.425800000000001</v>
      </c>
      <c r="G47" s="18">
        <f t="shared" si="6"/>
        <v>0.5</v>
      </c>
      <c r="H47" s="18">
        <f t="shared" si="7"/>
        <v>-4.5</v>
      </c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12">
        <v>185</v>
      </c>
      <c r="B48" s="13">
        <v>1.8179000000000001</v>
      </c>
      <c r="C48" s="14">
        <f t="shared" si="5"/>
        <v>1817900</v>
      </c>
      <c r="D48" s="15">
        <f t="shared" si="8"/>
        <v>0.8970990213275698</v>
      </c>
      <c r="E48" s="16">
        <f t="shared" si="9"/>
        <v>16.293391539609559</v>
      </c>
      <c r="F48" s="17">
        <v>16.323899999999998</v>
      </c>
      <c r="G48" s="18">
        <f t="shared" si="6"/>
        <v>1</v>
      </c>
      <c r="H48" s="18">
        <f t="shared" si="7"/>
        <v>-4</v>
      </c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12">
        <v>185.5</v>
      </c>
      <c r="B49" s="13">
        <v>1.8665</v>
      </c>
      <c r="C49" s="14">
        <f t="shared" si="5"/>
        <v>1866500</v>
      </c>
      <c r="D49" s="15">
        <f t="shared" si="8"/>
        <v>0.92107328756885143</v>
      </c>
      <c r="E49" s="16">
        <f t="shared" si="9"/>
        <v>17.214464827178411</v>
      </c>
      <c r="F49" s="17">
        <v>17.245799999999999</v>
      </c>
      <c r="G49" s="18">
        <f t="shared" si="6"/>
        <v>1.5</v>
      </c>
      <c r="H49" s="18">
        <f t="shared" si="7"/>
        <v>-3.5</v>
      </c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12">
        <v>186</v>
      </c>
      <c r="B50" s="13">
        <v>1.9133</v>
      </c>
      <c r="C50" s="14">
        <f t="shared" si="5"/>
        <v>1913300</v>
      </c>
      <c r="D50" s="15">
        <f t="shared" si="8"/>
        <v>0.94492585493996939</v>
      </c>
      <c r="E50" s="16">
        <f t="shared" si="9"/>
        <v>18.159390682118381</v>
      </c>
      <c r="F50" s="17">
        <v>18.191199999999998</v>
      </c>
      <c r="G50" s="18">
        <f t="shared" si="6"/>
        <v>2</v>
      </c>
      <c r="H50" s="18">
        <f t="shared" si="7"/>
        <v>-3</v>
      </c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12">
        <v>186.5</v>
      </c>
      <c r="B51" s="13">
        <v>1.9642999999999999</v>
      </c>
      <c r="C51" s="14">
        <f t="shared" si="5"/>
        <v>1964300</v>
      </c>
      <c r="D51" s="15">
        <f t="shared" si="8"/>
        <v>0.96937204980212466</v>
      </c>
      <c r="E51" s="16">
        <f t="shared" si="9"/>
        <v>19.128762731920506</v>
      </c>
      <c r="F51" s="17">
        <v>19.160799999999998</v>
      </c>
      <c r="G51" s="18">
        <f t="shared" si="6"/>
        <v>2.5</v>
      </c>
      <c r="H51" s="18">
        <f t="shared" si="7"/>
        <v>-2.5</v>
      </c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12">
        <v>187</v>
      </c>
      <c r="B52" s="13">
        <v>2.0101</v>
      </c>
      <c r="C52" s="14">
        <f t="shared" si="5"/>
        <v>2010100</v>
      </c>
      <c r="D52" s="15">
        <f t="shared" si="8"/>
        <v>0.99357800810977093</v>
      </c>
      <c r="E52" s="16">
        <f t="shared" si="9"/>
        <v>20.122340740030278</v>
      </c>
      <c r="F52" s="17">
        <v>20.154800000000002</v>
      </c>
      <c r="G52" s="18">
        <f t="shared" si="6"/>
        <v>3</v>
      </c>
      <c r="H52" s="18">
        <f t="shared" si="7"/>
        <v>-2</v>
      </c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12">
        <v>187.5</v>
      </c>
      <c r="B53" s="13">
        <v>2.0609999999999999</v>
      </c>
      <c r="C53" s="14">
        <f t="shared" si="5"/>
        <v>2061000</v>
      </c>
      <c r="D53" s="15">
        <f t="shared" si="8"/>
        <v>1.0177484826863317</v>
      </c>
      <c r="E53" s="16">
        <f t="shared" si="9"/>
        <v>21.140089222716611</v>
      </c>
      <c r="F53" s="17">
        <v>21.173999999999999</v>
      </c>
      <c r="G53" s="18">
        <f t="shared" si="6"/>
        <v>3.5</v>
      </c>
      <c r="H53" s="18">
        <f t="shared" si="7"/>
        <v>-1.5</v>
      </c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12">
        <v>188</v>
      </c>
      <c r="B54" s="13">
        <v>2.1084999999999998</v>
      </c>
      <c r="C54" s="14">
        <f t="shared" si="5"/>
        <v>2108500</v>
      </c>
      <c r="D54" s="15">
        <f t="shared" si="8"/>
        <v>1.0423524521004643</v>
      </c>
      <c r="E54" s="16">
        <f t="shared" si="9"/>
        <v>22.182441674817074</v>
      </c>
      <c r="F54" s="17">
        <v>22.217300000000002</v>
      </c>
      <c r="G54" s="18">
        <f t="shared" si="6"/>
        <v>4</v>
      </c>
      <c r="H54" s="18">
        <f t="shared" si="7"/>
        <v>-1</v>
      </c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12">
        <v>188.5</v>
      </c>
      <c r="B55" s="13">
        <v>2.1598999999999999</v>
      </c>
      <c r="C55" s="14">
        <f t="shared" si="5"/>
        <v>2159900</v>
      </c>
      <c r="D55" s="15">
        <f t="shared" si="8"/>
        <v>1.0670742091515149</v>
      </c>
      <c r="E55" s="16">
        <f t="shared" si="9"/>
        <v>23.249515883968588</v>
      </c>
      <c r="F55" s="17">
        <v>23.284600000000001</v>
      </c>
      <c r="G55" s="18">
        <f t="shared" si="6"/>
        <v>4.5</v>
      </c>
      <c r="H55" s="18">
        <f t="shared" si="7"/>
        <v>-0.5</v>
      </c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12">
        <v>189</v>
      </c>
      <c r="B56" s="13">
        <v>2.2069000000000001</v>
      </c>
      <c r="C56" s="14">
        <f t="shared" si="5"/>
        <v>2206900</v>
      </c>
      <c r="D56" s="15">
        <f t="shared" si="8"/>
        <v>1.0916789217888585</v>
      </c>
      <c r="E56" s="16">
        <f t="shared" si="9"/>
        <v>24.341194805757446</v>
      </c>
      <c r="F56" s="17">
        <v>24.377400000000002</v>
      </c>
      <c r="G56" s="18">
        <f t="shared" si="6"/>
        <v>5</v>
      </c>
      <c r="H56" s="18">
        <f t="shared" si="7"/>
        <v>0</v>
      </c>
      <c r="I56" s="2"/>
      <c r="J56" s="2"/>
      <c r="K56" s="2"/>
      <c r="L56" s="2"/>
      <c r="M56" s="2"/>
      <c r="N56" s="2"/>
      <c r="O56" s="2"/>
      <c r="P56" s="2"/>
    </row>
  </sheetData>
  <mergeCells count="1">
    <mergeCell ref="A2:H2"/>
  </mergeCells>
  <pageMargins left="0.75" right="0.75" top="1" bottom="1" header="0.5" footer="0.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54"/>
  <sheetViews>
    <sheetView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5" width="14" customWidth="1"/>
    <col min="6" max="6" width="16" customWidth="1"/>
    <col min="7" max="8" width="14" customWidth="1"/>
    <col min="10" max="10" width="27" customWidth="1"/>
    <col min="11" max="11" width="12" customWidth="1"/>
  </cols>
  <sheetData>
    <row r="1" spans="1:16" ht="15.75" x14ac:dyDescent="0.25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9.950000000000003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</row>
    <row r="3" spans="1:16" ht="42" customHeigh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2"/>
      <c r="J3" s="2"/>
      <c r="K3" s="2"/>
      <c r="L3" s="2"/>
      <c r="M3" s="11" t="s">
        <v>43</v>
      </c>
      <c r="N3" s="2"/>
      <c r="O3" s="2"/>
      <c r="P3" s="2"/>
    </row>
    <row r="4" spans="1:16" x14ac:dyDescent="0.25">
      <c r="A4" s="12">
        <v>102</v>
      </c>
      <c r="B4" s="13">
        <v>5.8999999999999999E-3</v>
      </c>
      <c r="C4" s="14">
        <f t="shared" ref="C4:C35" si="0">B4*1000000</f>
        <v>5900</v>
      </c>
      <c r="D4" s="15">
        <v>0</v>
      </c>
      <c r="E4" s="16">
        <v>0</v>
      </c>
      <c r="F4" s="17">
        <v>1.1999999999999999E-3</v>
      </c>
      <c r="G4" s="18">
        <f t="shared" ref="G4:G35" si="1">A4-$K$5</f>
        <v>-20</v>
      </c>
      <c r="H4" s="18">
        <f t="shared" ref="H4:H35" si="2">A4-$K$6</f>
        <v>-25</v>
      </c>
      <c r="I4" s="2"/>
      <c r="J4" s="4" t="s">
        <v>44</v>
      </c>
      <c r="K4" s="19" t="str">
        <f>"Sakhin 04"</f>
        <v>Sakhin 04</v>
      </c>
      <c r="L4" s="2"/>
      <c r="M4" s="11" t="s">
        <v>45</v>
      </c>
      <c r="N4" s="11" t="s">
        <v>46</v>
      </c>
      <c r="O4" s="11" t="s">
        <v>47</v>
      </c>
      <c r="P4" s="11" t="s">
        <v>48</v>
      </c>
    </row>
    <row r="5" spans="1:16" x14ac:dyDescent="0.25">
      <c r="A5" s="12">
        <v>102.5</v>
      </c>
      <c r="B5" s="13">
        <v>1.8200000000000001E-2</v>
      </c>
      <c r="C5" s="14">
        <f t="shared" si="0"/>
        <v>18200</v>
      </c>
      <c r="D5" s="15">
        <f t="shared" ref="D5:D36" si="3">(A5-A4)/3*(C4+C5+SQRT(C4*C5))/1000000</f>
        <v>5.7437386911571844E-3</v>
      </c>
      <c r="E5" s="16">
        <f t="shared" ref="E5:E36" si="4">E4+D5</f>
        <v>5.7437386911571844E-3</v>
      </c>
      <c r="F5" s="17">
        <v>7.1000000000000004E-3</v>
      </c>
      <c r="G5" s="18">
        <f t="shared" si="1"/>
        <v>-19.5</v>
      </c>
      <c r="H5" s="18">
        <f t="shared" si="2"/>
        <v>-24.5</v>
      </c>
      <c r="I5" s="2"/>
      <c r="J5" s="20" t="s">
        <v>3</v>
      </c>
      <c r="K5" s="21">
        <f>Dams!C11</f>
        <v>122</v>
      </c>
      <c r="L5" s="2"/>
      <c r="M5" s="2">
        <v>0</v>
      </c>
      <c r="N5" s="2">
        <f>K5</f>
        <v>122</v>
      </c>
      <c r="O5" s="2">
        <f>K6</f>
        <v>127</v>
      </c>
      <c r="P5" s="2">
        <v>0</v>
      </c>
    </row>
    <row r="6" spans="1:16" x14ac:dyDescent="0.25">
      <c r="A6" s="12">
        <v>103</v>
      </c>
      <c r="B6" s="13">
        <v>3.9100000000000003E-2</v>
      </c>
      <c r="C6" s="14">
        <f t="shared" si="0"/>
        <v>39100</v>
      </c>
      <c r="D6" s="15">
        <f t="shared" si="3"/>
        <v>1.3996034437813346E-2</v>
      </c>
      <c r="E6" s="16">
        <f t="shared" si="4"/>
        <v>1.9739773128970531E-2</v>
      </c>
      <c r="F6" s="17">
        <v>2.1499999999999998E-2</v>
      </c>
      <c r="G6" s="18">
        <f t="shared" si="1"/>
        <v>-19</v>
      </c>
      <c r="H6" s="18">
        <f t="shared" si="2"/>
        <v>-24</v>
      </c>
      <c r="I6" s="2"/>
      <c r="J6" s="20" t="s">
        <v>49</v>
      </c>
      <c r="K6" s="21">
        <f>Dams!B11</f>
        <v>127</v>
      </c>
      <c r="L6" s="2"/>
      <c r="M6" s="2">
        <f>K15*1.02</f>
        <v>40.861726073689546</v>
      </c>
      <c r="N6" s="2">
        <f>K5</f>
        <v>122</v>
      </c>
      <c r="O6" s="2">
        <f>K6</f>
        <v>127</v>
      </c>
      <c r="P6" s="2">
        <f>K16*1.02</f>
        <v>4.2070920000000003</v>
      </c>
    </row>
    <row r="7" spans="1:16" x14ac:dyDescent="0.25">
      <c r="A7" s="12">
        <v>103.5</v>
      </c>
      <c r="B7" s="13">
        <v>6.7000000000000004E-2</v>
      </c>
      <c r="C7" s="14">
        <f t="shared" si="0"/>
        <v>67000</v>
      </c>
      <c r="D7" s="15">
        <f t="shared" si="3"/>
        <v>2.6213834165315263E-2</v>
      </c>
      <c r="E7" s="16">
        <f t="shared" si="4"/>
        <v>4.5953607294285798E-2</v>
      </c>
      <c r="F7" s="17">
        <v>4.8099999999999997E-2</v>
      </c>
      <c r="G7" s="18">
        <f t="shared" si="1"/>
        <v>-18.5</v>
      </c>
      <c r="H7" s="18">
        <f t="shared" si="2"/>
        <v>-23.5</v>
      </c>
      <c r="I7" s="2"/>
      <c r="J7" s="20" t="s">
        <v>9</v>
      </c>
      <c r="K7" s="21">
        <f>A4</f>
        <v>102</v>
      </c>
      <c r="L7" s="2"/>
      <c r="M7" s="11" t="str">
        <f>"FSL "&amp;TEXT(K5,"0.0")&amp;" m"</f>
        <v>FSL 122.0 m</v>
      </c>
      <c r="N7" s="2"/>
      <c r="O7" s="2"/>
      <c r="P7" s="2"/>
    </row>
    <row r="8" spans="1:16" x14ac:dyDescent="0.25">
      <c r="A8" s="12">
        <v>104</v>
      </c>
      <c r="B8" s="13">
        <v>0.10009999999999999</v>
      </c>
      <c r="C8" s="14">
        <f t="shared" si="0"/>
        <v>100100</v>
      </c>
      <c r="D8" s="15">
        <f t="shared" si="3"/>
        <v>4.1499074042667589E-2</v>
      </c>
      <c r="E8" s="16">
        <f t="shared" si="4"/>
        <v>8.7452681336953386E-2</v>
      </c>
      <c r="F8" s="17">
        <v>9.0200000000000002E-2</v>
      </c>
      <c r="G8" s="18">
        <f t="shared" si="1"/>
        <v>-18</v>
      </c>
      <c r="H8" s="18">
        <f t="shared" si="2"/>
        <v>-23</v>
      </c>
      <c r="I8" s="2"/>
      <c r="J8" s="20" t="s">
        <v>10</v>
      </c>
      <c r="K8" s="21">
        <f>K6-K7</f>
        <v>25</v>
      </c>
      <c r="L8" s="2"/>
      <c r="M8" s="11" t="str">
        <f>"Crest "&amp;TEXT(K6,"0.0")&amp;" m"</f>
        <v>Crest 127.0 m</v>
      </c>
      <c r="N8" s="2"/>
      <c r="O8" s="2"/>
      <c r="P8" s="2"/>
    </row>
    <row r="9" spans="1:16" x14ac:dyDescent="0.25">
      <c r="A9" s="12">
        <v>104.5</v>
      </c>
      <c r="B9" s="13">
        <v>0.13700000000000001</v>
      </c>
      <c r="C9" s="14">
        <f t="shared" si="0"/>
        <v>137000</v>
      </c>
      <c r="D9" s="15">
        <f t="shared" si="3"/>
        <v>5.9034251330530967E-2</v>
      </c>
      <c r="E9" s="16">
        <f t="shared" si="4"/>
        <v>0.14648693266748436</v>
      </c>
      <c r="F9" s="17">
        <v>0.14940000000000001</v>
      </c>
      <c r="G9" s="18">
        <f t="shared" si="1"/>
        <v>-17.5</v>
      </c>
      <c r="H9" s="18">
        <f t="shared" si="2"/>
        <v>-22.5</v>
      </c>
      <c r="I9" s="2"/>
      <c r="J9" s="20" t="s">
        <v>11</v>
      </c>
      <c r="K9" s="19">
        <f>INDEX(B4:B54,MATCH(K5,A4:A54,0))</f>
        <v>2.8917000000000002</v>
      </c>
      <c r="L9" s="2"/>
      <c r="M9" s="11" t="str">
        <f>"Elevation-volume curve"</f>
        <v>Elevation-volume curve</v>
      </c>
      <c r="N9" s="2"/>
      <c r="O9" s="2"/>
      <c r="P9" s="2"/>
    </row>
    <row r="10" spans="1:16" x14ac:dyDescent="0.25">
      <c r="A10" s="12">
        <v>105</v>
      </c>
      <c r="B10" s="13">
        <v>0.18390000000000001</v>
      </c>
      <c r="C10" s="14">
        <f t="shared" si="0"/>
        <v>183900</v>
      </c>
      <c r="D10" s="15">
        <f t="shared" si="3"/>
        <v>7.99378540560126E-2</v>
      </c>
      <c r="E10" s="16">
        <f t="shared" si="4"/>
        <v>0.22642478672349697</v>
      </c>
      <c r="F10" s="17">
        <v>0.23119999999999999</v>
      </c>
      <c r="G10" s="18">
        <f t="shared" si="1"/>
        <v>-17</v>
      </c>
      <c r="H10" s="18">
        <f t="shared" si="2"/>
        <v>-22</v>
      </c>
      <c r="I10" s="2"/>
      <c r="J10" s="20" t="s">
        <v>12</v>
      </c>
      <c r="K10" s="19">
        <f>INDEX(E4:E54,MATCH(K5,A4:A54,0))</f>
        <v>22.605756105211324</v>
      </c>
      <c r="L10" s="2"/>
      <c r="M10" s="11" t="str">
        <f>"Elevation-area curve"</f>
        <v>Elevation-area curve</v>
      </c>
      <c r="N10" s="2"/>
      <c r="O10" s="2"/>
      <c r="P10" s="2"/>
    </row>
    <row r="11" spans="1:16" x14ac:dyDescent="0.25">
      <c r="A11" s="12">
        <v>105.5</v>
      </c>
      <c r="B11" s="13">
        <v>0.22339999999999999</v>
      </c>
      <c r="C11" s="14">
        <f t="shared" si="0"/>
        <v>223400</v>
      </c>
      <c r="D11" s="15">
        <f t="shared" si="3"/>
        <v>0.10166500982616988</v>
      </c>
      <c r="E11" s="16">
        <f t="shared" si="4"/>
        <v>0.32808979654966686</v>
      </c>
      <c r="F11" s="17">
        <v>0.33379999999999999</v>
      </c>
      <c r="G11" s="18">
        <f t="shared" si="1"/>
        <v>-16.5</v>
      </c>
      <c r="H11" s="18">
        <f t="shared" si="2"/>
        <v>-21.5</v>
      </c>
      <c r="I11" s="2"/>
      <c r="J11" s="20" t="s">
        <v>50</v>
      </c>
      <c r="K11" s="19">
        <f>Dams!D11</f>
        <v>24</v>
      </c>
      <c r="L11" s="2"/>
      <c r="M11" s="2"/>
      <c r="N11" s="2"/>
      <c r="O11" s="2"/>
      <c r="P11" s="2"/>
    </row>
    <row r="12" spans="1:16" x14ac:dyDescent="0.25">
      <c r="A12" s="12">
        <v>106</v>
      </c>
      <c r="B12" s="13">
        <v>0.26590000000000003</v>
      </c>
      <c r="C12" s="14">
        <f t="shared" si="0"/>
        <v>265900</v>
      </c>
      <c r="D12" s="15">
        <f t="shared" si="3"/>
        <v>0.12217089637393815</v>
      </c>
      <c r="E12" s="16">
        <f t="shared" si="4"/>
        <v>0.45026069292360499</v>
      </c>
      <c r="F12" s="17">
        <v>0.45650000000000002</v>
      </c>
      <c r="G12" s="18">
        <f t="shared" si="1"/>
        <v>-16</v>
      </c>
      <c r="H12" s="18">
        <f t="shared" si="2"/>
        <v>-21</v>
      </c>
      <c r="I12" s="2"/>
      <c r="J12" s="20" t="s">
        <v>51</v>
      </c>
      <c r="K12" s="22">
        <f>K10/K11-1</f>
        <v>-5.8093495616194812E-2</v>
      </c>
      <c r="L12" s="2"/>
      <c r="M12" s="2"/>
      <c r="N12" s="2"/>
      <c r="O12" s="2"/>
      <c r="P12" s="2"/>
    </row>
    <row r="13" spans="1:16" x14ac:dyDescent="0.25">
      <c r="A13" s="12">
        <v>106.5</v>
      </c>
      <c r="B13" s="13">
        <v>0.31979999999999997</v>
      </c>
      <c r="C13" s="14">
        <f t="shared" si="0"/>
        <v>319800</v>
      </c>
      <c r="D13" s="15">
        <f t="shared" si="3"/>
        <v>0.14621788407254377</v>
      </c>
      <c r="E13" s="16">
        <f t="shared" si="4"/>
        <v>0.5964785769961487</v>
      </c>
      <c r="F13" s="17">
        <v>0.6038</v>
      </c>
      <c r="G13" s="18">
        <f t="shared" si="1"/>
        <v>-15.5</v>
      </c>
      <c r="H13" s="18">
        <f t="shared" si="2"/>
        <v>-20.5</v>
      </c>
      <c r="I13" s="2"/>
      <c r="J13" s="20" t="s">
        <v>14</v>
      </c>
      <c r="K13" s="19">
        <f>INDEX(B4:B54,MATCH(K6,A4:A54,0))</f>
        <v>4.1246</v>
      </c>
      <c r="L13" s="2"/>
      <c r="M13" s="2"/>
      <c r="N13" s="2"/>
      <c r="O13" s="2"/>
      <c r="P13" s="2"/>
    </row>
    <row r="14" spans="1:16" x14ac:dyDescent="0.25">
      <c r="A14" s="12">
        <v>107</v>
      </c>
      <c r="B14" s="13">
        <v>0.36320000000000002</v>
      </c>
      <c r="C14" s="14">
        <f t="shared" si="0"/>
        <v>363200</v>
      </c>
      <c r="D14" s="15">
        <f t="shared" si="3"/>
        <v>0.17063497650205398</v>
      </c>
      <c r="E14" s="16">
        <f t="shared" si="4"/>
        <v>0.76711355349820265</v>
      </c>
      <c r="F14" s="17">
        <v>0.77559999999999996</v>
      </c>
      <c r="G14" s="18">
        <f t="shared" si="1"/>
        <v>-15</v>
      </c>
      <c r="H14" s="18">
        <f t="shared" si="2"/>
        <v>-20</v>
      </c>
      <c r="I14" s="2"/>
      <c r="J14" s="20" t="s">
        <v>15</v>
      </c>
      <c r="K14" s="19">
        <f>INDEX(E4:E54,MATCH(K6,A4:A54,0))</f>
        <v>40.060515758519159</v>
      </c>
      <c r="L14" s="2"/>
      <c r="M14" s="2"/>
      <c r="N14" s="2"/>
      <c r="O14" s="2"/>
      <c r="P14" s="2"/>
    </row>
    <row r="15" spans="1:16" x14ac:dyDescent="0.25">
      <c r="A15" s="12">
        <v>107.5</v>
      </c>
      <c r="B15" s="13">
        <v>0.40589999999999998</v>
      </c>
      <c r="C15" s="14">
        <f t="shared" si="0"/>
        <v>405900</v>
      </c>
      <c r="D15" s="15">
        <f t="shared" si="3"/>
        <v>0.192176145429693</v>
      </c>
      <c r="E15" s="16">
        <f t="shared" si="4"/>
        <v>0.95928969892789562</v>
      </c>
      <c r="F15" s="17">
        <v>0.96899999999999997</v>
      </c>
      <c r="G15" s="18">
        <f t="shared" si="1"/>
        <v>-14.5</v>
      </c>
      <c r="H15" s="18">
        <f t="shared" si="2"/>
        <v>-19.5</v>
      </c>
      <c r="I15" s="2"/>
      <c r="J15" s="20" t="s">
        <v>52</v>
      </c>
      <c r="K15" s="19">
        <f>MAX(E4:E54)</f>
        <v>40.060515758519159</v>
      </c>
      <c r="L15" s="2"/>
      <c r="M15" s="2"/>
      <c r="N15" s="2"/>
      <c r="O15" s="2"/>
      <c r="P15" s="2"/>
    </row>
    <row r="16" spans="1:16" x14ac:dyDescent="0.25">
      <c r="A16" s="12">
        <v>108</v>
      </c>
      <c r="B16" s="13">
        <v>0.45329999999999998</v>
      </c>
      <c r="C16" s="14">
        <f t="shared" si="0"/>
        <v>453300</v>
      </c>
      <c r="D16" s="15">
        <f t="shared" si="3"/>
        <v>0.21469096096710411</v>
      </c>
      <c r="E16" s="16">
        <f t="shared" si="4"/>
        <v>1.1739806598949998</v>
      </c>
      <c r="F16" s="17">
        <v>1.1842999999999999</v>
      </c>
      <c r="G16" s="18">
        <f t="shared" si="1"/>
        <v>-14</v>
      </c>
      <c r="H16" s="18">
        <f t="shared" si="2"/>
        <v>-19</v>
      </c>
      <c r="I16" s="2"/>
      <c r="J16" s="20" t="s">
        <v>53</v>
      </c>
      <c r="K16" s="19">
        <f>MAX(B4:B54)</f>
        <v>4.1246</v>
      </c>
      <c r="L16" s="2"/>
      <c r="M16" s="2"/>
      <c r="N16" s="2"/>
      <c r="O16" s="2"/>
      <c r="P16" s="2"/>
    </row>
    <row r="17" spans="1:16" x14ac:dyDescent="0.25">
      <c r="A17" s="12">
        <v>108.5</v>
      </c>
      <c r="B17" s="13">
        <v>0.50149999999999995</v>
      </c>
      <c r="C17" s="14">
        <f t="shared" si="0"/>
        <v>501499.99999999994</v>
      </c>
      <c r="D17" s="15">
        <f t="shared" si="3"/>
        <v>0.2385985510913772</v>
      </c>
      <c r="E17" s="16">
        <f t="shared" si="4"/>
        <v>1.4125792109863771</v>
      </c>
      <c r="F17" s="17">
        <v>1.4237</v>
      </c>
      <c r="G17" s="18">
        <f t="shared" si="1"/>
        <v>-13.5</v>
      </c>
      <c r="H17" s="18">
        <f t="shared" si="2"/>
        <v>-18.5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2">
        <v>109</v>
      </c>
      <c r="B18" s="13">
        <v>0.55659999999999998</v>
      </c>
      <c r="C18" s="14">
        <f t="shared" si="0"/>
        <v>556600</v>
      </c>
      <c r="D18" s="15">
        <f t="shared" si="3"/>
        <v>0.26440536452835922</v>
      </c>
      <c r="E18" s="16">
        <f t="shared" si="4"/>
        <v>1.6769845755147363</v>
      </c>
      <c r="F18" s="17">
        <v>1.6895</v>
      </c>
      <c r="G18" s="18">
        <f t="shared" si="1"/>
        <v>-13</v>
      </c>
      <c r="H18" s="18">
        <f t="shared" si="2"/>
        <v>-18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2">
        <v>109.5</v>
      </c>
      <c r="B19" s="13">
        <v>0.61040000000000005</v>
      </c>
      <c r="C19" s="14">
        <f t="shared" si="0"/>
        <v>610400</v>
      </c>
      <c r="D19" s="15">
        <f t="shared" si="3"/>
        <v>0.29164660170187229</v>
      </c>
      <c r="E19" s="16">
        <f t="shared" si="4"/>
        <v>1.9686311772166087</v>
      </c>
      <c r="F19" s="17">
        <v>1.9821</v>
      </c>
      <c r="G19" s="18">
        <f t="shared" si="1"/>
        <v>-12.5</v>
      </c>
      <c r="H19" s="18">
        <f t="shared" si="2"/>
        <v>-17.5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2">
        <v>110</v>
      </c>
      <c r="B20" s="13">
        <v>0.67279999999999995</v>
      </c>
      <c r="C20" s="14">
        <f t="shared" si="0"/>
        <v>672800</v>
      </c>
      <c r="D20" s="15">
        <f t="shared" si="3"/>
        <v>0.32067349125094957</v>
      </c>
      <c r="E20" s="16">
        <f t="shared" si="4"/>
        <v>2.2893046684675582</v>
      </c>
      <c r="F20" s="17">
        <v>2.3045</v>
      </c>
      <c r="G20" s="18">
        <f t="shared" si="1"/>
        <v>-12</v>
      </c>
      <c r="H20" s="18">
        <f t="shared" si="2"/>
        <v>-17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2">
        <v>110.5</v>
      </c>
      <c r="B21" s="13">
        <v>0.73470000000000002</v>
      </c>
      <c r="C21" s="14">
        <f t="shared" si="0"/>
        <v>734700</v>
      </c>
      <c r="D21" s="15">
        <f t="shared" si="3"/>
        <v>0.35176151674076916</v>
      </c>
      <c r="E21" s="16">
        <f t="shared" si="4"/>
        <v>2.6410661852083273</v>
      </c>
      <c r="F21" s="17">
        <v>2.6564000000000001</v>
      </c>
      <c r="G21" s="18">
        <f t="shared" si="1"/>
        <v>-11.5</v>
      </c>
      <c r="H21" s="18">
        <f t="shared" si="2"/>
        <v>-16.5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2">
        <v>111</v>
      </c>
      <c r="B22" s="13">
        <v>0.79100000000000004</v>
      </c>
      <c r="C22" s="14">
        <f t="shared" si="0"/>
        <v>791000</v>
      </c>
      <c r="D22" s="15">
        <f t="shared" si="3"/>
        <v>0.38133840669393027</v>
      </c>
      <c r="E22" s="16">
        <f t="shared" si="4"/>
        <v>3.0224045919022577</v>
      </c>
      <c r="F22" s="17">
        <v>3.0384000000000002</v>
      </c>
      <c r="G22" s="18">
        <f t="shared" si="1"/>
        <v>-11</v>
      </c>
      <c r="H22" s="18">
        <f t="shared" si="2"/>
        <v>-16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2">
        <v>111.5</v>
      </c>
      <c r="B23" s="13">
        <v>0.85599999999999998</v>
      </c>
      <c r="C23" s="14">
        <f t="shared" si="0"/>
        <v>856000</v>
      </c>
      <c r="D23" s="15">
        <f t="shared" si="3"/>
        <v>0.41164307208977863</v>
      </c>
      <c r="E23" s="16">
        <f t="shared" si="4"/>
        <v>3.4340476639920365</v>
      </c>
      <c r="F23" s="17">
        <v>3.4506000000000001</v>
      </c>
      <c r="G23" s="18">
        <f t="shared" si="1"/>
        <v>-10.5</v>
      </c>
      <c r="H23" s="18">
        <f t="shared" si="2"/>
        <v>-15.5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2">
        <v>112</v>
      </c>
      <c r="B24" s="13">
        <v>0.93289999999999995</v>
      </c>
      <c r="C24" s="14">
        <f t="shared" si="0"/>
        <v>932900</v>
      </c>
      <c r="D24" s="15">
        <f t="shared" si="3"/>
        <v>0.44708719780125072</v>
      </c>
      <c r="E24" s="16">
        <f t="shared" si="4"/>
        <v>3.8811348617932873</v>
      </c>
      <c r="F24" s="17">
        <v>3.8986000000000001</v>
      </c>
      <c r="G24" s="18">
        <f t="shared" si="1"/>
        <v>-10</v>
      </c>
      <c r="H24" s="18">
        <f t="shared" si="2"/>
        <v>-15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2">
        <v>112.5</v>
      </c>
      <c r="B25" s="13">
        <v>1.0162</v>
      </c>
      <c r="C25" s="14">
        <f t="shared" si="0"/>
        <v>1016200</v>
      </c>
      <c r="D25" s="15">
        <f t="shared" si="3"/>
        <v>0.48712659686131227</v>
      </c>
      <c r="E25" s="16">
        <f t="shared" si="4"/>
        <v>4.3682614586545991</v>
      </c>
      <c r="F25" s="17">
        <v>4.3868</v>
      </c>
      <c r="G25" s="18">
        <f t="shared" si="1"/>
        <v>-9.5</v>
      </c>
      <c r="H25" s="18">
        <f t="shared" si="2"/>
        <v>-14.5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2">
        <v>113</v>
      </c>
      <c r="B26" s="13">
        <v>1.1034999999999999</v>
      </c>
      <c r="C26" s="14">
        <f t="shared" si="0"/>
        <v>1103500</v>
      </c>
      <c r="D26" s="15">
        <f t="shared" si="3"/>
        <v>0.52977512571410601</v>
      </c>
      <c r="E26" s="16">
        <f t="shared" si="4"/>
        <v>4.8980365843687048</v>
      </c>
      <c r="F26" s="17">
        <v>4.9188999999999998</v>
      </c>
      <c r="G26" s="18">
        <f t="shared" si="1"/>
        <v>-9</v>
      </c>
      <c r="H26" s="18">
        <f t="shared" si="2"/>
        <v>-14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12">
        <v>113.5</v>
      </c>
      <c r="B27" s="13">
        <v>1.1984999999999999</v>
      </c>
      <c r="C27" s="14">
        <f t="shared" si="0"/>
        <v>1198500</v>
      </c>
      <c r="D27" s="15">
        <f t="shared" si="3"/>
        <v>0.57533657605952537</v>
      </c>
      <c r="E27" s="16">
        <f t="shared" si="4"/>
        <v>5.4733731604282303</v>
      </c>
      <c r="F27" s="17">
        <v>5.4966999999999997</v>
      </c>
      <c r="G27" s="18">
        <f t="shared" si="1"/>
        <v>-8.5</v>
      </c>
      <c r="H27" s="18">
        <f t="shared" si="2"/>
        <v>-13.5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12">
        <v>114</v>
      </c>
      <c r="B28" s="13">
        <v>1.2990999999999999</v>
      </c>
      <c r="C28" s="14">
        <f t="shared" si="0"/>
        <v>1299100</v>
      </c>
      <c r="D28" s="15">
        <f t="shared" si="3"/>
        <v>0.62423109671821819</v>
      </c>
      <c r="E28" s="16">
        <f t="shared" si="4"/>
        <v>6.0976042571464486</v>
      </c>
      <c r="F28" s="17">
        <v>6.1237000000000004</v>
      </c>
      <c r="G28" s="18">
        <f t="shared" si="1"/>
        <v>-8</v>
      </c>
      <c r="H28" s="18">
        <f t="shared" si="2"/>
        <v>-13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2">
        <v>114.5</v>
      </c>
      <c r="B29" s="13">
        <v>1.3903000000000001</v>
      </c>
      <c r="C29" s="14">
        <f t="shared" si="0"/>
        <v>1390300</v>
      </c>
      <c r="D29" s="15">
        <f t="shared" si="3"/>
        <v>0.67222110147654635</v>
      </c>
      <c r="E29" s="16">
        <f t="shared" si="4"/>
        <v>6.7698253586229953</v>
      </c>
      <c r="F29" s="17">
        <v>6.7971000000000004</v>
      </c>
      <c r="G29" s="18">
        <f t="shared" si="1"/>
        <v>-7.5</v>
      </c>
      <c r="H29" s="18">
        <f t="shared" si="2"/>
        <v>-12.5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12">
        <v>115</v>
      </c>
      <c r="B30" s="13">
        <v>1.4812000000000001</v>
      </c>
      <c r="C30" s="14">
        <f t="shared" si="0"/>
        <v>1481200</v>
      </c>
      <c r="D30" s="15">
        <f t="shared" si="3"/>
        <v>0.7177550731169271</v>
      </c>
      <c r="E30" s="16">
        <f t="shared" si="4"/>
        <v>7.4875804317399224</v>
      </c>
      <c r="F30" s="17">
        <v>7.5159000000000002</v>
      </c>
      <c r="G30" s="18">
        <f t="shared" si="1"/>
        <v>-7</v>
      </c>
      <c r="H30" s="18">
        <f t="shared" si="2"/>
        <v>-12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2">
        <v>115.5</v>
      </c>
      <c r="B31" s="13">
        <v>1.5739000000000001</v>
      </c>
      <c r="C31" s="14">
        <f t="shared" si="0"/>
        <v>1573900</v>
      </c>
      <c r="D31" s="15">
        <f t="shared" si="3"/>
        <v>0.76365777431142257</v>
      </c>
      <c r="E31" s="16">
        <f t="shared" si="4"/>
        <v>8.2512382060513456</v>
      </c>
      <c r="F31" s="17">
        <v>8.282</v>
      </c>
      <c r="G31" s="18">
        <f t="shared" si="1"/>
        <v>-6.5</v>
      </c>
      <c r="H31" s="18">
        <f t="shared" si="2"/>
        <v>-11.5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12">
        <v>116</v>
      </c>
      <c r="B32" s="13">
        <v>1.673</v>
      </c>
      <c r="C32" s="14">
        <f t="shared" si="0"/>
        <v>1673000</v>
      </c>
      <c r="D32" s="15">
        <f t="shared" si="3"/>
        <v>0.81159894260387777</v>
      </c>
      <c r="E32" s="16">
        <f t="shared" si="4"/>
        <v>9.0628371486552233</v>
      </c>
      <c r="F32" s="17">
        <v>9.0945999999999998</v>
      </c>
      <c r="G32" s="18">
        <f t="shared" si="1"/>
        <v>-6</v>
      </c>
      <c r="H32" s="18">
        <f t="shared" si="2"/>
        <v>-11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12">
        <v>116.5</v>
      </c>
      <c r="B33" s="13">
        <v>1.7728999999999999</v>
      </c>
      <c r="C33" s="14">
        <f t="shared" si="0"/>
        <v>1772900</v>
      </c>
      <c r="D33" s="15">
        <f t="shared" si="3"/>
        <v>0.86135429970069533</v>
      </c>
      <c r="E33" s="16">
        <f t="shared" si="4"/>
        <v>9.9241914483559182</v>
      </c>
      <c r="F33" s="17">
        <v>9.9574999999999996</v>
      </c>
      <c r="G33" s="18">
        <f t="shared" si="1"/>
        <v>-5.5</v>
      </c>
      <c r="H33" s="18">
        <f t="shared" si="2"/>
        <v>-10.5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2">
        <v>117</v>
      </c>
      <c r="B34" s="13">
        <v>1.8573</v>
      </c>
      <c r="C34" s="14">
        <f t="shared" si="0"/>
        <v>1857300</v>
      </c>
      <c r="D34" s="15">
        <f t="shared" si="3"/>
        <v>0.90746822853118136</v>
      </c>
      <c r="E34" s="16">
        <f t="shared" si="4"/>
        <v>10.831659676887099</v>
      </c>
      <c r="F34" s="17">
        <v>10.8674</v>
      </c>
      <c r="G34" s="18">
        <f t="shared" si="1"/>
        <v>-5</v>
      </c>
      <c r="H34" s="18">
        <f t="shared" si="2"/>
        <v>-10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2">
        <v>117.5</v>
      </c>
      <c r="B35" s="13">
        <v>1.9461999999999999</v>
      </c>
      <c r="C35" s="14">
        <f t="shared" si="0"/>
        <v>1946200</v>
      </c>
      <c r="D35" s="15">
        <f t="shared" si="3"/>
        <v>0.95078840991094304</v>
      </c>
      <c r="E35" s="16">
        <f t="shared" si="4"/>
        <v>11.782448086798043</v>
      </c>
      <c r="F35" s="17">
        <v>11.8192</v>
      </c>
      <c r="G35" s="18">
        <f t="shared" si="1"/>
        <v>-4.5</v>
      </c>
      <c r="H35" s="18">
        <f t="shared" si="2"/>
        <v>-9.5</v>
      </c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2">
        <v>118</v>
      </c>
      <c r="B36" s="13">
        <v>2.0518000000000001</v>
      </c>
      <c r="C36" s="14">
        <f t="shared" ref="C36:C67" si="5">B36*1000000</f>
        <v>2051800</v>
      </c>
      <c r="D36" s="15">
        <f t="shared" si="3"/>
        <v>0.99938376161376319</v>
      </c>
      <c r="E36" s="16">
        <f t="shared" si="4"/>
        <v>12.781831848411807</v>
      </c>
      <c r="F36" s="17">
        <v>12.820399999999999</v>
      </c>
      <c r="G36" s="18">
        <f t="shared" ref="G36:G54" si="6">A36-$K$5</f>
        <v>-4</v>
      </c>
      <c r="H36" s="18">
        <f t="shared" ref="H36:H54" si="7">A36-$K$6</f>
        <v>-9</v>
      </c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12">
        <v>118.5</v>
      </c>
      <c r="B37" s="13">
        <v>2.1535000000000002</v>
      </c>
      <c r="C37" s="14">
        <f t="shared" si="5"/>
        <v>2153500</v>
      </c>
      <c r="D37" s="15">
        <f t="shared" ref="D37:D68" si="8">(A37-A36)/3*(C36+C37+SQRT(C36*C37))/1000000</f>
        <v>1.0512225062944953</v>
      </c>
      <c r="E37" s="16">
        <f t="shared" ref="E37:E68" si="9">E36+D37</f>
        <v>13.833054354706302</v>
      </c>
      <c r="F37" s="17">
        <v>13.8726</v>
      </c>
      <c r="G37" s="18">
        <f t="shared" si="6"/>
        <v>-3.5</v>
      </c>
      <c r="H37" s="18">
        <f t="shared" si="7"/>
        <v>-8.5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12">
        <v>119</v>
      </c>
      <c r="B38" s="13">
        <v>2.2513000000000001</v>
      </c>
      <c r="C38" s="14">
        <f t="shared" si="5"/>
        <v>2251300</v>
      </c>
      <c r="D38" s="15">
        <f t="shared" si="8"/>
        <v>1.1011095114127527</v>
      </c>
      <c r="E38" s="16">
        <f t="shared" si="9"/>
        <v>14.934163866119055</v>
      </c>
      <c r="F38" s="17">
        <v>14.9756</v>
      </c>
      <c r="G38" s="18">
        <f t="shared" si="6"/>
        <v>-3</v>
      </c>
      <c r="H38" s="18">
        <f t="shared" si="7"/>
        <v>-8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2">
        <v>119.5</v>
      </c>
      <c r="B39" s="13">
        <v>2.3525</v>
      </c>
      <c r="C39" s="14">
        <f t="shared" si="5"/>
        <v>2352500</v>
      </c>
      <c r="D39" s="15">
        <f t="shared" si="8"/>
        <v>1.1508572987037125</v>
      </c>
      <c r="E39" s="16">
        <f t="shared" si="9"/>
        <v>16.085021164822766</v>
      </c>
      <c r="F39" s="17">
        <v>16.128299999999999</v>
      </c>
      <c r="G39" s="18">
        <f t="shared" si="6"/>
        <v>-2.5</v>
      </c>
      <c r="H39" s="18">
        <f t="shared" si="7"/>
        <v>-7.5</v>
      </c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12">
        <v>120</v>
      </c>
      <c r="B40" s="13">
        <v>2.4496000000000002</v>
      </c>
      <c r="C40" s="14">
        <f t="shared" si="5"/>
        <v>2449600</v>
      </c>
      <c r="D40" s="15">
        <f t="shared" si="8"/>
        <v>1.2004431835904676</v>
      </c>
      <c r="E40" s="16">
        <f t="shared" si="9"/>
        <v>17.285464348413235</v>
      </c>
      <c r="F40" s="17">
        <v>17.3307</v>
      </c>
      <c r="G40" s="18">
        <f t="shared" si="6"/>
        <v>-2</v>
      </c>
      <c r="H40" s="18">
        <f t="shared" si="7"/>
        <v>-7</v>
      </c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12">
        <v>120.5</v>
      </c>
      <c r="B41" s="13">
        <v>2.5488</v>
      </c>
      <c r="C41" s="14">
        <f t="shared" si="5"/>
        <v>2548800</v>
      </c>
      <c r="D41" s="15">
        <f t="shared" si="8"/>
        <v>1.2495179603373672</v>
      </c>
      <c r="E41" s="16">
        <f t="shared" si="9"/>
        <v>18.534982308750603</v>
      </c>
      <c r="F41" s="17">
        <v>18.5808</v>
      </c>
      <c r="G41" s="18">
        <f t="shared" si="6"/>
        <v>-1.5</v>
      </c>
      <c r="H41" s="18">
        <f t="shared" si="7"/>
        <v>-6.5</v>
      </c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12">
        <v>121</v>
      </c>
      <c r="B42" s="13">
        <v>2.6535000000000002</v>
      </c>
      <c r="C42" s="14">
        <f t="shared" si="5"/>
        <v>2653500</v>
      </c>
      <c r="D42" s="15">
        <f t="shared" si="8"/>
        <v>1.3004871926819386</v>
      </c>
      <c r="E42" s="16">
        <f t="shared" si="9"/>
        <v>19.835469501432542</v>
      </c>
      <c r="F42" s="17">
        <v>19.8827</v>
      </c>
      <c r="G42" s="18">
        <f t="shared" si="6"/>
        <v>-1</v>
      </c>
      <c r="H42" s="18">
        <f t="shared" si="7"/>
        <v>-6</v>
      </c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12">
        <v>121.5</v>
      </c>
      <c r="B43" s="13">
        <v>2.7684000000000002</v>
      </c>
      <c r="C43" s="14">
        <f t="shared" si="5"/>
        <v>2768400</v>
      </c>
      <c r="D43" s="15">
        <f t="shared" si="8"/>
        <v>1.3553735327055696</v>
      </c>
      <c r="E43" s="16">
        <f t="shared" si="9"/>
        <v>21.190843034138112</v>
      </c>
      <c r="F43" s="17">
        <v>21.2407</v>
      </c>
      <c r="G43" s="18">
        <f t="shared" si="6"/>
        <v>-0.5</v>
      </c>
      <c r="H43" s="18">
        <f t="shared" si="7"/>
        <v>-5.5</v>
      </c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12">
        <v>122</v>
      </c>
      <c r="B44" s="13">
        <v>2.8917000000000002</v>
      </c>
      <c r="C44" s="14">
        <f t="shared" si="5"/>
        <v>2891700</v>
      </c>
      <c r="D44" s="15">
        <f t="shared" si="8"/>
        <v>1.414913071073213</v>
      </c>
      <c r="E44" s="16">
        <f t="shared" si="9"/>
        <v>22.605756105211324</v>
      </c>
      <c r="F44" s="17">
        <v>22.657299999999999</v>
      </c>
      <c r="G44" s="18">
        <f t="shared" si="6"/>
        <v>0</v>
      </c>
      <c r="H44" s="18">
        <f t="shared" si="7"/>
        <v>-5</v>
      </c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12">
        <v>122.5</v>
      </c>
      <c r="B45" s="13">
        <v>3.0211000000000001</v>
      </c>
      <c r="C45" s="14">
        <f t="shared" si="5"/>
        <v>3021100</v>
      </c>
      <c r="D45" s="15">
        <f t="shared" si="8"/>
        <v>1.4780819907279465</v>
      </c>
      <c r="E45" s="16">
        <f t="shared" si="9"/>
        <v>24.083838095939271</v>
      </c>
      <c r="F45" s="17">
        <v>24.1373</v>
      </c>
      <c r="G45" s="18">
        <f t="shared" si="6"/>
        <v>0.5</v>
      </c>
      <c r="H45" s="18">
        <f t="shared" si="7"/>
        <v>-4.5</v>
      </c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12">
        <v>123</v>
      </c>
      <c r="B46" s="13">
        <v>3.1375999999999999</v>
      </c>
      <c r="C46" s="14">
        <f t="shared" si="5"/>
        <v>3137600</v>
      </c>
      <c r="D46" s="15">
        <f t="shared" si="8"/>
        <v>1.5395831687670256</v>
      </c>
      <c r="E46" s="16">
        <f t="shared" si="9"/>
        <v>25.623421264706295</v>
      </c>
      <c r="F46" s="17">
        <v>25.679500000000001</v>
      </c>
      <c r="G46" s="18">
        <f t="shared" si="6"/>
        <v>1</v>
      </c>
      <c r="H46" s="18">
        <f t="shared" si="7"/>
        <v>-4</v>
      </c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12">
        <v>123.5</v>
      </c>
      <c r="B47" s="13">
        <v>3.2583000000000002</v>
      </c>
      <c r="C47" s="14">
        <f t="shared" si="5"/>
        <v>3258300</v>
      </c>
      <c r="D47" s="15">
        <f t="shared" si="8"/>
        <v>1.5988800838081949</v>
      </c>
      <c r="E47" s="16">
        <f t="shared" si="9"/>
        <v>27.222301348514488</v>
      </c>
      <c r="F47" s="17">
        <v>27.280799999999999</v>
      </c>
      <c r="G47" s="18">
        <f t="shared" si="6"/>
        <v>1.5</v>
      </c>
      <c r="H47" s="18">
        <f t="shared" si="7"/>
        <v>-3.5</v>
      </c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12">
        <v>124</v>
      </c>
      <c r="B48" s="13">
        <v>3.3712</v>
      </c>
      <c r="C48" s="14">
        <f t="shared" si="5"/>
        <v>3371200</v>
      </c>
      <c r="D48" s="15">
        <f t="shared" si="8"/>
        <v>1.6572948825055365</v>
      </c>
      <c r="E48" s="16">
        <f t="shared" si="9"/>
        <v>28.879596231020024</v>
      </c>
      <c r="F48" s="17">
        <v>28.939800000000002</v>
      </c>
      <c r="G48" s="18">
        <f t="shared" si="6"/>
        <v>2</v>
      </c>
      <c r="H48" s="18">
        <f t="shared" si="7"/>
        <v>-3</v>
      </c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12">
        <v>124.5</v>
      </c>
      <c r="B49" s="13">
        <v>3.4805999999999999</v>
      </c>
      <c r="C49" s="14">
        <f t="shared" si="5"/>
        <v>3480600</v>
      </c>
      <c r="D49" s="15">
        <f t="shared" si="8"/>
        <v>1.7128772142424962</v>
      </c>
      <c r="E49" s="16">
        <f t="shared" si="9"/>
        <v>30.59247344526252</v>
      </c>
      <c r="F49" s="17">
        <v>30.654</v>
      </c>
      <c r="G49" s="18">
        <f t="shared" si="6"/>
        <v>2.5</v>
      </c>
      <c r="H49" s="18">
        <f t="shared" si="7"/>
        <v>-2.5</v>
      </c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12">
        <v>125</v>
      </c>
      <c r="B50" s="13">
        <v>3.5889000000000002</v>
      </c>
      <c r="C50" s="14">
        <f t="shared" si="5"/>
        <v>3588900</v>
      </c>
      <c r="D50" s="15">
        <f t="shared" si="8"/>
        <v>1.7673058674692916</v>
      </c>
      <c r="E50" s="16">
        <f t="shared" si="9"/>
        <v>32.35977931273181</v>
      </c>
      <c r="F50" s="17">
        <v>32.422800000000002</v>
      </c>
      <c r="G50" s="18">
        <f t="shared" si="6"/>
        <v>3</v>
      </c>
      <c r="H50" s="18">
        <f t="shared" si="7"/>
        <v>-2</v>
      </c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12">
        <v>125.5</v>
      </c>
      <c r="B51" s="13">
        <v>3.7113999999999998</v>
      </c>
      <c r="C51" s="14">
        <f t="shared" si="5"/>
        <v>3711400</v>
      </c>
      <c r="D51" s="15">
        <f t="shared" si="8"/>
        <v>1.8249893453780044</v>
      </c>
      <c r="E51" s="16">
        <f t="shared" si="9"/>
        <v>34.184768658109817</v>
      </c>
      <c r="F51" s="17">
        <v>34.249200000000002</v>
      </c>
      <c r="G51" s="18">
        <f t="shared" si="6"/>
        <v>3.5</v>
      </c>
      <c r="H51" s="18">
        <f t="shared" si="7"/>
        <v>-1.5</v>
      </c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12">
        <v>126</v>
      </c>
      <c r="B52" s="13">
        <v>3.8494000000000002</v>
      </c>
      <c r="C52" s="14">
        <f t="shared" si="5"/>
        <v>3849400</v>
      </c>
      <c r="D52" s="15">
        <f t="shared" si="8"/>
        <v>1.8900950420462079</v>
      </c>
      <c r="E52" s="16">
        <f t="shared" si="9"/>
        <v>36.074863700156023</v>
      </c>
      <c r="F52" s="17">
        <v>36.142600000000002</v>
      </c>
      <c r="G52" s="18">
        <f t="shared" si="6"/>
        <v>4</v>
      </c>
      <c r="H52" s="18">
        <f t="shared" si="7"/>
        <v>-1</v>
      </c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12">
        <v>126.5</v>
      </c>
      <c r="B53" s="13">
        <v>3.9847000000000001</v>
      </c>
      <c r="C53" s="14">
        <f t="shared" si="5"/>
        <v>3984700</v>
      </c>
      <c r="D53" s="15">
        <f t="shared" si="8"/>
        <v>1.9584276294486738</v>
      </c>
      <c r="E53" s="16">
        <f t="shared" si="9"/>
        <v>38.033291329604694</v>
      </c>
      <c r="F53" s="17">
        <v>38.102200000000003</v>
      </c>
      <c r="G53" s="18">
        <f t="shared" si="6"/>
        <v>4.5</v>
      </c>
      <c r="H53" s="18">
        <f t="shared" si="7"/>
        <v>-0.5</v>
      </c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12">
        <v>127</v>
      </c>
      <c r="B54" s="13">
        <v>4.1246</v>
      </c>
      <c r="C54" s="14">
        <f t="shared" si="5"/>
        <v>4124600</v>
      </c>
      <c r="D54" s="15">
        <f t="shared" si="8"/>
        <v>2.0272244289144652</v>
      </c>
      <c r="E54" s="16">
        <f t="shared" si="9"/>
        <v>40.060515758519159</v>
      </c>
      <c r="F54" s="17">
        <v>40.131900000000002</v>
      </c>
      <c r="G54" s="18">
        <f t="shared" si="6"/>
        <v>5</v>
      </c>
      <c r="H54" s="18">
        <f t="shared" si="7"/>
        <v>0</v>
      </c>
      <c r="I54" s="2"/>
      <c r="J54" s="2"/>
      <c r="K54" s="2"/>
      <c r="L54" s="2"/>
      <c r="M54" s="2"/>
      <c r="N54" s="2"/>
      <c r="O54" s="2"/>
      <c r="P54" s="2"/>
    </row>
  </sheetData>
  <mergeCells count="1">
    <mergeCell ref="A2:H2"/>
  </mergeCells>
  <pageMargins left="0.75" right="0.75" top="1" bottom="1" header="0.5" footer="0.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39"/>
  <sheetViews>
    <sheetView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5" width="14" customWidth="1"/>
    <col min="6" max="6" width="16" customWidth="1"/>
    <col min="7" max="8" width="14" customWidth="1"/>
    <col min="10" max="10" width="27" customWidth="1"/>
    <col min="11" max="11" width="12" customWidth="1"/>
  </cols>
  <sheetData>
    <row r="1" spans="1:16" ht="15.75" x14ac:dyDescent="0.25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9.950000000000003" customHeight="1" x14ac:dyDescent="0.25">
      <c r="A2" s="23" t="s">
        <v>34</v>
      </c>
      <c r="B2" s="24"/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</row>
    <row r="3" spans="1:16" ht="42" customHeigh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2"/>
      <c r="J3" s="2"/>
      <c r="K3" s="2"/>
      <c r="L3" s="2"/>
      <c r="M3" s="11" t="s">
        <v>43</v>
      </c>
      <c r="N3" s="2"/>
      <c r="O3" s="2"/>
      <c r="P3" s="2"/>
    </row>
    <row r="4" spans="1:16" x14ac:dyDescent="0.25">
      <c r="A4" s="12">
        <v>126.5</v>
      </c>
      <c r="B4" s="13">
        <v>8.0000000000000004E-4</v>
      </c>
      <c r="C4" s="14">
        <f t="shared" ref="C4:C39" si="0">B4*1000000</f>
        <v>800</v>
      </c>
      <c r="D4" s="15">
        <v>0</v>
      </c>
      <c r="E4" s="16">
        <v>0</v>
      </c>
      <c r="F4" s="17">
        <v>2.0000000000000001E-4</v>
      </c>
      <c r="G4" s="18">
        <f t="shared" ref="G4:G39" si="1">A4-$K$5</f>
        <v>-12.5</v>
      </c>
      <c r="H4" s="18">
        <f t="shared" ref="H4:H39" si="2">A4-$K$6</f>
        <v>-17.5</v>
      </c>
      <c r="I4" s="2"/>
      <c r="J4" s="4" t="s">
        <v>44</v>
      </c>
      <c r="K4" s="19" t="str">
        <f>"Sakhin 08"</f>
        <v>Sakhin 08</v>
      </c>
      <c r="L4" s="2"/>
      <c r="M4" s="11" t="s">
        <v>45</v>
      </c>
      <c r="N4" s="11" t="s">
        <v>46</v>
      </c>
      <c r="O4" s="11" t="s">
        <v>47</v>
      </c>
      <c r="P4" s="11" t="s">
        <v>48</v>
      </c>
    </row>
    <row r="5" spans="1:16" x14ac:dyDescent="0.25">
      <c r="A5" s="12">
        <v>127</v>
      </c>
      <c r="B5" s="13">
        <v>2.5999999999999999E-3</v>
      </c>
      <c r="C5" s="14">
        <f t="shared" si="0"/>
        <v>2600</v>
      </c>
      <c r="D5" s="15">
        <f t="shared" ref="D5:D39" si="3">(A5-A4)/3*(C4+C5+SQRT(C4*C5))/1000000</f>
        <v>8.0703675169759936E-4</v>
      </c>
      <c r="E5" s="16">
        <f t="shared" ref="E5:E39" si="4">E4+D5</f>
        <v>8.0703675169759936E-4</v>
      </c>
      <c r="F5" s="17">
        <v>1.1000000000000001E-3</v>
      </c>
      <c r="G5" s="18">
        <f t="shared" si="1"/>
        <v>-12</v>
      </c>
      <c r="H5" s="18">
        <f t="shared" si="2"/>
        <v>-17</v>
      </c>
      <c r="I5" s="2"/>
      <c r="J5" s="20" t="s">
        <v>3</v>
      </c>
      <c r="K5" s="21">
        <f>Dams!C12</f>
        <v>139</v>
      </c>
      <c r="L5" s="2"/>
      <c r="M5" s="2">
        <v>0</v>
      </c>
      <c r="N5" s="2">
        <f>K5</f>
        <v>139</v>
      </c>
      <c r="O5" s="2">
        <f>K6</f>
        <v>144</v>
      </c>
      <c r="P5" s="2">
        <v>0</v>
      </c>
    </row>
    <row r="6" spans="1:16" x14ac:dyDescent="0.25">
      <c r="A6" s="12">
        <v>127.5</v>
      </c>
      <c r="B6" s="13">
        <v>7.9000000000000008E-3</v>
      </c>
      <c r="C6" s="14">
        <f t="shared" si="0"/>
        <v>7900.0000000000009</v>
      </c>
      <c r="D6" s="15">
        <f t="shared" si="3"/>
        <v>2.5053512795749776E-3</v>
      </c>
      <c r="E6" s="16">
        <f t="shared" si="4"/>
        <v>3.3123880312725769E-3</v>
      </c>
      <c r="F6" s="17">
        <v>3.5999999999999999E-3</v>
      </c>
      <c r="G6" s="18">
        <f t="shared" si="1"/>
        <v>-11.5</v>
      </c>
      <c r="H6" s="18">
        <f t="shared" si="2"/>
        <v>-16.5</v>
      </c>
      <c r="I6" s="2"/>
      <c r="J6" s="20" t="s">
        <v>49</v>
      </c>
      <c r="K6" s="21">
        <f>Dams!B12</f>
        <v>144</v>
      </c>
      <c r="L6" s="2"/>
      <c r="M6" s="2">
        <f>K15*1.02</f>
        <v>19.705496597225849</v>
      </c>
      <c r="N6" s="2">
        <f>K5</f>
        <v>139</v>
      </c>
      <c r="O6" s="2">
        <f>K6</f>
        <v>144</v>
      </c>
      <c r="P6" s="2">
        <f>K16*1.02</f>
        <v>3.1175280000000001</v>
      </c>
    </row>
    <row r="7" spans="1:16" x14ac:dyDescent="0.25">
      <c r="A7" s="12">
        <v>128</v>
      </c>
      <c r="B7" s="13">
        <v>1.55E-2</v>
      </c>
      <c r="C7" s="14">
        <f t="shared" si="0"/>
        <v>15500</v>
      </c>
      <c r="D7" s="15">
        <f t="shared" si="3"/>
        <v>5.7442854683830502E-3</v>
      </c>
      <c r="E7" s="16">
        <f t="shared" si="4"/>
        <v>9.0566734996556271E-3</v>
      </c>
      <c r="F7" s="17">
        <v>9.4999999999999998E-3</v>
      </c>
      <c r="G7" s="18">
        <f t="shared" si="1"/>
        <v>-11</v>
      </c>
      <c r="H7" s="18">
        <f t="shared" si="2"/>
        <v>-16</v>
      </c>
      <c r="I7" s="2"/>
      <c r="J7" s="20" t="s">
        <v>9</v>
      </c>
      <c r="K7" s="21">
        <f>A4</f>
        <v>126.5</v>
      </c>
      <c r="L7" s="2"/>
      <c r="M7" s="11" t="str">
        <f>"FSL "&amp;TEXT(K5,"0.0")&amp;" m"</f>
        <v>FSL 139.0 m</v>
      </c>
      <c r="N7" s="2"/>
      <c r="O7" s="2"/>
      <c r="P7" s="2"/>
    </row>
    <row r="8" spans="1:16" x14ac:dyDescent="0.25">
      <c r="A8" s="12">
        <v>128.5</v>
      </c>
      <c r="B8" s="13">
        <v>2.9100000000000001E-2</v>
      </c>
      <c r="C8" s="14">
        <f t="shared" si="0"/>
        <v>29100</v>
      </c>
      <c r="D8" s="15">
        <f t="shared" si="3"/>
        <v>1.0972989625498813E-2</v>
      </c>
      <c r="E8" s="16">
        <f t="shared" si="4"/>
        <v>2.0029663125154439E-2</v>
      </c>
      <c r="F8" s="17">
        <v>2.06E-2</v>
      </c>
      <c r="G8" s="18">
        <f t="shared" si="1"/>
        <v>-10.5</v>
      </c>
      <c r="H8" s="18">
        <f t="shared" si="2"/>
        <v>-15.5</v>
      </c>
      <c r="I8" s="2"/>
      <c r="J8" s="20" t="s">
        <v>10</v>
      </c>
      <c r="K8" s="21">
        <f>K6-K7</f>
        <v>17.5</v>
      </c>
      <c r="L8" s="2"/>
      <c r="M8" s="11" t="str">
        <f>"Crest "&amp;TEXT(K6,"0.0")&amp;" m"</f>
        <v>Crest 144.0 m</v>
      </c>
      <c r="N8" s="2"/>
      <c r="O8" s="2"/>
      <c r="P8" s="2"/>
    </row>
    <row r="9" spans="1:16" x14ac:dyDescent="0.25">
      <c r="A9" s="12">
        <v>129</v>
      </c>
      <c r="B9" s="13">
        <v>4.9299999999999997E-2</v>
      </c>
      <c r="C9" s="14">
        <f t="shared" si="0"/>
        <v>49300</v>
      </c>
      <c r="D9" s="15">
        <f t="shared" si="3"/>
        <v>1.9379418311815819E-2</v>
      </c>
      <c r="E9" s="16">
        <f t="shared" si="4"/>
        <v>3.9409081436970257E-2</v>
      </c>
      <c r="F9" s="17">
        <v>4.0099999999999997E-2</v>
      </c>
      <c r="G9" s="18">
        <f t="shared" si="1"/>
        <v>-10</v>
      </c>
      <c r="H9" s="18">
        <f t="shared" si="2"/>
        <v>-15</v>
      </c>
      <c r="I9" s="2"/>
      <c r="J9" s="20" t="s">
        <v>11</v>
      </c>
      <c r="K9" s="19">
        <f>INDEX(B4:B39,MATCH(K5,A4:A39,0))</f>
        <v>1.712</v>
      </c>
      <c r="L9" s="2"/>
      <c r="M9" s="11" t="str">
        <f>"Elevation-volume curve"</f>
        <v>Elevation-volume curve</v>
      </c>
      <c r="N9" s="2"/>
      <c r="O9" s="2"/>
      <c r="P9" s="2"/>
    </row>
    <row r="10" spans="1:16" x14ac:dyDescent="0.25">
      <c r="A10" s="12">
        <v>129.5</v>
      </c>
      <c r="B10" s="13">
        <v>7.9500000000000001E-2</v>
      </c>
      <c r="C10" s="14">
        <f t="shared" si="0"/>
        <v>79500</v>
      </c>
      <c r="D10" s="15">
        <f t="shared" si="3"/>
        <v>3.1900785380450464E-2</v>
      </c>
      <c r="E10" s="16">
        <f t="shared" si="4"/>
        <v>7.1309866817420714E-2</v>
      </c>
      <c r="F10" s="17">
        <v>7.2700000000000001E-2</v>
      </c>
      <c r="G10" s="18">
        <f t="shared" si="1"/>
        <v>-9.5</v>
      </c>
      <c r="H10" s="18">
        <f t="shared" si="2"/>
        <v>-14.5</v>
      </c>
      <c r="I10" s="2"/>
      <c r="J10" s="20" t="s">
        <v>12</v>
      </c>
      <c r="K10" s="19">
        <f>INDEX(E4:E39,MATCH(K5,A4:A39,0))</f>
        <v>7.462231981911426</v>
      </c>
      <c r="L10" s="2"/>
      <c r="M10" s="11" t="str">
        <f>"Elevation-area curve"</f>
        <v>Elevation-area curve</v>
      </c>
      <c r="N10" s="2"/>
      <c r="O10" s="2"/>
      <c r="P10" s="2"/>
    </row>
    <row r="11" spans="1:16" x14ac:dyDescent="0.25">
      <c r="A11" s="12">
        <v>130</v>
      </c>
      <c r="B11" s="13">
        <v>0.1207</v>
      </c>
      <c r="C11" s="14">
        <f t="shared" si="0"/>
        <v>120700</v>
      </c>
      <c r="D11" s="15">
        <f t="shared" si="3"/>
        <v>4.9692898115881554E-2</v>
      </c>
      <c r="E11" s="16">
        <f t="shared" si="4"/>
        <v>0.12100276493330227</v>
      </c>
      <c r="F11" s="17">
        <v>0.123</v>
      </c>
      <c r="G11" s="18">
        <f t="shared" si="1"/>
        <v>-9</v>
      </c>
      <c r="H11" s="18">
        <f t="shared" si="2"/>
        <v>-14</v>
      </c>
      <c r="I11" s="2"/>
      <c r="J11" s="20" t="s">
        <v>50</v>
      </c>
      <c r="K11" s="19">
        <f>Dams!D12</f>
        <v>8</v>
      </c>
      <c r="L11" s="2"/>
      <c r="M11" s="2"/>
      <c r="N11" s="2"/>
      <c r="O11" s="2"/>
      <c r="P11" s="2"/>
    </row>
    <row r="12" spans="1:16" x14ac:dyDescent="0.25">
      <c r="A12" s="12">
        <v>130.5</v>
      </c>
      <c r="B12" s="13">
        <v>0.1694</v>
      </c>
      <c r="C12" s="14">
        <f t="shared" si="0"/>
        <v>169400</v>
      </c>
      <c r="D12" s="15">
        <f t="shared" si="3"/>
        <v>7.2181923035197049E-2</v>
      </c>
      <c r="E12" s="16">
        <f t="shared" si="4"/>
        <v>0.1931846879684993</v>
      </c>
      <c r="F12" s="17">
        <v>0.19570000000000001</v>
      </c>
      <c r="G12" s="18">
        <f t="shared" si="1"/>
        <v>-8.5</v>
      </c>
      <c r="H12" s="18">
        <f t="shared" si="2"/>
        <v>-13.5</v>
      </c>
      <c r="I12" s="2"/>
      <c r="J12" s="20" t="s">
        <v>51</v>
      </c>
      <c r="K12" s="22">
        <f>K10/K11-1</f>
        <v>-6.7221002261071749E-2</v>
      </c>
      <c r="L12" s="2"/>
      <c r="M12" s="2"/>
      <c r="N12" s="2"/>
      <c r="O12" s="2"/>
      <c r="P12" s="2"/>
    </row>
    <row r="13" spans="1:16" x14ac:dyDescent="0.25">
      <c r="A13" s="12">
        <v>131</v>
      </c>
      <c r="B13" s="13">
        <v>0.2261</v>
      </c>
      <c r="C13" s="14">
        <f t="shared" si="0"/>
        <v>226100</v>
      </c>
      <c r="D13" s="15">
        <f t="shared" si="3"/>
        <v>9.8534546902989684E-2</v>
      </c>
      <c r="E13" s="16">
        <f t="shared" si="4"/>
        <v>0.29171923487148899</v>
      </c>
      <c r="F13" s="17">
        <v>0.2959</v>
      </c>
      <c r="G13" s="18">
        <f t="shared" si="1"/>
        <v>-8</v>
      </c>
      <c r="H13" s="18">
        <f t="shared" si="2"/>
        <v>-13</v>
      </c>
      <c r="I13" s="2"/>
      <c r="J13" s="20" t="s">
        <v>14</v>
      </c>
      <c r="K13" s="19">
        <f>INDEX(B4:B39,MATCH(K6,A4:A39,0))</f>
        <v>3.0564</v>
      </c>
      <c r="L13" s="2"/>
      <c r="M13" s="2"/>
      <c r="N13" s="2"/>
      <c r="O13" s="2"/>
      <c r="P13" s="2"/>
    </row>
    <row r="14" spans="1:16" x14ac:dyDescent="0.25">
      <c r="A14" s="12">
        <v>131.5</v>
      </c>
      <c r="B14" s="13">
        <v>0.28870000000000001</v>
      </c>
      <c r="C14" s="14">
        <f t="shared" si="0"/>
        <v>288700</v>
      </c>
      <c r="D14" s="15">
        <f t="shared" si="3"/>
        <v>0.12838164380209963</v>
      </c>
      <c r="E14" s="16">
        <f t="shared" si="4"/>
        <v>0.42010087867358858</v>
      </c>
      <c r="F14" s="17">
        <v>0.42549999999999999</v>
      </c>
      <c r="G14" s="18">
        <f t="shared" si="1"/>
        <v>-7.5</v>
      </c>
      <c r="H14" s="18">
        <f t="shared" si="2"/>
        <v>-12.5</v>
      </c>
      <c r="I14" s="2"/>
      <c r="J14" s="20" t="s">
        <v>15</v>
      </c>
      <c r="K14" s="19">
        <f>INDEX(E4:E39,MATCH(K6,A4:A39,0))</f>
        <v>19.319114311005734</v>
      </c>
      <c r="L14" s="2"/>
      <c r="M14" s="2"/>
      <c r="N14" s="2"/>
      <c r="O14" s="2"/>
      <c r="P14" s="2"/>
    </row>
    <row r="15" spans="1:16" x14ac:dyDescent="0.25">
      <c r="A15" s="12">
        <v>132</v>
      </c>
      <c r="B15" s="13">
        <v>0.35270000000000001</v>
      </c>
      <c r="C15" s="14">
        <f t="shared" si="0"/>
        <v>352700</v>
      </c>
      <c r="D15" s="15">
        <f t="shared" si="3"/>
        <v>0.16008324976489829</v>
      </c>
      <c r="E15" s="16">
        <f t="shared" si="4"/>
        <v>0.58018412843848688</v>
      </c>
      <c r="F15" s="17">
        <v>0.58720000000000006</v>
      </c>
      <c r="G15" s="18">
        <f t="shared" si="1"/>
        <v>-7</v>
      </c>
      <c r="H15" s="18">
        <f t="shared" si="2"/>
        <v>-12</v>
      </c>
      <c r="I15" s="2"/>
      <c r="J15" s="20" t="s">
        <v>52</v>
      </c>
      <c r="K15" s="19">
        <f>MAX(E4:E39)</f>
        <v>19.319114311005734</v>
      </c>
      <c r="L15" s="2"/>
      <c r="M15" s="2"/>
      <c r="N15" s="2"/>
      <c r="O15" s="2"/>
      <c r="P15" s="2"/>
    </row>
    <row r="16" spans="1:16" x14ac:dyDescent="0.25">
      <c r="A16" s="12">
        <v>132.5</v>
      </c>
      <c r="B16" s="13">
        <v>0.41839999999999999</v>
      </c>
      <c r="C16" s="14">
        <f t="shared" si="0"/>
        <v>418400</v>
      </c>
      <c r="D16" s="15">
        <f t="shared" si="3"/>
        <v>0.19254133205257692</v>
      </c>
      <c r="E16" s="16">
        <f t="shared" si="4"/>
        <v>0.77272546049106383</v>
      </c>
      <c r="F16" s="17">
        <v>0.78049999999999997</v>
      </c>
      <c r="G16" s="18">
        <f t="shared" si="1"/>
        <v>-6.5</v>
      </c>
      <c r="H16" s="18">
        <f t="shared" si="2"/>
        <v>-11.5</v>
      </c>
      <c r="I16" s="2"/>
      <c r="J16" s="20" t="s">
        <v>53</v>
      </c>
      <c r="K16" s="19">
        <f>MAX(B4:B39)</f>
        <v>3.0564</v>
      </c>
      <c r="L16" s="2"/>
      <c r="M16" s="2"/>
      <c r="N16" s="2"/>
      <c r="O16" s="2"/>
      <c r="P16" s="2"/>
    </row>
    <row r="17" spans="1:16" x14ac:dyDescent="0.25">
      <c r="A17" s="12">
        <v>133</v>
      </c>
      <c r="B17" s="13">
        <v>0.49530000000000002</v>
      </c>
      <c r="C17" s="14">
        <f t="shared" si="0"/>
        <v>495300</v>
      </c>
      <c r="D17" s="15">
        <f t="shared" si="3"/>
        <v>0.22815484753113136</v>
      </c>
      <c r="E17" s="16">
        <f t="shared" si="4"/>
        <v>1.0008803080221953</v>
      </c>
      <c r="F17" s="17">
        <v>1.0101</v>
      </c>
      <c r="G17" s="18">
        <f t="shared" si="1"/>
        <v>-6</v>
      </c>
      <c r="H17" s="18">
        <f t="shared" si="2"/>
        <v>-11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2">
        <v>133.5</v>
      </c>
      <c r="B18" s="13">
        <v>0.57940000000000003</v>
      </c>
      <c r="C18" s="14">
        <f t="shared" si="0"/>
        <v>579400</v>
      </c>
      <c r="D18" s="15">
        <f t="shared" si="3"/>
        <v>0.26840036245337412</v>
      </c>
      <c r="E18" s="16">
        <f t="shared" si="4"/>
        <v>1.2692806704755695</v>
      </c>
      <c r="F18" s="17">
        <v>1.2806</v>
      </c>
      <c r="G18" s="18">
        <f t="shared" si="1"/>
        <v>-5.5</v>
      </c>
      <c r="H18" s="18">
        <f t="shared" si="2"/>
        <v>-10.5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2">
        <v>134</v>
      </c>
      <c r="B19" s="13">
        <v>0.68100000000000005</v>
      </c>
      <c r="C19" s="14">
        <f t="shared" si="0"/>
        <v>681000</v>
      </c>
      <c r="D19" s="15">
        <f t="shared" si="3"/>
        <v>0.31475819768358637</v>
      </c>
      <c r="E19" s="16">
        <f t="shared" si="4"/>
        <v>1.5840388681591557</v>
      </c>
      <c r="F19" s="17">
        <v>1.5967</v>
      </c>
      <c r="G19" s="18">
        <f t="shared" si="1"/>
        <v>-5</v>
      </c>
      <c r="H19" s="18">
        <f t="shared" si="2"/>
        <v>-10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2">
        <v>134.5</v>
      </c>
      <c r="B20" s="13">
        <v>0.7752</v>
      </c>
      <c r="C20" s="14">
        <f t="shared" si="0"/>
        <v>775200</v>
      </c>
      <c r="D20" s="15">
        <f t="shared" si="3"/>
        <v>0.3637958298208489</v>
      </c>
      <c r="E20" s="16">
        <f t="shared" si="4"/>
        <v>1.9478346979800047</v>
      </c>
      <c r="F20" s="17">
        <v>1.9619</v>
      </c>
      <c r="G20" s="18">
        <f t="shared" si="1"/>
        <v>-4.5</v>
      </c>
      <c r="H20" s="18">
        <f t="shared" si="2"/>
        <v>-9.5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2">
        <v>135</v>
      </c>
      <c r="B21" s="13">
        <v>0.87429999999999997</v>
      </c>
      <c r="C21" s="14">
        <f t="shared" si="0"/>
        <v>874300</v>
      </c>
      <c r="D21" s="15">
        <f t="shared" si="3"/>
        <v>0.41212670031338405</v>
      </c>
      <c r="E21" s="16">
        <f t="shared" si="4"/>
        <v>2.3599613982933887</v>
      </c>
      <c r="F21" s="17">
        <v>2.3759000000000001</v>
      </c>
      <c r="G21" s="18">
        <f t="shared" si="1"/>
        <v>-4</v>
      </c>
      <c r="H21" s="18">
        <f t="shared" si="2"/>
        <v>-9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2">
        <v>135.5</v>
      </c>
      <c r="B22" s="13">
        <v>0.96950000000000003</v>
      </c>
      <c r="C22" s="14">
        <f t="shared" si="0"/>
        <v>969500</v>
      </c>
      <c r="D22" s="15">
        <f t="shared" si="3"/>
        <v>0.46074505440783103</v>
      </c>
      <c r="E22" s="16">
        <f t="shared" si="4"/>
        <v>2.8207064527012196</v>
      </c>
      <c r="F22" s="17">
        <v>2.8386</v>
      </c>
      <c r="G22" s="18">
        <f t="shared" si="1"/>
        <v>-3.5</v>
      </c>
      <c r="H22" s="18">
        <f t="shared" si="2"/>
        <v>-8.5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2">
        <v>136</v>
      </c>
      <c r="B23" s="13">
        <v>1.0678000000000001</v>
      </c>
      <c r="C23" s="14">
        <f t="shared" si="0"/>
        <v>1067800</v>
      </c>
      <c r="D23" s="15">
        <f t="shared" si="3"/>
        <v>0.5091272603335194</v>
      </c>
      <c r="E23" s="16">
        <f t="shared" si="4"/>
        <v>3.3298337130347391</v>
      </c>
      <c r="F23" s="17">
        <v>3.3496000000000001</v>
      </c>
      <c r="G23" s="18">
        <f t="shared" si="1"/>
        <v>-3</v>
      </c>
      <c r="H23" s="18">
        <f t="shared" si="2"/>
        <v>-8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2">
        <v>136.5</v>
      </c>
      <c r="B24" s="13">
        <v>1.1657999999999999</v>
      </c>
      <c r="C24" s="14">
        <f t="shared" si="0"/>
        <v>1165800</v>
      </c>
      <c r="D24" s="15">
        <f t="shared" si="3"/>
        <v>0.55822075598264087</v>
      </c>
      <c r="E24" s="16">
        <f t="shared" si="4"/>
        <v>3.8880544690173799</v>
      </c>
      <c r="F24" s="17">
        <v>3.9089999999999998</v>
      </c>
      <c r="G24" s="18">
        <f t="shared" si="1"/>
        <v>-2.5</v>
      </c>
      <c r="H24" s="18">
        <f t="shared" si="2"/>
        <v>-7.5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2">
        <v>137</v>
      </c>
      <c r="B25" s="13">
        <v>1.2622</v>
      </c>
      <c r="C25" s="14">
        <f t="shared" si="0"/>
        <v>1262200</v>
      </c>
      <c r="D25" s="15">
        <f t="shared" si="3"/>
        <v>0.60684046153962568</v>
      </c>
      <c r="E25" s="16">
        <f t="shared" si="4"/>
        <v>4.4948949305570061</v>
      </c>
      <c r="F25" s="17">
        <v>4.5179999999999998</v>
      </c>
      <c r="G25" s="18">
        <f t="shared" si="1"/>
        <v>-2</v>
      </c>
      <c r="H25" s="18">
        <f t="shared" si="2"/>
        <v>-7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2">
        <v>137.5</v>
      </c>
      <c r="B26" s="13">
        <v>1.3703000000000001</v>
      </c>
      <c r="C26" s="14">
        <f t="shared" si="0"/>
        <v>1370300</v>
      </c>
      <c r="D26" s="15">
        <f t="shared" si="3"/>
        <v>0.65793996454116122</v>
      </c>
      <c r="E26" s="16">
        <f t="shared" si="4"/>
        <v>5.1528348950981675</v>
      </c>
      <c r="F26" s="17">
        <v>5.1782000000000004</v>
      </c>
      <c r="G26" s="18">
        <f t="shared" si="1"/>
        <v>-1.5</v>
      </c>
      <c r="H26" s="18">
        <f t="shared" si="2"/>
        <v>-6.5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12">
        <v>138</v>
      </c>
      <c r="B27" s="13">
        <v>1.4826999999999999</v>
      </c>
      <c r="C27" s="14">
        <f t="shared" si="0"/>
        <v>1482700</v>
      </c>
      <c r="D27" s="15">
        <f t="shared" si="3"/>
        <v>0.71306541847574434</v>
      </c>
      <c r="E27" s="16">
        <f t="shared" si="4"/>
        <v>5.8659003135739116</v>
      </c>
      <c r="F27" s="17">
        <v>5.8935000000000004</v>
      </c>
      <c r="G27" s="18">
        <f t="shared" si="1"/>
        <v>-1</v>
      </c>
      <c r="H27" s="18">
        <f t="shared" si="2"/>
        <v>-6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12">
        <v>138.5</v>
      </c>
      <c r="B28" s="13">
        <v>1.5960000000000001</v>
      </c>
      <c r="C28" s="14">
        <f t="shared" si="0"/>
        <v>1596000</v>
      </c>
      <c r="D28" s="15">
        <f t="shared" si="3"/>
        <v>0.76950120858238613</v>
      </c>
      <c r="E28" s="16">
        <f t="shared" si="4"/>
        <v>6.6354015221562976</v>
      </c>
      <c r="F28" s="17">
        <v>6.6645000000000003</v>
      </c>
      <c r="G28" s="18">
        <f t="shared" si="1"/>
        <v>-0.5</v>
      </c>
      <c r="H28" s="18">
        <f t="shared" si="2"/>
        <v>-5.5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12">
        <v>139</v>
      </c>
      <c r="B29" s="13">
        <v>1.712</v>
      </c>
      <c r="C29" s="14">
        <f t="shared" si="0"/>
        <v>1712000</v>
      </c>
      <c r="D29" s="15">
        <f t="shared" si="3"/>
        <v>0.82683045975512848</v>
      </c>
      <c r="E29" s="16">
        <f t="shared" si="4"/>
        <v>7.462231981911426</v>
      </c>
      <c r="F29" s="17">
        <v>7.4943999999999997</v>
      </c>
      <c r="G29" s="18">
        <f t="shared" si="1"/>
        <v>0</v>
      </c>
      <c r="H29" s="18">
        <f t="shared" si="2"/>
        <v>-5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12">
        <v>139.5</v>
      </c>
      <c r="B30" s="13">
        <v>1.8372999999999999</v>
      </c>
      <c r="C30" s="14">
        <f t="shared" si="0"/>
        <v>1837300</v>
      </c>
      <c r="D30" s="15">
        <f t="shared" si="3"/>
        <v>0.88714063283910438</v>
      </c>
      <c r="E30" s="16">
        <f t="shared" si="4"/>
        <v>8.3493726147505303</v>
      </c>
      <c r="F30" s="17">
        <v>8.3846000000000007</v>
      </c>
      <c r="G30" s="18">
        <f t="shared" si="1"/>
        <v>0.5</v>
      </c>
      <c r="H30" s="18">
        <f t="shared" si="2"/>
        <v>-4.5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2">
        <v>140</v>
      </c>
      <c r="B31" s="13">
        <v>1.9666999999999999</v>
      </c>
      <c r="C31" s="14">
        <f t="shared" si="0"/>
        <v>1966700</v>
      </c>
      <c r="D31" s="15">
        <f t="shared" si="3"/>
        <v>0.95081653953387935</v>
      </c>
      <c r="E31" s="16">
        <f t="shared" si="4"/>
        <v>9.3001891542844088</v>
      </c>
      <c r="F31" s="17">
        <v>9.3391999999999999</v>
      </c>
      <c r="G31" s="18">
        <f t="shared" si="1"/>
        <v>1</v>
      </c>
      <c r="H31" s="18">
        <f t="shared" si="2"/>
        <v>-4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12">
        <v>140.5</v>
      </c>
      <c r="B32" s="13">
        <v>2.0929000000000002</v>
      </c>
      <c r="C32" s="14">
        <f t="shared" si="0"/>
        <v>2092900.0000000002</v>
      </c>
      <c r="D32" s="15">
        <f t="shared" si="3"/>
        <v>1.0147364956969629</v>
      </c>
      <c r="E32" s="16">
        <f t="shared" si="4"/>
        <v>10.314925649981372</v>
      </c>
      <c r="F32" s="17">
        <v>10.354799999999999</v>
      </c>
      <c r="G32" s="18">
        <f t="shared" si="1"/>
        <v>1.5</v>
      </c>
      <c r="H32" s="18">
        <f t="shared" si="2"/>
        <v>-3.5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12">
        <v>141</v>
      </c>
      <c r="B33" s="13">
        <v>2.2269000000000001</v>
      </c>
      <c r="C33" s="14">
        <f t="shared" si="0"/>
        <v>2226900</v>
      </c>
      <c r="D33" s="15">
        <f t="shared" si="3"/>
        <v>1.0797767635696487</v>
      </c>
      <c r="E33" s="16">
        <f t="shared" si="4"/>
        <v>11.394702413551022</v>
      </c>
      <c r="F33" s="17">
        <v>11.437900000000001</v>
      </c>
      <c r="G33" s="18">
        <f t="shared" si="1"/>
        <v>2</v>
      </c>
      <c r="H33" s="18">
        <f t="shared" si="2"/>
        <v>-3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12">
        <v>141.5</v>
      </c>
      <c r="B34" s="13">
        <v>2.3660000000000001</v>
      </c>
      <c r="C34" s="14">
        <f t="shared" si="0"/>
        <v>2366000</v>
      </c>
      <c r="D34" s="15">
        <f t="shared" si="3"/>
        <v>1.1480494278407618</v>
      </c>
      <c r="E34" s="16">
        <f t="shared" si="4"/>
        <v>12.542751841391784</v>
      </c>
      <c r="F34" s="17">
        <v>12.590299999999999</v>
      </c>
      <c r="G34" s="18">
        <f t="shared" si="1"/>
        <v>2.5</v>
      </c>
      <c r="H34" s="18">
        <f t="shared" si="2"/>
        <v>-2.5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2">
        <v>142</v>
      </c>
      <c r="B35" s="13">
        <v>2.5097</v>
      </c>
      <c r="C35" s="14">
        <f t="shared" si="0"/>
        <v>2509700</v>
      </c>
      <c r="D35" s="15">
        <f t="shared" si="3"/>
        <v>1.2187484939236684</v>
      </c>
      <c r="E35" s="16">
        <f t="shared" si="4"/>
        <v>13.761500335315452</v>
      </c>
      <c r="F35" s="17">
        <v>13.8119</v>
      </c>
      <c r="G35" s="18">
        <f t="shared" si="1"/>
        <v>3</v>
      </c>
      <c r="H35" s="18">
        <f t="shared" si="2"/>
        <v>-2</v>
      </c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12">
        <v>142.5</v>
      </c>
      <c r="B36" s="13">
        <v>2.6381999999999999</v>
      </c>
      <c r="C36" s="14">
        <f t="shared" si="0"/>
        <v>2638200</v>
      </c>
      <c r="D36" s="15">
        <f t="shared" si="3"/>
        <v>1.2868413304217245</v>
      </c>
      <c r="E36" s="16">
        <f t="shared" si="4"/>
        <v>15.048341665737176</v>
      </c>
      <c r="F36" s="17">
        <v>15.100099999999999</v>
      </c>
      <c r="G36" s="18">
        <f t="shared" si="1"/>
        <v>3.5</v>
      </c>
      <c r="H36" s="18">
        <f t="shared" si="2"/>
        <v>-1.5</v>
      </c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12">
        <v>143</v>
      </c>
      <c r="B37" s="13">
        <v>2.7786</v>
      </c>
      <c r="C37" s="14">
        <f t="shared" si="0"/>
        <v>2778600</v>
      </c>
      <c r="D37" s="15">
        <f t="shared" si="3"/>
        <v>1.3540483462573574</v>
      </c>
      <c r="E37" s="16">
        <f t="shared" si="4"/>
        <v>16.402390011994534</v>
      </c>
      <c r="F37" s="17">
        <v>16.458200000000001</v>
      </c>
      <c r="G37" s="18">
        <f t="shared" si="1"/>
        <v>4</v>
      </c>
      <c r="H37" s="18">
        <f t="shared" si="2"/>
        <v>-1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12">
        <v>143.5</v>
      </c>
      <c r="B38" s="13">
        <v>2.9165000000000001</v>
      </c>
      <c r="C38" s="14">
        <f t="shared" si="0"/>
        <v>2916500</v>
      </c>
      <c r="D38" s="15">
        <f t="shared" si="3"/>
        <v>1.4236358511543126</v>
      </c>
      <c r="E38" s="16">
        <f t="shared" si="4"/>
        <v>17.826025863148846</v>
      </c>
      <c r="F38" s="17">
        <v>17.885200000000001</v>
      </c>
      <c r="G38" s="18">
        <f t="shared" si="1"/>
        <v>4.5</v>
      </c>
      <c r="H38" s="18">
        <f t="shared" si="2"/>
        <v>-0.5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2">
        <v>144</v>
      </c>
      <c r="B39" s="13">
        <v>3.0564</v>
      </c>
      <c r="C39" s="14">
        <f t="shared" si="0"/>
        <v>3056400</v>
      </c>
      <c r="D39" s="15">
        <f t="shared" si="3"/>
        <v>1.4930884478568882</v>
      </c>
      <c r="E39" s="16">
        <f t="shared" si="4"/>
        <v>19.319114311005734</v>
      </c>
      <c r="F39" s="17">
        <v>19.380800000000001</v>
      </c>
      <c r="G39" s="18">
        <f t="shared" si="1"/>
        <v>5</v>
      </c>
      <c r="H39" s="18">
        <f t="shared" si="2"/>
        <v>0</v>
      </c>
      <c r="I39" s="2"/>
      <c r="J39" s="2"/>
      <c r="K39" s="2"/>
      <c r="L39" s="2"/>
      <c r="M39" s="2"/>
      <c r="N39" s="2"/>
      <c r="O39" s="2"/>
      <c r="P39" s="2"/>
    </row>
  </sheetData>
  <mergeCells count="1">
    <mergeCell ref="A2:H2"/>
  </mergeCells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Dams</vt:lpstr>
      <vt:lpstr>Hawasinah 02</vt:lpstr>
      <vt:lpstr>Hawasinah 11</vt:lpstr>
      <vt:lpstr>Hawasinah EX</vt:lpstr>
      <vt:lpstr>Shafan 02</vt:lpstr>
      <vt:lpstr>Shafan 08</vt:lpstr>
      <vt:lpstr>Sarami 03</vt:lpstr>
      <vt:lpstr>Sarami 05</vt:lpstr>
      <vt:lpstr>Sakhin 04</vt:lpstr>
      <vt:lpstr>Sakhin 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Mojtaba Keivanlou</cp:lastModifiedBy>
  <dcterms:created xsi:type="dcterms:W3CDTF">2026-10-06T17:19:52Z</dcterms:created>
  <dcterms:modified xsi:type="dcterms:W3CDTF">2026-10-06T17:19:53Z</dcterms:modified>
</cp:coreProperties>
</file>