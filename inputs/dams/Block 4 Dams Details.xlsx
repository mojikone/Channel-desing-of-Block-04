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RW202608\2224\03-Dam Design\02-Block 4 Dams\"/>
    </mc:Choice>
  </mc:AlternateContent>
  <xr:revisionPtr revIDLastSave="0" documentId="13_ncr:1_{F3B4D871-D7DF-4A5F-8B83-B066C7A65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2" i="1"/>
</calcChain>
</file>

<file path=xl/sharedStrings.xml><?xml version="1.0" encoding="utf-8"?>
<sst xmlns="http://schemas.openxmlformats.org/spreadsheetml/2006/main" count="40" uniqueCount="24">
  <si>
    <t>Dam Name</t>
  </si>
  <si>
    <t>Spillway Length (m)</t>
  </si>
  <si>
    <t>FSL (m.a.s.l.)</t>
  </si>
  <si>
    <t>Dm Type</t>
  </si>
  <si>
    <t>Crest Length (m)</t>
  </si>
  <si>
    <t>Height (m)-above wadi</t>
  </si>
  <si>
    <t>Reservoir Capacity (MCM)</t>
  </si>
  <si>
    <t>Tentative Cost (OMR)</t>
  </si>
  <si>
    <t>Hawasinah 02</t>
  </si>
  <si>
    <t>Hawasinah 11</t>
  </si>
  <si>
    <t>Hawasinah UP</t>
  </si>
  <si>
    <t>Shafan 02</t>
  </si>
  <si>
    <t>Shafan 08</t>
  </si>
  <si>
    <t>Sarami 03</t>
  </si>
  <si>
    <t>Sarami 05</t>
  </si>
  <si>
    <t>Sakhin 08</t>
  </si>
  <si>
    <t>Sakhin 04</t>
  </si>
  <si>
    <t>Crest Ele (m.a.sl.)</t>
  </si>
  <si>
    <t>QPMF (cms)</t>
  </si>
  <si>
    <t>Hmax (m)</t>
  </si>
  <si>
    <t>C</t>
  </si>
  <si>
    <t>Spillway Material</t>
  </si>
  <si>
    <t>Concrete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</si>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</sst>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165" fontId="0" fillId="0" borderId="1" xfId="1" applyNumberFormat="1" applyFont="1" applyBorder="1"/>
    <xf numFmtId="164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L7" sqref="L7"/>
    </sheetView>
  </sheetViews>
  <sheetFormatPr defaultRowHeight="14.4" x14ac:dyDescent="0.3"/>
  <cols>
    <col min="1" max="1" width="14.88671875" customWidth="1"/>
    <col min="2" max="2" width="14.6640625" customWidth="1"/>
    <col min="3" max="3" width="12.21875" customWidth="1"/>
    <col min="4" max="5" width="10.5546875" customWidth="1"/>
    <col min="6" max="6" width="9.44140625" customWidth="1"/>
    <col min="7" max="7" width="15.6640625" customWidth="1"/>
    <col min="8" max="8" width="9.5546875" customWidth="1"/>
    <col min="9" max="9" width="8.44140625" customWidth="1"/>
    <col min="10" max="10" width="7.5546875" customWidth="1"/>
    <col min="11" max="11" width="10.88671875" customWidth="1"/>
    <col min="12" max="12" width="13.5546875" customWidth="1"/>
    <col min="13" max="13" width="15.6640625" customWidth="1"/>
  </cols>
  <sheetData>
    <row r="1" spans="1:16" ht="34.5" customHeight="1" x14ac:dyDescent="0.3">
      <c r="A1" s="2" t="s">
        <v>0</v>
      </c>
      <c r="B1" s="5" t="s">
        <v>3</v>
      </c>
      <c r="C1" s="2" t="s">
        <v>5</v>
      </c>
      <c r="D1" s="2" t="s">
        <v>4</v>
      </c>
      <c r="E1" s="2" t="s">
        <v>17</v>
      </c>
      <c r="F1" s="2" t="s">
        <v>2</v>
      </c>
      <c r="G1" s="2" t="s">
        <v>6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1</v>
      </c>
      <c r="M1" s="2" t="s">
        <v>7</v>
      </c>
      <c r="N1" s="1"/>
      <c r="O1" s="1"/>
      <c r="P1" s="1"/>
    </row>
    <row r="2" spans="1:16" x14ac:dyDescent="0.3">
      <c r="A2" s="3" t="s">
        <v>8</v>
      </c>
      <c r="B2" s="4" t="s">
        <v>23</v>
      </c>
      <c r="C2" s="4"/>
      <c r="E2" s="4">
        <v>149</v>
      </c>
      <c r="F2" s="4">
        <v>144</v>
      </c>
      <c r="G2" s="6">
        <v>11</v>
      </c>
      <c r="H2" s="6">
        <v>17809</v>
      </c>
      <c r="I2" s="6">
        <v>5</v>
      </c>
      <c r="J2" s="8">
        <v>2.1</v>
      </c>
      <c r="K2" s="8" t="s">
        <v>22</v>
      </c>
      <c r="L2" s="4">
        <f>ROUND(H2/(J2*I2^1.5),0)</f>
        <v>759</v>
      </c>
      <c r="M2" s="7"/>
    </row>
    <row r="3" spans="1:16" x14ac:dyDescent="0.3">
      <c r="A3" s="3" t="s">
        <v>9</v>
      </c>
      <c r="B3" s="4" t="s">
        <v>23</v>
      </c>
      <c r="C3" s="4"/>
      <c r="D3" s="4"/>
      <c r="E3" s="4">
        <v>256</v>
      </c>
      <c r="F3" s="4">
        <v>251</v>
      </c>
      <c r="G3" s="6">
        <v>34</v>
      </c>
      <c r="H3" s="6">
        <v>11767</v>
      </c>
      <c r="I3" s="6">
        <v>5</v>
      </c>
      <c r="J3" s="8">
        <v>2.1</v>
      </c>
      <c r="K3" s="8" t="s">
        <v>22</v>
      </c>
      <c r="L3" s="4">
        <f t="shared" ref="L3:L10" si="0">ROUND(H3/(J3*I3^1.5),0)</f>
        <v>501</v>
      </c>
      <c r="M3" s="7"/>
    </row>
    <row r="4" spans="1:16" x14ac:dyDescent="0.3">
      <c r="A4" s="3" t="s">
        <v>10</v>
      </c>
      <c r="B4" s="4" t="s">
        <v>23</v>
      </c>
      <c r="C4" s="4"/>
      <c r="D4" s="4"/>
      <c r="E4" s="4">
        <v>65</v>
      </c>
      <c r="F4" s="4">
        <v>60</v>
      </c>
      <c r="G4" s="6">
        <v>81</v>
      </c>
      <c r="H4" s="6">
        <v>34783</v>
      </c>
      <c r="I4" s="6">
        <v>5</v>
      </c>
      <c r="J4" s="8">
        <v>2.1</v>
      </c>
      <c r="K4" s="8" t="s">
        <v>22</v>
      </c>
      <c r="L4" s="4">
        <f t="shared" si="0"/>
        <v>1481</v>
      </c>
      <c r="M4" s="7"/>
    </row>
    <row r="5" spans="1:16" x14ac:dyDescent="0.3">
      <c r="A5" s="3" t="s">
        <v>11</v>
      </c>
      <c r="B5" s="4" t="s">
        <v>23</v>
      </c>
      <c r="C5" s="4"/>
      <c r="D5" s="4"/>
      <c r="E5" s="4">
        <v>240</v>
      </c>
      <c r="F5" s="4">
        <v>235</v>
      </c>
      <c r="G5" s="6">
        <v>43</v>
      </c>
      <c r="H5" s="6">
        <v>11086</v>
      </c>
      <c r="I5" s="6">
        <v>5</v>
      </c>
      <c r="J5" s="8">
        <v>2.1</v>
      </c>
      <c r="K5" s="8" t="s">
        <v>22</v>
      </c>
      <c r="L5" s="4">
        <f t="shared" si="0"/>
        <v>472</v>
      </c>
      <c r="M5" s="7"/>
    </row>
    <row r="6" spans="1:16" x14ac:dyDescent="0.3">
      <c r="A6" s="3" t="s">
        <v>12</v>
      </c>
      <c r="B6" s="4" t="s">
        <v>23</v>
      </c>
      <c r="C6" s="4"/>
      <c r="D6" s="4"/>
      <c r="E6" s="4">
        <v>173</v>
      </c>
      <c r="F6" s="4">
        <v>168</v>
      </c>
      <c r="G6" s="6">
        <v>15</v>
      </c>
      <c r="H6" s="6">
        <v>15764</v>
      </c>
      <c r="I6" s="6">
        <v>5</v>
      </c>
      <c r="J6" s="8">
        <v>2.1</v>
      </c>
      <c r="K6" s="8" t="s">
        <v>22</v>
      </c>
      <c r="L6" s="4">
        <f t="shared" si="0"/>
        <v>671</v>
      </c>
      <c r="M6" s="7"/>
    </row>
    <row r="7" spans="1:16" x14ac:dyDescent="0.3">
      <c r="A7" s="3" t="s">
        <v>13</v>
      </c>
      <c r="B7" s="4" t="s">
        <v>23</v>
      </c>
      <c r="C7" s="4"/>
      <c r="D7" s="4"/>
      <c r="E7" s="4">
        <v>242</v>
      </c>
      <c r="F7" s="4">
        <v>237</v>
      </c>
      <c r="G7" s="6">
        <v>45</v>
      </c>
      <c r="H7" s="6">
        <v>11254</v>
      </c>
      <c r="I7" s="6">
        <v>5</v>
      </c>
      <c r="J7" s="8">
        <v>2.1</v>
      </c>
      <c r="K7" s="8" t="s">
        <v>22</v>
      </c>
      <c r="L7" s="4">
        <f t="shared" si="0"/>
        <v>479</v>
      </c>
      <c r="M7" s="7"/>
    </row>
    <row r="8" spans="1:16" x14ac:dyDescent="0.3">
      <c r="A8" s="3" t="s">
        <v>14</v>
      </c>
      <c r="B8" s="4" t="s">
        <v>23</v>
      </c>
      <c r="C8" s="4"/>
      <c r="D8" s="4"/>
      <c r="E8" s="4">
        <v>189</v>
      </c>
      <c r="F8" s="4">
        <v>184</v>
      </c>
      <c r="G8" s="6">
        <v>15</v>
      </c>
      <c r="H8" s="6">
        <v>3888</v>
      </c>
      <c r="I8" s="6">
        <v>5</v>
      </c>
      <c r="J8" s="8">
        <v>2.1</v>
      </c>
      <c r="K8" s="8" t="s">
        <v>22</v>
      </c>
      <c r="L8" s="4">
        <f t="shared" si="0"/>
        <v>166</v>
      </c>
      <c r="M8" s="7"/>
    </row>
    <row r="9" spans="1:16" x14ac:dyDescent="0.3">
      <c r="A9" s="3" t="s">
        <v>15</v>
      </c>
      <c r="B9" s="4" t="s">
        <v>23</v>
      </c>
      <c r="C9" s="4"/>
      <c r="D9" s="4"/>
      <c r="E9" s="4">
        <v>144</v>
      </c>
      <c r="F9" s="4">
        <v>139</v>
      </c>
      <c r="G9" s="6">
        <v>8</v>
      </c>
      <c r="H9" s="6">
        <v>4912</v>
      </c>
      <c r="I9" s="6">
        <v>5</v>
      </c>
      <c r="J9" s="8">
        <v>2.1</v>
      </c>
      <c r="K9" s="8" t="s">
        <v>22</v>
      </c>
      <c r="L9" s="4">
        <f t="shared" si="0"/>
        <v>209</v>
      </c>
      <c r="M9" s="7"/>
    </row>
    <row r="10" spans="1:16" x14ac:dyDescent="0.3">
      <c r="A10" s="3" t="s">
        <v>16</v>
      </c>
      <c r="B10" s="4" t="s">
        <v>23</v>
      </c>
      <c r="C10" s="4"/>
      <c r="D10" s="4"/>
      <c r="E10" s="4">
        <v>127</v>
      </c>
      <c r="F10" s="4">
        <v>122</v>
      </c>
      <c r="G10" s="6">
        <v>24</v>
      </c>
      <c r="H10" s="6">
        <v>7393</v>
      </c>
      <c r="I10" s="6">
        <v>5</v>
      </c>
      <c r="J10" s="8">
        <v>2.1</v>
      </c>
      <c r="K10" s="8" t="s">
        <v>22</v>
      </c>
      <c r="L10" s="4">
        <f t="shared" si="0"/>
        <v>315</v>
      </c>
      <c r="M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Ali Tabatabaei</cp:lastModifiedBy>
  <dcterms:created xsi:type="dcterms:W3CDTF">2015-06-05T18:17:20Z</dcterms:created>
  <dcterms:modified xsi:type="dcterms:W3CDTF">2026-08-13T09:43:20Z</dcterms:modified>
</cp:coreProperties>
</file>